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tables/table7.xml" ContentType="application/vnd.openxmlformats-officedocument.spreadsheetml.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0.xml" ContentType="application/vnd.openxmlformats-officedocument.drawing+xml"/>
  <Override PartName="/xl/tables/table8.xml" ContentType="application/vnd.openxmlformats-officedocument.spreadsheetml.tab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1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2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13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numbe\Downloads\SURP NN Training\"/>
    </mc:Choice>
  </mc:AlternateContent>
  <xr:revisionPtr revIDLastSave="0" documentId="13_ncr:1_{E3758D23-0D23-43C4-9129-85A00B619BA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2026 surp final" sheetId="18" r:id="rId1"/>
    <sheet name="6X2" sheetId="1" r:id="rId2"/>
    <sheet name="Sheet5" sheetId="15" r:id="rId3"/>
    <sheet name="6X3" sheetId="2" r:id="rId4"/>
    <sheet name="6X4" sheetId="3" r:id="rId5"/>
    <sheet name="6x5" sheetId="7" r:id="rId6"/>
    <sheet name="6x6" sheetId="4" r:id="rId7"/>
    <sheet name="6x7" sheetId="9" r:id="rId8"/>
    <sheet name="2x6x1" sheetId="5" r:id="rId9"/>
    <sheet name="Sheet2" sheetId="6" r:id="rId10"/>
    <sheet name="Final" sheetId="10" r:id="rId11"/>
    <sheet name="Final2" sheetId="11" r:id="rId12"/>
    <sheet name="Sheet1" sheetId="12" r:id="rId13"/>
    <sheet name="Sheet3" sheetId="13" r:id="rId14"/>
  </sheets>
  <definedNames>
    <definedName name="_xlnm._FilterDatabase" localSheetId="1" hidden="1">'6X2'!$D$10:$P$74</definedName>
    <definedName name="_xlnm._FilterDatabase" localSheetId="3" hidden="1">'6X3'!$B$19:$O$19</definedName>
    <definedName name="_xlnm._FilterDatabase" localSheetId="6" hidden="1">'6x6'!$W$19:$X$19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9" i="18" l="1"/>
  <c r="K109" i="18"/>
  <c r="L109" i="18"/>
  <c r="M109" i="18"/>
  <c r="N109" i="18"/>
  <c r="O109" i="18"/>
  <c r="J110" i="18"/>
  <c r="K110" i="18"/>
  <c r="L110" i="18"/>
  <c r="M110" i="18"/>
  <c r="N110" i="18"/>
  <c r="O110" i="18"/>
  <c r="J111" i="18"/>
  <c r="K111" i="18"/>
  <c r="L111" i="18"/>
  <c r="M111" i="18"/>
  <c r="N111" i="18"/>
  <c r="O111" i="18"/>
  <c r="J112" i="18"/>
  <c r="K112" i="18"/>
  <c r="L112" i="18"/>
  <c r="M112" i="18"/>
  <c r="N112" i="18"/>
  <c r="O112" i="18"/>
  <c r="J113" i="18"/>
  <c r="K113" i="18"/>
  <c r="L113" i="18"/>
  <c r="M113" i="18"/>
  <c r="N113" i="18"/>
  <c r="O113" i="18"/>
  <c r="K108" i="18"/>
  <c r="L108" i="18"/>
  <c r="M108" i="18"/>
  <c r="N108" i="18"/>
  <c r="O108" i="18"/>
  <c r="J108" i="18"/>
  <c r="J101" i="18"/>
  <c r="K101" i="18"/>
  <c r="L101" i="18"/>
  <c r="M101" i="18"/>
  <c r="N101" i="18"/>
  <c r="O101" i="18"/>
  <c r="J102" i="18"/>
  <c r="K102" i="18"/>
  <c r="L102" i="18"/>
  <c r="M102" i="18"/>
  <c r="N102" i="18"/>
  <c r="O102" i="18"/>
  <c r="J103" i="18"/>
  <c r="K103" i="18"/>
  <c r="L103" i="18"/>
  <c r="M103" i="18"/>
  <c r="N103" i="18"/>
  <c r="O103" i="18"/>
  <c r="J104" i="18"/>
  <c r="K104" i="18"/>
  <c r="L104" i="18"/>
  <c r="M104" i="18"/>
  <c r="N104" i="18"/>
  <c r="O104" i="18"/>
  <c r="J105" i="18"/>
  <c r="K105" i="18"/>
  <c r="L105" i="18"/>
  <c r="M105" i="18"/>
  <c r="N105" i="18"/>
  <c r="O105" i="18"/>
  <c r="K100" i="18"/>
  <c r="L100" i="18"/>
  <c r="M100" i="18"/>
  <c r="N100" i="18"/>
  <c r="O100" i="18"/>
  <c r="J100" i="18"/>
  <c r="J75" i="18"/>
  <c r="K75" i="18"/>
  <c r="L75" i="18"/>
  <c r="M75" i="18"/>
  <c r="N75" i="18"/>
  <c r="O75" i="18"/>
  <c r="J76" i="18"/>
  <c r="K76" i="18"/>
  <c r="L76" i="18"/>
  <c r="M76" i="18"/>
  <c r="N76" i="18"/>
  <c r="O76" i="18"/>
  <c r="J77" i="18"/>
  <c r="K77" i="18"/>
  <c r="L77" i="18"/>
  <c r="M77" i="18"/>
  <c r="N77" i="18"/>
  <c r="O77" i="18"/>
  <c r="J78" i="18"/>
  <c r="K78" i="18"/>
  <c r="L78" i="18"/>
  <c r="M78" i="18"/>
  <c r="N78" i="18"/>
  <c r="O78" i="18"/>
  <c r="J79" i="18"/>
  <c r="K79" i="18"/>
  <c r="L79" i="18"/>
  <c r="M79" i="18"/>
  <c r="N79" i="18"/>
  <c r="O79" i="18"/>
  <c r="K74" i="18"/>
  <c r="L74" i="18"/>
  <c r="M74" i="18"/>
  <c r="N74" i="18"/>
  <c r="O74" i="18"/>
  <c r="J74" i="18"/>
  <c r="J67" i="18"/>
  <c r="Q67" i="18" s="1"/>
  <c r="K67" i="18"/>
  <c r="R67" i="18" s="1"/>
  <c r="L67" i="18"/>
  <c r="S67" i="18" s="1"/>
  <c r="M67" i="18"/>
  <c r="T67" i="18" s="1"/>
  <c r="N67" i="18"/>
  <c r="U67" i="18" s="1"/>
  <c r="O67" i="18"/>
  <c r="V67" i="18" s="1"/>
  <c r="J68" i="18"/>
  <c r="Q68" i="18" s="1"/>
  <c r="K68" i="18"/>
  <c r="R68" i="18" s="1"/>
  <c r="L68" i="18"/>
  <c r="S68" i="18" s="1"/>
  <c r="M68" i="18"/>
  <c r="T68" i="18" s="1"/>
  <c r="N68" i="18"/>
  <c r="U68" i="18" s="1"/>
  <c r="O68" i="18"/>
  <c r="V68" i="18" s="1"/>
  <c r="J69" i="18"/>
  <c r="Q69" i="18" s="1"/>
  <c r="K69" i="18"/>
  <c r="R69" i="18" s="1"/>
  <c r="L69" i="18"/>
  <c r="S69" i="18" s="1"/>
  <c r="M69" i="18"/>
  <c r="T69" i="18" s="1"/>
  <c r="N69" i="18"/>
  <c r="U69" i="18" s="1"/>
  <c r="O69" i="18"/>
  <c r="V69" i="18" s="1"/>
  <c r="J70" i="18"/>
  <c r="Q70" i="18" s="1"/>
  <c r="K70" i="18"/>
  <c r="R70" i="18" s="1"/>
  <c r="L70" i="18"/>
  <c r="S70" i="18" s="1"/>
  <c r="M70" i="18"/>
  <c r="T70" i="18" s="1"/>
  <c r="N70" i="18"/>
  <c r="U70" i="18" s="1"/>
  <c r="O70" i="18"/>
  <c r="V70" i="18" s="1"/>
  <c r="J71" i="18"/>
  <c r="Q71" i="18" s="1"/>
  <c r="K71" i="18"/>
  <c r="R71" i="18" s="1"/>
  <c r="L71" i="18"/>
  <c r="S71" i="18" s="1"/>
  <c r="M71" i="18"/>
  <c r="T71" i="18" s="1"/>
  <c r="N71" i="18"/>
  <c r="U71" i="18" s="1"/>
  <c r="O71" i="18"/>
  <c r="V71" i="18" s="1"/>
  <c r="K66" i="18"/>
  <c r="R66" i="18" s="1"/>
  <c r="L66" i="18"/>
  <c r="S66" i="18" s="1"/>
  <c r="M66" i="18"/>
  <c r="T66" i="18" s="1"/>
  <c r="N66" i="18"/>
  <c r="U66" i="18" s="1"/>
  <c r="O66" i="18"/>
  <c r="V66" i="18" s="1"/>
  <c r="J66" i="18"/>
  <c r="Q66" i="18" s="1"/>
  <c r="Q90" i="18"/>
  <c r="R90" i="18"/>
  <c r="S90" i="18"/>
  <c r="T90" i="18"/>
  <c r="U90" i="18"/>
  <c r="V90" i="18"/>
  <c r="Q91" i="18"/>
  <c r="R91" i="18"/>
  <c r="S91" i="18"/>
  <c r="T91" i="18"/>
  <c r="U91" i="18"/>
  <c r="V91" i="18"/>
  <c r="Q92" i="18"/>
  <c r="R92" i="18"/>
  <c r="S92" i="18"/>
  <c r="T92" i="18"/>
  <c r="U92" i="18"/>
  <c r="V92" i="18"/>
  <c r="Q93" i="18"/>
  <c r="R93" i="18"/>
  <c r="S93" i="18"/>
  <c r="T93" i="18"/>
  <c r="U93" i="18"/>
  <c r="V93" i="18"/>
  <c r="Q94" i="18"/>
  <c r="R94" i="18"/>
  <c r="S94" i="18"/>
  <c r="T94" i="18"/>
  <c r="U94" i="18"/>
  <c r="V94" i="18"/>
  <c r="R89" i="18"/>
  <c r="S89" i="18"/>
  <c r="T89" i="18"/>
  <c r="U89" i="18"/>
  <c r="V89" i="18"/>
  <c r="Q89" i="18"/>
  <c r="J83" i="18"/>
  <c r="K83" i="18"/>
  <c r="L83" i="18"/>
  <c r="M83" i="18"/>
  <c r="N83" i="18"/>
  <c r="O83" i="18"/>
  <c r="J84" i="18"/>
  <c r="K84" i="18"/>
  <c r="L84" i="18"/>
  <c r="M84" i="18"/>
  <c r="N84" i="18"/>
  <c r="O84" i="18"/>
  <c r="J85" i="18"/>
  <c r="K85" i="18"/>
  <c r="L85" i="18"/>
  <c r="M85" i="18"/>
  <c r="N85" i="18"/>
  <c r="O85" i="18"/>
  <c r="J86" i="18"/>
  <c r="K86" i="18"/>
  <c r="L86" i="18"/>
  <c r="M86" i="18"/>
  <c r="N86" i="18"/>
  <c r="O86" i="18"/>
  <c r="J87" i="18"/>
  <c r="K87" i="18"/>
  <c r="L87" i="18"/>
  <c r="M87" i="18"/>
  <c r="N87" i="18"/>
  <c r="O87" i="18"/>
  <c r="K82" i="18"/>
  <c r="L82" i="18"/>
  <c r="M82" i="18"/>
  <c r="N82" i="18"/>
  <c r="O82" i="18"/>
  <c r="J82" i="18"/>
  <c r="H56" i="18"/>
  <c r="M56" i="18" s="1"/>
  <c r="I56" i="18"/>
  <c r="N56" i="18" s="1"/>
  <c r="J56" i="18"/>
  <c r="O56" i="18" s="1"/>
  <c r="K56" i="18"/>
  <c r="P56" i="18" s="1"/>
  <c r="I57" i="18"/>
  <c r="N57" i="18" s="1"/>
  <c r="J57" i="18"/>
  <c r="O57" i="18" s="1"/>
  <c r="K57" i="18"/>
  <c r="P57" i="18" s="1"/>
  <c r="M58" i="18"/>
  <c r="N58" i="18"/>
  <c r="O58" i="18"/>
  <c r="K58" i="18"/>
  <c r="P58" i="18" s="1"/>
  <c r="I55" i="18"/>
  <c r="N55" i="18" s="1"/>
  <c r="K55" i="18"/>
  <c r="P55" i="18" s="1"/>
  <c r="M57" i="18"/>
  <c r="O55" i="18"/>
  <c r="H55" i="18"/>
  <c r="M55" i="18" s="1"/>
  <c r="K47" i="18"/>
  <c r="K48" i="18"/>
  <c r="M46" i="18"/>
  <c r="H47" i="18"/>
  <c r="L47" i="18" s="1"/>
  <c r="I47" i="18"/>
  <c r="M47" i="18" s="1"/>
  <c r="H48" i="18"/>
  <c r="L48" i="18" s="1"/>
  <c r="I48" i="18"/>
  <c r="M48" i="18" s="1"/>
  <c r="H46" i="18"/>
  <c r="L46" i="18" s="1"/>
  <c r="G46" i="18"/>
  <c r="K46" i="18" s="1"/>
  <c r="I36" i="18"/>
  <c r="N36" i="18" s="1"/>
  <c r="I35" i="18"/>
  <c r="N35" i="18" s="1"/>
  <c r="K35" i="18"/>
  <c r="P35" i="18" s="1"/>
  <c r="H36" i="18"/>
  <c r="M36" i="18" s="1"/>
  <c r="J36" i="18"/>
  <c r="O36" i="18" s="1"/>
  <c r="K36" i="18"/>
  <c r="P36" i="18" s="1"/>
  <c r="I37" i="18"/>
  <c r="N37" i="18" s="1"/>
  <c r="J37" i="18"/>
  <c r="O37" i="18" s="1"/>
  <c r="K37" i="18"/>
  <c r="P37" i="18" s="1"/>
  <c r="K38" i="18"/>
  <c r="P38" i="18" s="1"/>
  <c r="M38" i="18"/>
  <c r="N38" i="18"/>
  <c r="O38" i="18"/>
  <c r="M37" i="18"/>
  <c r="O35" i="18"/>
  <c r="H35" i="18"/>
  <c r="M35" i="18" s="1"/>
  <c r="K27" i="18"/>
  <c r="M25" i="18"/>
  <c r="G26" i="18"/>
  <c r="K26" i="18" s="1"/>
  <c r="H26" i="18"/>
  <c r="L26" i="18" s="1"/>
  <c r="I26" i="18"/>
  <c r="M26" i="18" s="1"/>
  <c r="H27" i="18"/>
  <c r="L27" i="18" s="1"/>
  <c r="I27" i="18"/>
  <c r="M27" i="18" s="1"/>
  <c r="H25" i="18"/>
  <c r="L25" i="18" s="1"/>
  <c r="G25" i="18"/>
  <c r="K25" i="18" s="1"/>
  <c r="I22" i="18"/>
  <c r="J22" i="18"/>
  <c r="K22" i="18"/>
  <c r="H22" i="18"/>
  <c r="D22" i="18"/>
  <c r="E22" i="18"/>
  <c r="F22" i="18"/>
  <c r="C22" i="18"/>
  <c r="I13" i="18"/>
  <c r="J13" i="18"/>
  <c r="H13" i="18"/>
  <c r="H7" i="18"/>
  <c r="I7" i="18"/>
  <c r="J7" i="18"/>
  <c r="M7" i="18"/>
  <c r="N7" i="18"/>
  <c r="O7" i="18"/>
  <c r="D7" i="18"/>
  <c r="E7" i="18"/>
  <c r="C7" i="18"/>
  <c r="I12" i="1"/>
  <c r="K12" i="1"/>
  <c r="K74" i="15"/>
  <c r="J74" i="15"/>
  <c r="I74" i="15"/>
  <c r="H74" i="15"/>
  <c r="G74" i="15"/>
  <c r="F74" i="15"/>
  <c r="K73" i="15"/>
  <c r="J73" i="15"/>
  <c r="I73" i="15"/>
  <c r="H73" i="15"/>
  <c r="G73" i="15"/>
  <c r="F73" i="15"/>
  <c r="K72" i="15"/>
  <c r="J72" i="15"/>
  <c r="I72" i="15"/>
  <c r="H72" i="15"/>
  <c r="G72" i="15"/>
  <c r="F72" i="15"/>
  <c r="K71" i="15"/>
  <c r="J71" i="15"/>
  <c r="I71" i="15"/>
  <c r="H71" i="15"/>
  <c r="G71" i="15"/>
  <c r="F71" i="15"/>
  <c r="K70" i="15"/>
  <c r="J70" i="15"/>
  <c r="I70" i="15"/>
  <c r="H70" i="15"/>
  <c r="G70" i="15"/>
  <c r="F70" i="15"/>
  <c r="K69" i="15"/>
  <c r="J69" i="15"/>
  <c r="I69" i="15"/>
  <c r="H69" i="15"/>
  <c r="G69" i="15"/>
  <c r="F69" i="15"/>
  <c r="K68" i="15"/>
  <c r="J68" i="15"/>
  <c r="I68" i="15"/>
  <c r="H68" i="15"/>
  <c r="G68" i="15"/>
  <c r="F68" i="15"/>
  <c r="K67" i="15"/>
  <c r="J67" i="15"/>
  <c r="I67" i="15"/>
  <c r="H67" i="15"/>
  <c r="G67" i="15"/>
  <c r="F67" i="15"/>
  <c r="K66" i="15"/>
  <c r="J66" i="15"/>
  <c r="I66" i="15"/>
  <c r="H66" i="15"/>
  <c r="G66" i="15"/>
  <c r="F66" i="15"/>
  <c r="K65" i="15"/>
  <c r="J65" i="15"/>
  <c r="I65" i="15"/>
  <c r="H65" i="15"/>
  <c r="G65" i="15"/>
  <c r="F65" i="15"/>
  <c r="K64" i="15"/>
  <c r="J64" i="15"/>
  <c r="I64" i="15"/>
  <c r="H64" i="15"/>
  <c r="G64" i="15"/>
  <c r="F64" i="15"/>
  <c r="K63" i="15"/>
  <c r="J63" i="15"/>
  <c r="I63" i="15"/>
  <c r="H63" i="15"/>
  <c r="G63" i="15"/>
  <c r="F63" i="15"/>
  <c r="K62" i="15"/>
  <c r="J62" i="15"/>
  <c r="I62" i="15"/>
  <c r="H62" i="15"/>
  <c r="G62" i="15"/>
  <c r="F62" i="15"/>
  <c r="K61" i="15"/>
  <c r="J61" i="15"/>
  <c r="I61" i="15"/>
  <c r="H61" i="15"/>
  <c r="G61" i="15"/>
  <c r="F61" i="15"/>
  <c r="K60" i="15"/>
  <c r="J60" i="15"/>
  <c r="I60" i="15"/>
  <c r="H60" i="15"/>
  <c r="G60" i="15"/>
  <c r="F60" i="15"/>
  <c r="K59" i="15"/>
  <c r="J59" i="15"/>
  <c r="I59" i="15"/>
  <c r="H59" i="15"/>
  <c r="G59" i="15"/>
  <c r="F59" i="15"/>
  <c r="K58" i="15"/>
  <c r="J58" i="15"/>
  <c r="I58" i="15"/>
  <c r="H58" i="15"/>
  <c r="G58" i="15"/>
  <c r="F58" i="15"/>
  <c r="K57" i="15"/>
  <c r="J57" i="15"/>
  <c r="I57" i="15"/>
  <c r="H57" i="15"/>
  <c r="G57" i="15"/>
  <c r="F57" i="15"/>
  <c r="K56" i="15"/>
  <c r="J56" i="15"/>
  <c r="I56" i="15"/>
  <c r="H56" i="15"/>
  <c r="G56" i="15"/>
  <c r="F56" i="15"/>
  <c r="K55" i="15"/>
  <c r="J55" i="15"/>
  <c r="I55" i="15"/>
  <c r="H55" i="15"/>
  <c r="G55" i="15"/>
  <c r="F55" i="15"/>
  <c r="K54" i="15"/>
  <c r="J54" i="15"/>
  <c r="I54" i="15"/>
  <c r="H54" i="15"/>
  <c r="G54" i="15"/>
  <c r="F54" i="15"/>
  <c r="K53" i="15"/>
  <c r="J53" i="15"/>
  <c r="I53" i="15"/>
  <c r="H53" i="15"/>
  <c r="G53" i="15"/>
  <c r="F53" i="15"/>
  <c r="K52" i="15"/>
  <c r="J52" i="15"/>
  <c r="I52" i="15"/>
  <c r="H52" i="15"/>
  <c r="G52" i="15"/>
  <c r="F52" i="15"/>
  <c r="K51" i="15"/>
  <c r="J51" i="15"/>
  <c r="I51" i="15"/>
  <c r="H51" i="15"/>
  <c r="G51" i="15"/>
  <c r="F51" i="15"/>
  <c r="K50" i="15"/>
  <c r="J50" i="15"/>
  <c r="I50" i="15"/>
  <c r="H50" i="15"/>
  <c r="G50" i="15"/>
  <c r="F50" i="15"/>
  <c r="K49" i="15"/>
  <c r="J49" i="15"/>
  <c r="I49" i="15"/>
  <c r="H49" i="15"/>
  <c r="G49" i="15"/>
  <c r="F49" i="15"/>
  <c r="K48" i="15"/>
  <c r="J48" i="15"/>
  <c r="I48" i="15"/>
  <c r="H48" i="15"/>
  <c r="G48" i="15"/>
  <c r="F48" i="15"/>
  <c r="K47" i="15"/>
  <c r="J47" i="15"/>
  <c r="I47" i="15"/>
  <c r="H47" i="15"/>
  <c r="G47" i="15"/>
  <c r="F47" i="15"/>
  <c r="K46" i="15"/>
  <c r="J46" i="15"/>
  <c r="I46" i="15"/>
  <c r="H46" i="15"/>
  <c r="G46" i="15"/>
  <c r="F46" i="15"/>
  <c r="K45" i="15"/>
  <c r="J45" i="15"/>
  <c r="I45" i="15"/>
  <c r="H45" i="15"/>
  <c r="G45" i="15"/>
  <c r="F45" i="15"/>
  <c r="K44" i="15"/>
  <c r="J44" i="15"/>
  <c r="I44" i="15"/>
  <c r="H44" i="15"/>
  <c r="G44" i="15"/>
  <c r="F44" i="15"/>
  <c r="K43" i="15"/>
  <c r="J43" i="15"/>
  <c r="I43" i="15"/>
  <c r="H43" i="15"/>
  <c r="G43" i="15"/>
  <c r="F43" i="15"/>
  <c r="K42" i="15"/>
  <c r="J42" i="15"/>
  <c r="I42" i="15"/>
  <c r="H42" i="15"/>
  <c r="G42" i="15"/>
  <c r="F42" i="15"/>
  <c r="K41" i="15"/>
  <c r="J41" i="15"/>
  <c r="I41" i="15"/>
  <c r="H41" i="15"/>
  <c r="G41" i="15"/>
  <c r="F41" i="15"/>
  <c r="K40" i="15"/>
  <c r="J40" i="15"/>
  <c r="I40" i="15"/>
  <c r="H40" i="15"/>
  <c r="G40" i="15"/>
  <c r="F40" i="15"/>
  <c r="K39" i="15"/>
  <c r="J39" i="15"/>
  <c r="I39" i="15"/>
  <c r="H39" i="15"/>
  <c r="G39" i="15"/>
  <c r="F39" i="15"/>
  <c r="K38" i="15"/>
  <c r="J38" i="15"/>
  <c r="I38" i="15"/>
  <c r="H38" i="15"/>
  <c r="G38" i="15"/>
  <c r="F38" i="15"/>
  <c r="K37" i="15"/>
  <c r="J37" i="15"/>
  <c r="I37" i="15"/>
  <c r="H37" i="15"/>
  <c r="G37" i="15"/>
  <c r="F37" i="15"/>
  <c r="K36" i="15"/>
  <c r="J36" i="15"/>
  <c r="I36" i="15"/>
  <c r="H36" i="15"/>
  <c r="G36" i="15"/>
  <c r="F36" i="15"/>
  <c r="K35" i="15"/>
  <c r="J35" i="15"/>
  <c r="I35" i="15"/>
  <c r="H35" i="15"/>
  <c r="G35" i="15"/>
  <c r="F35" i="15"/>
  <c r="K34" i="15"/>
  <c r="J34" i="15"/>
  <c r="I34" i="15"/>
  <c r="H34" i="15"/>
  <c r="G34" i="15"/>
  <c r="F34" i="15"/>
  <c r="K33" i="15"/>
  <c r="J33" i="15"/>
  <c r="I33" i="15"/>
  <c r="H33" i="15"/>
  <c r="G33" i="15"/>
  <c r="F33" i="15"/>
  <c r="K32" i="15"/>
  <c r="J32" i="15"/>
  <c r="I32" i="15"/>
  <c r="H32" i="15"/>
  <c r="G32" i="15"/>
  <c r="F32" i="15"/>
  <c r="K31" i="15"/>
  <c r="J31" i="15"/>
  <c r="I31" i="15"/>
  <c r="H31" i="15"/>
  <c r="G31" i="15"/>
  <c r="F31" i="15"/>
  <c r="K30" i="15"/>
  <c r="J30" i="15"/>
  <c r="I30" i="15"/>
  <c r="H30" i="15"/>
  <c r="G30" i="15"/>
  <c r="F30" i="15"/>
  <c r="K29" i="15"/>
  <c r="J29" i="15"/>
  <c r="I29" i="15"/>
  <c r="H29" i="15"/>
  <c r="G29" i="15"/>
  <c r="F29" i="15"/>
  <c r="K28" i="15"/>
  <c r="J28" i="15"/>
  <c r="I28" i="15"/>
  <c r="H28" i="15"/>
  <c r="G28" i="15"/>
  <c r="F28" i="15"/>
  <c r="K27" i="15"/>
  <c r="J27" i="15"/>
  <c r="I27" i="15"/>
  <c r="H27" i="15"/>
  <c r="G27" i="15"/>
  <c r="F27" i="15"/>
  <c r="K26" i="15"/>
  <c r="J26" i="15"/>
  <c r="I26" i="15"/>
  <c r="H26" i="15"/>
  <c r="G26" i="15"/>
  <c r="F26" i="15"/>
  <c r="K25" i="15"/>
  <c r="J25" i="15"/>
  <c r="I25" i="15"/>
  <c r="H25" i="15"/>
  <c r="G25" i="15"/>
  <c r="F25" i="15"/>
  <c r="K24" i="15"/>
  <c r="J24" i="15"/>
  <c r="I24" i="15"/>
  <c r="H24" i="15"/>
  <c r="G24" i="15"/>
  <c r="F24" i="15"/>
  <c r="K23" i="15"/>
  <c r="J23" i="15"/>
  <c r="I23" i="15"/>
  <c r="H23" i="15"/>
  <c r="G23" i="15"/>
  <c r="F23" i="15"/>
  <c r="K22" i="15"/>
  <c r="J22" i="15"/>
  <c r="I22" i="15"/>
  <c r="H22" i="15"/>
  <c r="G22" i="15"/>
  <c r="F22" i="15"/>
  <c r="K21" i="15"/>
  <c r="J21" i="15"/>
  <c r="I21" i="15"/>
  <c r="H21" i="15"/>
  <c r="G21" i="15"/>
  <c r="F21" i="15"/>
  <c r="K20" i="15"/>
  <c r="J20" i="15"/>
  <c r="I20" i="15"/>
  <c r="H20" i="15"/>
  <c r="G20" i="15"/>
  <c r="F20" i="15"/>
  <c r="K19" i="15"/>
  <c r="J19" i="15"/>
  <c r="I19" i="15"/>
  <c r="H19" i="15"/>
  <c r="G19" i="15"/>
  <c r="F19" i="15"/>
  <c r="K18" i="15"/>
  <c r="J18" i="15"/>
  <c r="I18" i="15"/>
  <c r="H18" i="15"/>
  <c r="G18" i="15"/>
  <c r="F18" i="15"/>
  <c r="K17" i="15"/>
  <c r="J17" i="15"/>
  <c r="I17" i="15"/>
  <c r="H17" i="15"/>
  <c r="G17" i="15"/>
  <c r="F17" i="15"/>
  <c r="K16" i="15"/>
  <c r="J16" i="15"/>
  <c r="I16" i="15"/>
  <c r="H16" i="15"/>
  <c r="G16" i="15"/>
  <c r="F16" i="15"/>
  <c r="K15" i="15"/>
  <c r="J15" i="15"/>
  <c r="I15" i="15"/>
  <c r="H15" i="15"/>
  <c r="G15" i="15"/>
  <c r="F15" i="15"/>
  <c r="K14" i="15"/>
  <c r="J14" i="15"/>
  <c r="I14" i="15"/>
  <c r="H14" i="15"/>
  <c r="G14" i="15"/>
  <c r="F14" i="15"/>
  <c r="K13" i="15"/>
  <c r="J13" i="15"/>
  <c r="I13" i="15"/>
  <c r="H13" i="15"/>
  <c r="G13" i="15"/>
  <c r="F13" i="15"/>
  <c r="K12" i="15"/>
  <c r="J12" i="15"/>
  <c r="I12" i="15"/>
  <c r="H12" i="15"/>
  <c r="G12" i="15"/>
  <c r="F12" i="15"/>
  <c r="K11" i="15"/>
  <c r="J11" i="15"/>
  <c r="I11" i="15"/>
  <c r="H11" i="15"/>
  <c r="G11" i="15"/>
  <c r="F11" i="15"/>
  <c r="M7" i="15"/>
  <c r="L7" i="15"/>
  <c r="M6" i="15"/>
  <c r="L6" i="15"/>
  <c r="M5" i="15"/>
  <c r="L5" i="15"/>
  <c r="M4" i="15"/>
  <c r="L4" i="15"/>
  <c r="M3" i="15"/>
  <c r="L3" i="15"/>
  <c r="M2" i="15"/>
  <c r="L2" i="15"/>
  <c r="K3" i="9"/>
  <c r="H11" i="3"/>
  <c r="L2" i="1"/>
  <c r="O27" i="13"/>
  <c r="N27" i="13"/>
  <c r="M27" i="13"/>
  <c r="E27" i="13"/>
  <c r="D27" i="13"/>
  <c r="C27" i="13"/>
  <c r="O26" i="13"/>
  <c r="N26" i="13"/>
  <c r="M26" i="13"/>
  <c r="E26" i="13"/>
  <c r="D26" i="13"/>
  <c r="C26" i="13"/>
  <c r="O25" i="13"/>
  <c r="N25" i="13"/>
  <c r="M25" i="13"/>
  <c r="E25" i="13"/>
  <c r="D25" i="13"/>
  <c r="C25" i="13"/>
  <c r="O24" i="13"/>
  <c r="N24" i="13"/>
  <c r="M24" i="13"/>
  <c r="E24" i="13"/>
  <c r="D24" i="13"/>
  <c r="C24" i="13"/>
  <c r="O23" i="13"/>
  <c r="N23" i="13"/>
  <c r="M23" i="13"/>
  <c r="E23" i="13"/>
  <c r="D23" i="13"/>
  <c r="C23" i="13"/>
  <c r="O22" i="13"/>
  <c r="N22" i="13"/>
  <c r="M22" i="13"/>
  <c r="E22" i="13"/>
  <c r="D22" i="13"/>
  <c r="C22" i="13"/>
  <c r="O21" i="13"/>
  <c r="N21" i="13"/>
  <c r="M21" i="13"/>
  <c r="E21" i="13"/>
  <c r="D21" i="13"/>
  <c r="C21" i="13"/>
  <c r="O20" i="13"/>
  <c r="N20" i="13"/>
  <c r="M20" i="13"/>
  <c r="E20" i="13"/>
  <c r="D20" i="13"/>
  <c r="C20" i="13"/>
  <c r="I13" i="13"/>
  <c r="H13" i="13"/>
  <c r="G13" i="13"/>
  <c r="E13" i="13"/>
  <c r="D13" i="13"/>
  <c r="C13" i="13"/>
  <c r="I12" i="13"/>
  <c r="H12" i="13"/>
  <c r="G12" i="13"/>
  <c r="E12" i="13"/>
  <c r="D12" i="13"/>
  <c r="C12" i="13"/>
  <c r="I11" i="13"/>
  <c r="H11" i="13"/>
  <c r="G11" i="13"/>
  <c r="E11" i="13"/>
  <c r="D11" i="13"/>
  <c r="C11" i="13"/>
  <c r="O27" i="12"/>
  <c r="N27" i="12"/>
  <c r="M27" i="12"/>
  <c r="E27" i="12"/>
  <c r="D27" i="12"/>
  <c r="C27" i="12"/>
  <c r="O26" i="12"/>
  <c r="N26" i="12"/>
  <c r="M26" i="12"/>
  <c r="E26" i="12"/>
  <c r="D26" i="12"/>
  <c r="C26" i="12"/>
  <c r="O25" i="12"/>
  <c r="N25" i="12"/>
  <c r="M25" i="12"/>
  <c r="E25" i="12"/>
  <c r="D25" i="12"/>
  <c r="C25" i="12"/>
  <c r="O24" i="12"/>
  <c r="N24" i="12"/>
  <c r="M24" i="12"/>
  <c r="E24" i="12"/>
  <c r="D24" i="12"/>
  <c r="C24" i="12"/>
  <c r="O23" i="12"/>
  <c r="N23" i="12"/>
  <c r="M23" i="12"/>
  <c r="E23" i="12"/>
  <c r="D23" i="12"/>
  <c r="C23" i="12"/>
  <c r="O22" i="12"/>
  <c r="N22" i="12"/>
  <c r="M22" i="12"/>
  <c r="E22" i="12"/>
  <c r="D22" i="12"/>
  <c r="C22" i="12"/>
  <c r="O21" i="12"/>
  <c r="N21" i="12"/>
  <c r="M21" i="12"/>
  <c r="E21" i="12"/>
  <c r="D21" i="12"/>
  <c r="C21" i="12"/>
  <c r="O20" i="12"/>
  <c r="N20" i="12"/>
  <c r="M20" i="12"/>
  <c r="E20" i="12"/>
  <c r="D20" i="12"/>
  <c r="C20" i="12"/>
  <c r="I13" i="12"/>
  <c r="H13" i="12"/>
  <c r="G13" i="12"/>
  <c r="I12" i="12"/>
  <c r="H12" i="12"/>
  <c r="G12" i="12"/>
  <c r="I11" i="12"/>
  <c r="H11" i="12"/>
  <c r="G11" i="12"/>
  <c r="E13" i="12"/>
  <c r="D13" i="12"/>
  <c r="C13" i="12"/>
  <c r="E12" i="12"/>
  <c r="D12" i="12"/>
  <c r="C12" i="12"/>
  <c r="E11" i="12"/>
  <c r="D11" i="12"/>
  <c r="C11" i="12"/>
  <c r="S24" i="11"/>
  <c r="T24" i="11"/>
  <c r="U24" i="11"/>
  <c r="S22" i="11"/>
  <c r="T22" i="11"/>
  <c r="U22" i="11"/>
  <c r="S26" i="11"/>
  <c r="T26" i="11"/>
  <c r="U26" i="11"/>
  <c r="S21" i="11"/>
  <c r="T21" i="11"/>
  <c r="U21" i="11"/>
  <c r="S25" i="11"/>
  <c r="T25" i="11"/>
  <c r="U25" i="11"/>
  <c r="S23" i="11"/>
  <c r="T23" i="11"/>
  <c r="U23" i="11"/>
  <c r="S27" i="11"/>
  <c r="T27" i="11"/>
  <c r="U27" i="11"/>
  <c r="S28" i="11"/>
  <c r="T28" i="11"/>
  <c r="U28" i="11"/>
  <c r="S29" i="11"/>
  <c r="T29" i="11"/>
  <c r="U29" i="11"/>
  <c r="S30" i="11"/>
  <c r="T30" i="11"/>
  <c r="U30" i="11"/>
  <c r="S31" i="11"/>
  <c r="T31" i="11"/>
  <c r="U31" i="11"/>
  <c r="S32" i="11"/>
  <c r="T32" i="11"/>
  <c r="U32" i="11"/>
  <c r="S33" i="11"/>
  <c r="T33" i="11"/>
  <c r="U33" i="11"/>
  <c r="S34" i="11"/>
  <c r="T34" i="11"/>
  <c r="U34" i="11"/>
  <c r="S35" i="11"/>
  <c r="T35" i="11"/>
  <c r="U35" i="11"/>
  <c r="S36" i="11"/>
  <c r="T36" i="11"/>
  <c r="U36" i="11"/>
  <c r="S37" i="11"/>
  <c r="T37" i="11"/>
  <c r="U37" i="11"/>
  <c r="S38" i="11"/>
  <c r="T38" i="11"/>
  <c r="U38" i="11"/>
  <c r="S39" i="11"/>
  <c r="T39" i="11"/>
  <c r="U39" i="11"/>
  <c r="S40" i="11"/>
  <c r="T40" i="11"/>
  <c r="U40" i="11"/>
  <c r="S41" i="11"/>
  <c r="T41" i="11"/>
  <c r="U41" i="11"/>
  <c r="S42" i="11"/>
  <c r="T42" i="11"/>
  <c r="U42" i="11"/>
  <c r="S43" i="11"/>
  <c r="T43" i="11"/>
  <c r="U43" i="11"/>
  <c r="S44" i="11"/>
  <c r="T44" i="11"/>
  <c r="U44" i="11"/>
  <c r="S45" i="11"/>
  <c r="T45" i="11"/>
  <c r="U45" i="11"/>
  <c r="S46" i="11"/>
  <c r="T46" i="11"/>
  <c r="U46" i="11"/>
  <c r="S47" i="11"/>
  <c r="T47" i="11"/>
  <c r="U47" i="11"/>
  <c r="S48" i="11"/>
  <c r="T48" i="11"/>
  <c r="U48" i="11"/>
  <c r="S49" i="11"/>
  <c r="T49" i="11"/>
  <c r="U49" i="11"/>
  <c r="S50" i="11"/>
  <c r="T50" i="11"/>
  <c r="U50" i="11"/>
  <c r="S51" i="11"/>
  <c r="T51" i="11"/>
  <c r="U51" i="11"/>
  <c r="S52" i="11"/>
  <c r="T52" i="11"/>
  <c r="U52" i="11"/>
  <c r="S53" i="11"/>
  <c r="T53" i="11"/>
  <c r="U53" i="11"/>
  <c r="S54" i="11"/>
  <c r="T54" i="11"/>
  <c r="U54" i="11"/>
  <c r="S55" i="11"/>
  <c r="T55" i="11"/>
  <c r="U55" i="11"/>
  <c r="S56" i="11"/>
  <c r="T56" i="11"/>
  <c r="U56" i="11"/>
  <c r="S57" i="11"/>
  <c r="T57" i="11"/>
  <c r="U57" i="11"/>
  <c r="S58" i="11"/>
  <c r="T58" i="11"/>
  <c r="U58" i="11"/>
  <c r="S59" i="11"/>
  <c r="T59" i="11"/>
  <c r="U59" i="11"/>
  <c r="S60" i="11"/>
  <c r="T60" i="11"/>
  <c r="U60" i="11"/>
  <c r="S61" i="11"/>
  <c r="T61" i="11"/>
  <c r="U61" i="11"/>
  <c r="S62" i="11"/>
  <c r="T62" i="11"/>
  <c r="U62" i="11"/>
  <c r="S63" i="11"/>
  <c r="T63" i="11"/>
  <c r="U63" i="11"/>
  <c r="S64" i="11"/>
  <c r="T64" i="11"/>
  <c r="U64" i="11"/>
  <c r="S65" i="11"/>
  <c r="T65" i="11"/>
  <c r="U65" i="11"/>
  <c r="S66" i="11"/>
  <c r="T66" i="11"/>
  <c r="U66" i="11"/>
  <c r="S67" i="11"/>
  <c r="T67" i="11"/>
  <c r="U67" i="11"/>
  <c r="S68" i="11"/>
  <c r="T68" i="11"/>
  <c r="U68" i="11"/>
  <c r="S69" i="11"/>
  <c r="T69" i="11"/>
  <c r="U69" i="11"/>
  <c r="S70" i="11"/>
  <c r="T70" i="11"/>
  <c r="U70" i="11"/>
  <c r="S71" i="11"/>
  <c r="T71" i="11"/>
  <c r="U71" i="11"/>
  <c r="S72" i="11"/>
  <c r="T72" i="11"/>
  <c r="U72" i="11"/>
  <c r="S73" i="11"/>
  <c r="T73" i="11"/>
  <c r="U73" i="11"/>
  <c r="S74" i="11"/>
  <c r="T74" i="11"/>
  <c r="U74" i="11"/>
  <c r="S75" i="11"/>
  <c r="T75" i="11"/>
  <c r="U75" i="11"/>
  <c r="S76" i="11"/>
  <c r="T76" i="11"/>
  <c r="U76" i="11"/>
  <c r="S77" i="11"/>
  <c r="T77" i="11"/>
  <c r="U77" i="11"/>
  <c r="S78" i="11"/>
  <c r="T78" i="11"/>
  <c r="U78" i="11"/>
  <c r="S79" i="11"/>
  <c r="T79" i="11"/>
  <c r="U79" i="11"/>
  <c r="S80" i="11"/>
  <c r="T80" i="11"/>
  <c r="U80" i="11"/>
  <c r="S81" i="11"/>
  <c r="T81" i="11"/>
  <c r="U81" i="11"/>
  <c r="S82" i="11"/>
  <c r="T82" i="11"/>
  <c r="U82" i="11"/>
  <c r="S83" i="11"/>
  <c r="T83" i="11"/>
  <c r="U83" i="11"/>
  <c r="U20" i="11"/>
  <c r="T20" i="11"/>
  <c r="S20" i="11"/>
  <c r="G11" i="11"/>
  <c r="H11" i="11"/>
  <c r="I11" i="11"/>
  <c r="J11" i="11"/>
  <c r="G12" i="11"/>
  <c r="H12" i="11"/>
  <c r="I12" i="11"/>
  <c r="J12" i="11"/>
  <c r="G13" i="11"/>
  <c r="H13" i="11"/>
  <c r="I13" i="11"/>
  <c r="J13" i="11"/>
  <c r="G14" i="11"/>
  <c r="H14" i="11"/>
  <c r="I14" i="11"/>
  <c r="J14" i="11"/>
  <c r="G15" i="11"/>
  <c r="H15" i="11"/>
  <c r="I15" i="11"/>
  <c r="J15" i="11"/>
  <c r="G16" i="11"/>
  <c r="H16" i="11"/>
  <c r="I16" i="11"/>
  <c r="J16" i="11"/>
  <c r="AN83" i="11"/>
  <c r="AK83" i="11"/>
  <c r="AF83" i="11"/>
  <c r="G83" i="11"/>
  <c r="F83" i="11"/>
  <c r="E83" i="11"/>
  <c r="D83" i="11"/>
  <c r="AN82" i="11"/>
  <c r="AF82" i="11"/>
  <c r="G82" i="11"/>
  <c r="F82" i="11"/>
  <c r="E82" i="11"/>
  <c r="D82" i="11"/>
  <c r="AN81" i="11"/>
  <c r="AF81" i="11"/>
  <c r="G81" i="11"/>
  <c r="F81" i="11"/>
  <c r="E81" i="11"/>
  <c r="D81" i="11"/>
  <c r="AN80" i="11"/>
  <c r="AF80" i="11"/>
  <c r="G80" i="11"/>
  <c r="F80" i="11"/>
  <c r="E80" i="11"/>
  <c r="D80" i="11"/>
  <c r="AN79" i="11"/>
  <c r="AF79" i="11"/>
  <c r="G79" i="11"/>
  <c r="F79" i="11"/>
  <c r="E79" i="11"/>
  <c r="D79" i="11"/>
  <c r="AN78" i="11"/>
  <c r="AF78" i="11"/>
  <c r="G78" i="11"/>
  <c r="F78" i="11"/>
  <c r="E78" i="11"/>
  <c r="D78" i="11"/>
  <c r="AN77" i="11"/>
  <c r="AF77" i="11"/>
  <c r="G77" i="11"/>
  <c r="F77" i="11"/>
  <c r="E77" i="11"/>
  <c r="D77" i="11"/>
  <c r="AN76" i="11"/>
  <c r="AF76" i="11"/>
  <c r="G76" i="11"/>
  <c r="F76" i="11"/>
  <c r="E76" i="11"/>
  <c r="D76" i="11"/>
  <c r="AN75" i="11"/>
  <c r="AF75" i="11"/>
  <c r="G75" i="11"/>
  <c r="F75" i="11"/>
  <c r="E75" i="11"/>
  <c r="D75" i="11"/>
  <c r="AN74" i="11"/>
  <c r="AF74" i="11"/>
  <c r="G74" i="11"/>
  <c r="F74" i="11"/>
  <c r="E74" i="11"/>
  <c r="D74" i="11"/>
  <c r="AN73" i="11"/>
  <c r="AF73" i="11"/>
  <c r="G73" i="11"/>
  <c r="F73" i="11"/>
  <c r="E73" i="11"/>
  <c r="D73" i="11"/>
  <c r="AN72" i="11"/>
  <c r="AF72" i="11"/>
  <c r="G72" i="11"/>
  <c r="F72" i="11"/>
  <c r="E72" i="11"/>
  <c r="D72" i="11"/>
  <c r="AN71" i="11"/>
  <c r="AF71" i="11"/>
  <c r="G71" i="11"/>
  <c r="F71" i="11"/>
  <c r="E71" i="11"/>
  <c r="D71" i="11"/>
  <c r="AN70" i="11"/>
  <c r="AF70" i="11"/>
  <c r="G70" i="11"/>
  <c r="F70" i="11"/>
  <c r="E70" i="11"/>
  <c r="D70" i="11"/>
  <c r="AN69" i="11"/>
  <c r="AF69" i="11"/>
  <c r="G69" i="11"/>
  <c r="F69" i="11"/>
  <c r="E69" i="11"/>
  <c r="D69" i="11"/>
  <c r="AN68" i="11"/>
  <c r="AF68" i="11"/>
  <c r="G68" i="11"/>
  <c r="F68" i="11"/>
  <c r="E68" i="11"/>
  <c r="D68" i="11"/>
  <c r="AN67" i="11"/>
  <c r="AF67" i="11"/>
  <c r="G67" i="11"/>
  <c r="F67" i="11"/>
  <c r="E67" i="11"/>
  <c r="D67" i="11"/>
  <c r="AN66" i="11"/>
  <c r="AF66" i="11"/>
  <c r="G66" i="11"/>
  <c r="F66" i="11"/>
  <c r="E66" i="11"/>
  <c r="D66" i="11"/>
  <c r="AN65" i="11"/>
  <c r="AF65" i="11"/>
  <c r="G65" i="11"/>
  <c r="F65" i="11"/>
  <c r="E65" i="11"/>
  <c r="D65" i="11"/>
  <c r="AN64" i="11"/>
  <c r="AF64" i="11"/>
  <c r="G64" i="11"/>
  <c r="F64" i="11"/>
  <c r="E64" i="11"/>
  <c r="D64" i="11"/>
  <c r="AN63" i="11"/>
  <c r="AF63" i="11"/>
  <c r="G63" i="11"/>
  <c r="F63" i="11"/>
  <c r="E63" i="11"/>
  <c r="D63" i="11"/>
  <c r="AN62" i="11"/>
  <c r="AF62" i="11"/>
  <c r="G62" i="11"/>
  <c r="F62" i="11"/>
  <c r="E62" i="11"/>
  <c r="D62" i="11"/>
  <c r="AN61" i="11"/>
  <c r="AF61" i="11"/>
  <c r="G61" i="11"/>
  <c r="F61" i="11"/>
  <c r="E61" i="11"/>
  <c r="D61" i="11"/>
  <c r="AN60" i="11"/>
  <c r="AF60" i="11"/>
  <c r="G60" i="11"/>
  <c r="F60" i="11"/>
  <c r="E60" i="11"/>
  <c r="D60" i="11"/>
  <c r="AN59" i="11"/>
  <c r="AF59" i="11"/>
  <c r="G59" i="11"/>
  <c r="F59" i="11"/>
  <c r="E59" i="11"/>
  <c r="D59" i="11"/>
  <c r="AN58" i="11"/>
  <c r="AF58" i="11"/>
  <c r="G58" i="11"/>
  <c r="F58" i="11"/>
  <c r="E58" i="11"/>
  <c r="D58" i="11"/>
  <c r="AN57" i="11"/>
  <c r="AF57" i="11"/>
  <c r="G57" i="11"/>
  <c r="F57" i="11"/>
  <c r="E57" i="11"/>
  <c r="D57" i="11"/>
  <c r="AN56" i="11"/>
  <c r="AF56" i="11"/>
  <c r="G56" i="11"/>
  <c r="F56" i="11"/>
  <c r="E56" i="11"/>
  <c r="D56" i="11"/>
  <c r="AN55" i="11"/>
  <c r="AF55" i="11"/>
  <c r="G55" i="11"/>
  <c r="F55" i="11"/>
  <c r="E55" i="11"/>
  <c r="D55" i="11"/>
  <c r="AN54" i="11"/>
  <c r="AF54" i="11"/>
  <c r="G54" i="11"/>
  <c r="F54" i="11"/>
  <c r="E54" i="11"/>
  <c r="D54" i="11"/>
  <c r="AN53" i="11"/>
  <c r="AF53" i="11"/>
  <c r="G53" i="11"/>
  <c r="F53" i="11"/>
  <c r="E53" i="11"/>
  <c r="D53" i="11"/>
  <c r="AN52" i="11"/>
  <c r="AF52" i="11"/>
  <c r="G52" i="11"/>
  <c r="F52" i="11"/>
  <c r="E52" i="11"/>
  <c r="D52" i="11"/>
  <c r="AN51" i="11"/>
  <c r="AF51" i="11"/>
  <c r="G51" i="11"/>
  <c r="F51" i="11"/>
  <c r="E51" i="11"/>
  <c r="D51" i="11"/>
  <c r="AN50" i="11"/>
  <c r="AF50" i="11"/>
  <c r="G50" i="11"/>
  <c r="F50" i="11"/>
  <c r="E50" i="11"/>
  <c r="D50" i="11"/>
  <c r="AN49" i="11"/>
  <c r="AF49" i="11"/>
  <c r="G49" i="11"/>
  <c r="F49" i="11"/>
  <c r="E49" i="11"/>
  <c r="D49" i="11"/>
  <c r="AN48" i="11"/>
  <c r="AF48" i="11"/>
  <c r="G48" i="11"/>
  <c r="F48" i="11"/>
  <c r="E48" i="11"/>
  <c r="D48" i="11"/>
  <c r="AN47" i="11"/>
  <c r="AF47" i="11"/>
  <c r="G47" i="11"/>
  <c r="F47" i="11"/>
  <c r="E47" i="11"/>
  <c r="D47" i="11"/>
  <c r="AN46" i="11"/>
  <c r="AF46" i="11"/>
  <c r="G46" i="11"/>
  <c r="F46" i="11"/>
  <c r="E46" i="11"/>
  <c r="D46" i="11"/>
  <c r="AN45" i="11"/>
  <c r="AF45" i="11"/>
  <c r="G45" i="11"/>
  <c r="F45" i="11"/>
  <c r="E45" i="11"/>
  <c r="D45" i="11"/>
  <c r="AN44" i="11"/>
  <c r="AF44" i="11"/>
  <c r="G44" i="11"/>
  <c r="F44" i="11"/>
  <c r="E44" i="11"/>
  <c r="D44" i="11"/>
  <c r="AN43" i="11"/>
  <c r="AF43" i="11"/>
  <c r="G43" i="11"/>
  <c r="F43" i="11"/>
  <c r="E43" i="11"/>
  <c r="D43" i="11"/>
  <c r="AN42" i="11"/>
  <c r="AF42" i="11"/>
  <c r="G42" i="11"/>
  <c r="F42" i="11"/>
  <c r="E42" i="11"/>
  <c r="D42" i="11"/>
  <c r="AN41" i="11"/>
  <c r="AF41" i="11"/>
  <c r="G41" i="11"/>
  <c r="F41" i="11"/>
  <c r="E41" i="11"/>
  <c r="D41" i="11"/>
  <c r="AN40" i="11"/>
  <c r="AF40" i="11"/>
  <c r="G40" i="11"/>
  <c r="F40" i="11"/>
  <c r="E40" i="11"/>
  <c r="D40" i="11"/>
  <c r="AN39" i="11"/>
  <c r="AF39" i="11"/>
  <c r="G39" i="11"/>
  <c r="F39" i="11"/>
  <c r="E39" i="11"/>
  <c r="D39" i="11"/>
  <c r="AN38" i="11"/>
  <c r="AF38" i="11"/>
  <c r="G38" i="11"/>
  <c r="F38" i="11"/>
  <c r="E38" i="11"/>
  <c r="D38" i="11"/>
  <c r="AN37" i="11"/>
  <c r="AF37" i="11"/>
  <c r="G37" i="11"/>
  <c r="F37" i="11"/>
  <c r="E37" i="11"/>
  <c r="D37" i="11"/>
  <c r="AN36" i="11"/>
  <c r="AF36" i="11"/>
  <c r="G36" i="11"/>
  <c r="F36" i="11"/>
  <c r="E36" i="11"/>
  <c r="D36" i="11"/>
  <c r="AN35" i="11"/>
  <c r="AF35" i="11"/>
  <c r="F35" i="11"/>
  <c r="E35" i="11"/>
  <c r="D35" i="11"/>
  <c r="AN34" i="11"/>
  <c r="AF34" i="11"/>
  <c r="F34" i="11"/>
  <c r="E34" i="11"/>
  <c r="D34" i="11"/>
  <c r="AN33" i="11"/>
  <c r="AF33" i="11"/>
  <c r="F33" i="11"/>
  <c r="E33" i="11"/>
  <c r="D33" i="11"/>
  <c r="AN32" i="11"/>
  <c r="AF32" i="11"/>
  <c r="F32" i="11"/>
  <c r="E32" i="11"/>
  <c r="D32" i="11"/>
  <c r="AN31" i="11"/>
  <c r="AF31" i="11"/>
  <c r="F31" i="11"/>
  <c r="E31" i="11"/>
  <c r="D31" i="11"/>
  <c r="AN30" i="11"/>
  <c r="AF30" i="11"/>
  <c r="F30" i="11"/>
  <c r="E30" i="11"/>
  <c r="D30" i="11"/>
  <c r="AN29" i="11"/>
  <c r="AF29" i="11"/>
  <c r="F29" i="11"/>
  <c r="E29" i="11"/>
  <c r="D29" i="11"/>
  <c r="AN28" i="11"/>
  <c r="F28" i="11"/>
  <c r="E28" i="11"/>
  <c r="D28" i="11"/>
  <c r="AN27" i="11"/>
  <c r="F27" i="11"/>
  <c r="E27" i="11"/>
  <c r="D27" i="11"/>
  <c r="AN26" i="11"/>
  <c r="F26" i="11"/>
  <c r="E26" i="11"/>
  <c r="D26" i="11"/>
  <c r="AN25" i="11"/>
  <c r="F25" i="11"/>
  <c r="E25" i="11"/>
  <c r="D25" i="11"/>
  <c r="AN24" i="11"/>
  <c r="F24" i="11"/>
  <c r="E24" i="11"/>
  <c r="D24" i="11"/>
  <c r="AN23" i="11"/>
  <c r="F23" i="11"/>
  <c r="E23" i="11"/>
  <c r="D23" i="11"/>
  <c r="AN22" i="11"/>
  <c r="F22" i="11"/>
  <c r="E22" i="11"/>
  <c r="D22" i="11"/>
  <c r="F21" i="11"/>
  <c r="E21" i="11"/>
  <c r="D21" i="11"/>
  <c r="F20" i="11"/>
  <c r="E20" i="11"/>
  <c r="D20" i="11"/>
  <c r="F16" i="11"/>
  <c r="E16" i="11"/>
  <c r="D16" i="11"/>
  <c r="F15" i="11"/>
  <c r="E15" i="11"/>
  <c r="D15" i="11"/>
  <c r="F14" i="11"/>
  <c r="E14" i="11"/>
  <c r="D14" i="11"/>
  <c r="F13" i="11"/>
  <c r="E13" i="11"/>
  <c r="D13" i="11"/>
  <c r="F12" i="11"/>
  <c r="E12" i="11"/>
  <c r="D12" i="11"/>
  <c r="F11" i="11"/>
  <c r="E11" i="11"/>
  <c r="D11" i="11"/>
  <c r="K8" i="11"/>
  <c r="K7" i="11"/>
  <c r="K6" i="11"/>
  <c r="K5" i="11"/>
  <c r="K4" i="11"/>
  <c r="K3" i="11"/>
  <c r="D21" i="10"/>
  <c r="E21" i="10"/>
  <c r="F21" i="10"/>
  <c r="D22" i="10"/>
  <c r="E22" i="10"/>
  <c r="F22" i="10"/>
  <c r="D23" i="10"/>
  <c r="E23" i="10"/>
  <c r="F23" i="10"/>
  <c r="D24" i="10"/>
  <c r="E24" i="10"/>
  <c r="F24" i="10"/>
  <c r="D25" i="10"/>
  <c r="E25" i="10"/>
  <c r="F25" i="10"/>
  <c r="D26" i="10"/>
  <c r="E26" i="10"/>
  <c r="F26" i="10"/>
  <c r="D27" i="10"/>
  <c r="E27" i="10"/>
  <c r="F27" i="10"/>
  <c r="D28" i="10"/>
  <c r="E28" i="10"/>
  <c r="F28" i="10"/>
  <c r="D29" i="10"/>
  <c r="E29" i="10"/>
  <c r="F29" i="10"/>
  <c r="D30" i="10"/>
  <c r="E30" i="10"/>
  <c r="F30" i="10"/>
  <c r="D31" i="10"/>
  <c r="E31" i="10"/>
  <c r="F31" i="10"/>
  <c r="D32" i="10"/>
  <c r="E32" i="10"/>
  <c r="F32" i="10"/>
  <c r="D33" i="10"/>
  <c r="E33" i="10"/>
  <c r="F33" i="10"/>
  <c r="D34" i="10"/>
  <c r="E34" i="10"/>
  <c r="F34" i="10"/>
  <c r="D35" i="10"/>
  <c r="E35" i="10"/>
  <c r="F35" i="10"/>
  <c r="D36" i="10"/>
  <c r="E36" i="10"/>
  <c r="F36" i="10"/>
  <c r="D37" i="10"/>
  <c r="E37" i="10"/>
  <c r="F37" i="10"/>
  <c r="D38" i="10"/>
  <c r="E38" i="10"/>
  <c r="F38" i="10"/>
  <c r="D39" i="10"/>
  <c r="E39" i="10"/>
  <c r="F39" i="10"/>
  <c r="D40" i="10"/>
  <c r="E40" i="10"/>
  <c r="F40" i="10"/>
  <c r="D41" i="10"/>
  <c r="E41" i="10"/>
  <c r="F41" i="10"/>
  <c r="D42" i="10"/>
  <c r="E42" i="10"/>
  <c r="F42" i="10"/>
  <c r="D43" i="10"/>
  <c r="E43" i="10"/>
  <c r="F43" i="10"/>
  <c r="D44" i="10"/>
  <c r="E44" i="10"/>
  <c r="F44" i="10"/>
  <c r="D45" i="10"/>
  <c r="E45" i="10"/>
  <c r="F45" i="10"/>
  <c r="D46" i="10"/>
  <c r="E46" i="10"/>
  <c r="F46" i="10"/>
  <c r="D47" i="10"/>
  <c r="E47" i="10"/>
  <c r="F47" i="10"/>
  <c r="D48" i="10"/>
  <c r="E48" i="10"/>
  <c r="F48" i="10"/>
  <c r="D49" i="10"/>
  <c r="E49" i="10"/>
  <c r="F49" i="10"/>
  <c r="D50" i="10"/>
  <c r="E50" i="10"/>
  <c r="F50" i="10"/>
  <c r="D51" i="10"/>
  <c r="E51" i="10"/>
  <c r="F51" i="10"/>
  <c r="D52" i="10"/>
  <c r="E52" i="10"/>
  <c r="F52" i="10"/>
  <c r="D53" i="10"/>
  <c r="E53" i="10"/>
  <c r="F53" i="10"/>
  <c r="D54" i="10"/>
  <c r="E54" i="10"/>
  <c r="F54" i="10"/>
  <c r="D55" i="10"/>
  <c r="E55" i="10"/>
  <c r="F55" i="10"/>
  <c r="D56" i="10"/>
  <c r="E56" i="10"/>
  <c r="F56" i="10"/>
  <c r="D57" i="10"/>
  <c r="E57" i="10"/>
  <c r="F57" i="10"/>
  <c r="D58" i="10"/>
  <c r="E58" i="10"/>
  <c r="F58" i="10"/>
  <c r="D59" i="10"/>
  <c r="E59" i="10"/>
  <c r="F59" i="10"/>
  <c r="D60" i="10"/>
  <c r="E60" i="10"/>
  <c r="F60" i="10"/>
  <c r="D61" i="10"/>
  <c r="E61" i="10"/>
  <c r="F61" i="10"/>
  <c r="D62" i="10"/>
  <c r="E62" i="10"/>
  <c r="F62" i="10"/>
  <c r="D63" i="10"/>
  <c r="E63" i="10"/>
  <c r="F63" i="10"/>
  <c r="D64" i="10"/>
  <c r="E64" i="10"/>
  <c r="F64" i="10"/>
  <c r="D65" i="10"/>
  <c r="E65" i="10"/>
  <c r="F65" i="10"/>
  <c r="D66" i="10"/>
  <c r="E66" i="10"/>
  <c r="F66" i="10"/>
  <c r="D67" i="10"/>
  <c r="E67" i="10"/>
  <c r="F67" i="10"/>
  <c r="D68" i="10"/>
  <c r="E68" i="10"/>
  <c r="F68" i="10"/>
  <c r="D69" i="10"/>
  <c r="E69" i="10"/>
  <c r="F69" i="10"/>
  <c r="D70" i="10"/>
  <c r="E70" i="10"/>
  <c r="F70" i="10"/>
  <c r="D71" i="10"/>
  <c r="E71" i="10"/>
  <c r="F71" i="10"/>
  <c r="D72" i="10"/>
  <c r="E72" i="10"/>
  <c r="F72" i="10"/>
  <c r="D73" i="10"/>
  <c r="E73" i="10"/>
  <c r="F73" i="10"/>
  <c r="D74" i="10"/>
  <c r="E74" i="10"/>
  <c r="F74" i="10"/>
  <c r="D75" i="10"/>
  <c r="E75" i="10"/>
  <c r="F75" i="10"/>
  <c r="D76" i="10"/>
  <c r="E76" i="10"/>
  <c r="F76" i="10"/>
  <c r="D77" i="10"/>
  <c r="E77" i="10"/>
  <c r="F77" i="10"/>
  <c r="D78" i="10"/>
  <c r="E78" i="10"/>
  <c r="F78" i="10"/>
  <c r="D79" i="10"/>
  <c r="E79" i="10"/>
  <c r="F79" i="10"/>
  <c r="D80" i="10"/>
  <c r="E80" i="10"/>
  <c r="F80" i="10"/>
  <c r="D81" i="10"/>
  <c r="E81" i="10"/>
  <c r="F81" i="10"/>
  <c r="D82" i="10"/>
  <c r="E82" i="10"/>
  <c r="F82" i="10"/>
  <c r="D83" i="10"/>
  <c r="E83" i="10"/>
  <c r="F83" i="10"/>
  <c r="F20" i="10"/>
  <c r="E20" i="10"/>
  <c r="D20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AL83" i="10"/>
  <c r="AI83" i="10"/>
  <c r="AD83" i="10"/>
  <c r="S83" i="10"/>
  <c r="R83" i="10"/>
  <c r="Q83" i="10"/>
  <c r="AL82" i="10"/>
  <c r="AD82" i="10"/>
  <c r="S82" i="10"/>
  <c r="R82" i="10"/>
  <c r="Q82" i="10"/>
  <c r="AL81" i="10"/>
  <c r="AD81" i="10"/>
  <c r="S81" i="10"/>
  <c r="R81" i="10"/>
  <c r="Q81" i="10"/>
  <c r="AL80" i="10"/>
  <c r="AD80" i="10"/>
  <c r="S80" i="10"/>
  <c r="R80" i="10"/>
  <c r="Q80" i="10"/>
  <c r="AL79" i="10"/>
  <c r="AD79" i="10"/>
  <c r="S79" i="10"/>
  <c r="R79" i="10"/>
  <c r="Q79" i="10"/>
  <c r="AL78" i="10"/>
  <c r="AD78" i="10"/>
  <c r="S78" i="10"/>
  <c r="R78" i="10"/>
  <c r="Q78" i="10"/>
  <c r="AL77" i="10"/>
  <c r="AD77" i="10"/>
  <c r="S77" i="10"/>
  <c r="R77" i="10"/>
  <c r="Q77" i="10"/>
  <c r="AL76" i="10"/>
  <c r="AD76" i="10"/>
  <c r="S76" i="10"/>
  <c r="R76" i="10"/>
  <c r="Q76" i="10"/>
  <c r="AL75" i="10"/>
  <c r="AD75" i="10"/>
  <c r="S75" i="10"/>
  <c r="R75" i="10"/>
  <c r="Q75" i="10"/>
  <c r="AL74" i="10"/>
  <c r="AD74" i="10"/>
  <c r="S74" i="10"/>
  <c r="R74" i="10"/>
  <c r="Q74" i="10"/>
  <c r="AL73" i="10"/>
  <c r="AD73" i="10"/>
  <c r="S73" i="10"/>
  <c r="R73" i="10"/>
  <c r="Q73" i="10"/>
  <c r="AL72" i="10"/>
  <c r="AD72" i="10"/>
  <c r="S72" i="10"/>
  <c r="R72" i="10"/>
  <c r="Q72" i="10"/>
  <c r="AL71" i="10"/>
  <c r="AD71" i="10"/>
  <c r="S71" i="10"/>
  <c r="R71" i="10"/>
  <c r="Q71" i="10"/>
  <c r="AL70" i="10"/>
  <c r="AD70" i="10"/>
  <c r="S70" i="10"/>
  <c r="R70" i="10"/>
  <c r="Q70" i="10"/>
  <c r="AL69" i="10"/>
  <c r="AD69" i="10"/>
  <c r="S69" i="10"/>
  <c r="R69" i="10"/>
  <c r="Q69" i="10"/>
  <c r="AL68" i="10"/>
  <c r="AD68" i="10"/>
  <c r="S68" i="10"/>
  <c r="R68" i="10"/>
  <c r="Q68" i="10"/>
  <c r="AL67" i="10"/>
  <c r="AD67" i="10"/>
  <c r="S67" i="10"/>
  <c r="R67" i="10"/>
  <c r="Q67" i="10"/>
  <c r="AL66" i="10"/>
  <c r="AD66" i="10"/>
  <c r="S66" i="10"/>
  <c r="R66" i="10"/>
  <c r="Q66" i="10"/>
  <c r="AL65" i="10"/>
  <c r="AD65" i="10"/>
  <c r="S65" i="10"/>
  <c r="R65" i="10"/>
  <c r="Q65" i="10"/>
  <c r="AL64" i="10"/>
  <c r="AD64" i="10"/>
  <c r="S64" i="10"/>
  <c r="R64" i="10"/>
  <c r="Q64" i="10"/>
  <c r="AL63" i="10"/>
  <c r="AD63" i="10"/>
  <c r="S63" i="10"/>
  <c r="R63" i="10"/>
  <c r="Q63" i="10"/>
  <c r="AL62" i="10"/>
  <c r="AD62" i="10"/>
  <c r="S62" i="10"/>
  <c r="R62" i="10"/>
  <c r="Q62" i="10"/>
  <c r="AL61" i="10"/>
  <c r="AD61" i="10"/>
  <c r="S61" i="10"/>
  <c r="R61" i="10"/>
  <c r="Q61" i="10"/>
  <c r="AL60" i="10"/>
  <c r="AD60" i="10"/>
  <c r="S60" i="10"/>
  <c r="R60" i="10"/>
  <c r="Q60" i="10"/>
  <c r="AL59" i="10"/>
  <c r="AD59" i="10"/>
  <c r="S59" i="10"/>
  <c r="R59" i="10"/>
  <c r="Q59" i="10"/>
  <c r="AL58" i="10"/>
  <c r="AD58" i="10"/>
  <c r="S58" i="10"/>
  <c r="R58" i="10"/>
  <c r="Q58" i="10"/>
  <c r="AL57" i="10"/>
  <c r="AD57" i="10"/>
  <c r="S57" i="10"/>
  <c r="R57" i="10"/>
  <c r="Q57" i="10"/>
  <c r="AL56" i="10"/>
  <c r="AD56" i="10"/>
  <c r="S56" i="10"/>
  <c r="R56" i="10"/>
  <c r="Q56" i="10"/>
  <c r="AL55" i="10"/>
  <c r="AD55" i="10"/>
  <c r="S55" i="10"/>
  <c r="R55" i="10"/>
  <c r="Q55" i="10"/>
  <c r="AL54" i="10"/>
  <c r="AD54" i="10"/>
  <c r="S54" i="10"/>
  <c r="R54" i="10"/>
  <c r="Q54" i="10"/>
  <c r="AL53" i="10"/>
  <c r="AD53" i="10"/>
  <c r="S53" i="10"/>
  <c r="R53" i="10"/>
  <c r="Q53" i="10"/>
  <c r="AL52" i="10"/>
  <c r="AD52" i="10"/>
  <c r="S52" i="10"/>
  <c r="R52" i="10"/>
  <c r="Q52" i="10"/>
  <c r="AL51" i="10"/>
  <c r="AD51" i="10"/>
  <c r="S51" i="10"/>
  <c r="R51" i="10"/>
  <c r="Q51" i="10"/>
  <c r="AL50" i="10"/>
  <c r="AD50" i="10"/>
  <c r="S50" i="10"/>
  <c r="R50" i="10"/>
  <c r="Q50" i="10"/>
  <c r="AL49" i="10"/>
  <c r="AD49" i="10"/>
  <c r="S49" i="10"/>
  <c r="R49" i="10"/>
  <c r="Q49" i="10"/>
  <c r="AL48" i="10"/>
  <c r="AD48" i="10"/>
  <c r="S48" i="10"/>
  <c r="R48" i="10"/>
  <c r="Q48" i="10"/>
  <c r="AL47" i="10"/>
  <c r="AD47" i="10"/>
  <c r="S47" i="10"/>
  <c r="R47" i="10"/>
  <c r="Q47" i="10"/>
  <c r="AL46" i="10"/>
  <c r="AD46" i="10"/>
  <c r="S46" i="10"/>
  <c r="R46" i="10"/>
  <c r="Q46" i="10"/>
  <c r="AL45" i="10"/>
  <c r="AD45" i="10"/>
  <c r="S45" i="10"/>
  <c r="R45" i="10"/>
  <c r="Q45" i="10"/>
  <c r="AL44" i="10"/>
  <c r="AD44" i="10"/>
  <c r="S44" i="10"/>
  <c r="R44" i="10"/>
  <c r="Q44" i="10"/>
  <c r="AL43" i="10"/>
  <c r="AD43" i="10"/>
  <c r="S43" i="10"/>
  <c r="R43" i="10"/>
  <c r="Q43" i="10"/>
  <c r="AL42" i="10"/>
  <c r="AD42" i="10"/>
  <c r="S42" i="10"/>
  <c r="R42" i="10"/>
  <c r="Q42" i="10"/>
  <c r="AL41" i="10"/>
  <c r="AD41" i="10"/>
  <c r="S41" i="10"/>
  <c r="R41" i="10"/>
  <c r="Q41" i="10"/>
  <c r="AL40" i="10"/>
  <c r="AD40" i="10"/>
  <c r="S40" i="10"/>
  <c r="R40" i="10"/>
  <c r="Q40" i="10"/>
  <c r="AL39" i="10"/>
  <c r="AD39" i="10"/>
  <c r="S39" i="10"/>
  <c r="R39" i="10"/>
  <c r="Q39" i="10"/>
  <c r="AL38" i="10"/>
  <c r="AD38" i="10"/>
  <c r="S38" i="10"/>
  <c r="R38" i="10"/>
  <c r="Q38" i="10"/>
  <c r="AL37" i="10"/>
  <c r="AD37" i="10"/>
  <c r="S37" i="10"/>
  <c r="R37" i="10"/>
  <c r="Q37" i="10"/>
  <c r="AL36" i="10"/>
  <c r="AD36" i="10"/>
  <c r="S36" i="10"/>
  <c r="R36" i="10"/>
  <c r="Q36" i="10"/>
  <c r="AL35" i="10"/>
  <c r="AD35" i="10"/>
  <c r="S35" i="10"/>
  <c r="R35" i="10"/>
  <c r="Q35" i="10"/>
  <c r="AL34" i="10"/>
  <c r="AD34" i="10"/>
  <c r="S34" i="10"/>
  <c r="R34" i="10"/>
  <c r="Q34" i="10"/>
  <c r="AL33" i="10"/>
  <c r="AD33" i="10"/>
  <c r="S33" i="10"/>
  <c r="R33" i="10"/>
  <c r="Q33" i="10"/>
  <c r="AL32" i="10"/>
  <c r="AD32" i="10"/>
  <c r="S32" i="10"/>
  <c r="R32" i="10"/>
  <c r="Q32" i="10"/>
  <c r="AL31" i="10"/>
  <c r="AD31" i="10"/>
  <c r="S31" i="10"/>
  <c r="R31" i="10"/>
  <c r="Q31" i="10"/>
  <c r="AL30" i="10"/>
  <c r="AD30" i="10"/>
  <c r="S30" i="10"/>
  <c r="R30" i="10"/>
  <c r="Q30" i="10"/>
  <c r="AL29" i="10"/>
  <c r="AD29" i="10"/>
  <c r="S29" i="10"/>
  <c r="R29" i="10"/>
  <c r="Q29" i="10"/>
  <c r="AL28" i="10"/>
  <c r="S28" i="10"/>
  <c r="R28" i="10"/>
  <c r="Q28" i="10"/>
  <c r="AL27" i="10"/>
  <c r="S27" i="10"/>
  <c r="R27" i="10"/>
  <c r="Q27" i="10"/>
  <c r="AL26" i="10"/>
  <c r="S26" i="10"/>
  <c r="R26" i="10"/>
  <c r="Q26" i="10"/>
  <c r="AL25" i="10"/>
  <c r="S25" i="10"/>
  <c r="R25" i="10"/>
  <c r="Q25" i="10"/>
  <c r="S24" i="10"/>
  <c r="R24" i="10"/>
  <c r="Q24" i="10"/>
  <c r="S23" i="10"/>
  <c r="R23" i="10"/>
  <c r="Q23" i="10"/>
  <c r="S22" i="10"/>
  <c r="R22" i="10"/>
  <c r="Q22" i="10"/>
  <c r="S21" i="10"/>
  <c r="R21" i="10"/>
  <c r="Q21" i="10"/>
  <c r="S20" i="10"/>
  <c r="R20" i="10"/>
  <c r="Q20" i="10"/>
  <c r="J16" i="10"/>
  <c r="I16" i="10"/>
  <c r="H16" i="10"/>
  <c r="G16" i="10"/>
  <c r="F16" i="10"/>
  <c r="E16" i="10"/>
  <c r="D16" i="10"/>
  <c r="J15" i="10"/>
  <c r="I15" i="10"/>
  <c r="H15" i="10"/>
  <c r="G15" i="10"/>
  <c r="F15" i="10"/>
  <c r="E15" i="10"/>
  <c r="D15" i="10"/>
  <c r="J14" i="10"/>
  <c r="I14" i="10"/>
  <c r="H14" i="10"/>
  <c r="G14" i="10"/>
  <c r="F14" i="10"/>
  <c r="E14" i="10"/>
  <c r="D14" i="10"/>
  <c r="J13" i="10"/>
  <c r="I13" i="10"/>
  <c r="H13" i="10"/>
  <c r="G13" i="10"/>
  <c r="F13" i="10"/>
  <c r="E13" i="10"/>
  <c r="D13" i="10"/>
  <c r="J12" i="10"/>
  <c r="I12" i="10"/>
  <c r="H12" i="10"/>
  <c r="G12" i="10"/>
  <c r="F12" i="10"/>
  <c r="E12" i="10"/>
  <c r="D12" i="10"/>
  <c r="J11" i="10"/>
  <c r="I11" i="10"/>
  <c r="H11" i="10"/>
  <c r="G11" i="10"/>
  <c r="F11" i="10"/>
  <c r="E11" i="10"/>
  <c r="D11" i="10"/>
  <c r="K8" i="10"/>
  <c r="K7" i="10"/>
  <c r="K6" i="10"/>
  <c r="K5" i="10"/>
  <c r="K4" i="10"/>
  <c r="K3" i="10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E20" i="9"/>
  <c r="D20" i="9"/>
  <c r="E27" i="9"/>
  <c r="D28" i="9"/>
  <c r="E28" i="9"/>
  <c r="D36" i="9"/>
  <c r="E36" i="9"/>
  <c r="I20" i="9"/>
  <c r="I24" i="9"/>
  <c r="I22" i="9"/>
  <c r="I26" i="9"/>
  <c r="I21" i="9"/>
  <c r="I23" i="9"/>
  <c r="I27" i="9"/>
  <c r="I28" i="9"/>
  <c r="I36" i="9"/>
  <c r="I56" i="9"/>
  <c r="I54" i="9"/>
  <c r="I58" i="9"/>
  <c r="I53" i="9"/>
  <c r="I44" i="9"/>
  <c r="I57" i="9"/>
  <c r="I48" i="9"/>
  <c r="I55" i="9"/>
  <c r="I59" i="9"/>
  <c r="I60" i="9"/>
  <c r="I64" i="9"/>
  <c r="I62" i="9"/>
  <c r="I68" i="9"/>
  <c r="I66" i="9"/>
  <c r="I72" i="9"/>
  <c r="I61" i="9"/>
  <c r="I70" i="9"/>
  <c r="I65" i="9"/>
  <c r="I74" i="9"/>
  <c r="I63" i="9"/>
  <c r="I69" i="9"/>
  <c r="I67" i="9"/>
  <c r="I73" i="9"/>
  <c r="I71" i="9"/>
  <c r="I75" i="9"/>
  <c r="I76" i="9"/>
  <c r="I80" i="9"/>
  <c r="I78" i="9"/>
  <c r="I82" i="9"/>
  <c r="I77" i="9"/>
  <c r="I32" i="9"/>
  <c r="I81" i="9"/>
  <c r="I52" i="9"/>
  <c r="I79" i="9"/>
  <c r="I83" i="9"/>
  <c r="I51" i="9"/>
  <c r="I47" i="9"/>
  <c r="I49" i="9"/>
  <c r="I45" i="9"/>
  <c r="I50" i="9"/>
  <c r="I46" i="9"/>
  <c r="I43" i="9"/>
  <c r="I39" i="9"/>
  <c r="I41" i="9"/>
  <c r="I35" i="9"/>
  <c r="I37" i="9"/>
  <c r="I31" i="9"/>
  <c r="I42" i="9"/>
  <c r="I33" i="9"/>
  <c r="I38" i="9"/>
  <c r="I29" i="9"/>
  <c r="I40" i="9"/>
  <c r="I34" i="9"/>
  <c r="I30" i="9"/>
  <c r="I25" i="9"/>
  <c r="H20" i="9"/>
  <c r="H24" i="9"/>
  <c r="H22" i="9"/>
  <c r="H26" i="9"/>
  <c r="H21" i="9"/>
  <c r="H23" i="9"/>
  <c r="H27" i="9"/>
  <c r="H28" i="9"/>
  <c r="H36" i="9"/>
  <c r="H56" i="9"/>
  <c r="H54" i="9"/>
  <c r="H58" i="9"/>
  <c r="H53" i="9"/>
  <c r="H44" i="9"/>
  <c r="H57" i="9"/>
  <c r="H48" i="9"/>
  <c r="H55" i="9"/>
  <c r="H59" i="9"/>
  <c r="H60" i="9"/>
  <c r="H64" i="9"/>
  <c r="H62" i="9"/>
  <c r="H68" i="9"/>
  <c r="H66" i="9"/>
  <c r="H72" i="9"/>
  <c r="H61" i="9"/>
  <c r="H70" i="9"/>
  <c r="H65" i="9"/>
  <c r="H74" i="9"/>
  <c r="H63" i="9"/>
  <c r="H69" i="9"/>
  <c r="H67" i="9"/>
  <c r="H73" i="9"/>
  <c r="H71" i="9"/>
  <c r="H75" i="9"/>
  <c r="H76" i="9"/>
  <c r="H80" i="9"/>
  <c r="H78" i="9"/>
  <c r="H82" i="9"/>
  <c r="H77" i="9"/>
  <c r="H32" i="9"/>
  <c r="H81" i="9"/>
  <c r="H52" i="9"/>
  <c r="H79" i="9"/>
  <c r="H83" i="9"/>
  <c r="H51" i="9"/>
  <c r="H47" i="9"/>
  <c r="H49" i="9"/>
  <c r="H45" i="9"/>
  <c r="H50" i="9"/>
  <c r="H46" i="9"/>
  <c r="H43" i="9"/>
  <c r="H39" i="9"/>
  <c r="H41" i="9"/>
  <c r="H35" i="9"/>
  <c r="H37" i="9"/>
  <c r="H31" i="9"/>
  <c r="H42" i="9"/>
  <c r="H33" i="9"/>
  <c r="H38" i="9"/>
  <c r="H29" i="9"/>
  <c r="H40" i="9"/>
  <c r="H34" i="9"/>
  <c r="H30" i="9"/>
  <c r="H25" i="9"/>
  <c r="G20" i="9"/>
  <c r="G24" i="9"/>
  <c r="G22" i="9"/>
  <c r="G26" i="9"/>
  <c r="G21" i="9"/>
  <c r="G23" i="9"/>
  <c r="G27" i="9"/>
  <c r="G28" i="9"/>
  <c r="G36" i="9"/>
  <c r="G56" i="9"/>
  <c r="G54" i="9"/>
  <c r="G58" i="9"/>
  <c r="G53" i="9"/>
  <c r="G44" i="9"/>
  <c r="G57" i="9"/>
  <c r="G48" i="9"/>
  <c r="G55" i="9"/>
  <c r="G59" i="9"/>
  <c r="G60" i="9"/>
  <c r="G64" i="9"/>
  <c r="G62" i="9"/>
  <c r="G68" i="9"/>
  <c r="G66" i="9"/>
  <c r="G72" i="9"/>
  <c r="G61" i="9"/>
  <c r="G70" i="9"/>
  <c r="G65" i="9"/>
  <c r="G74" i="9"/>
  <c r="G63" i="9"/>
  <c r="G69" i="9"/>
  <c r="G67" i="9"/>
  <c r="G73" i="9"/>
  <c r="G71" i="9"/>
  <c r="G75" i="9"/>
  <c r="G76" i="9"/>
  <c r="G80" i="9"/>
  <c r="G78" i="9"/>
  <c r="G82" i="9"/>
  <c r="G77" i="9"/>
  <c r="G32" i="9"/>
  <c r="G81" i="9"/>
  <c r="G52" i="9"/>
  <c r="G79" i="9"/>
  <c r="G83" i="9"/>
  <c r="G51" i="9"/>
  <c r="G47" i="9"/>
  <c r="G49" i="9"/>
  <c r="G45" i="9"/>
  <c r="G50" i="9"/>
  <c r="G46" i="9"/>
  <c r="G43" i="9"/>
  <c r="G39" i="9"/>
  <c r="G41" i="9"/>
  <c r="G35" i="9"/>
  <c r="G37" i="9"/>
  <c r="G31" i="9"/>
  <c r="G42" i="9"/>
  <c r="G33" i="9"/>
  <c r="G38" i="9"/>
  <c r="G29" i="9"/>
  <c r="G40" i="9"/>
  <c r="G34" i="9"/>
  <c r="G30" i="9"/>
  <c r="G25" i="9"/>
  <c r="E24" i="9"/>
  <c r="E22" i="9"/>
  <c r="E26" i="9"/>
  <c r="E21" i="9"/>
  <c r="E23" i="9"/>
  <c r="E56" i="9"/>
  <c r="E54" i="9"/>
  <c r="E58" i="9"/>
  <c r="E53" i="9"/>
  <c r="E44" i="9"/>
  <c r="E57" i="9"/>
  <c r="E48" i="9"/>
  <c r="E55" i="9"/>
  <c r="E59" i="9"/>
  <c r="E60" i="9"/>
  <c r="E64" i="9"/>
  <c r="E62" i="9"/>
  <c r="E68" i="9"/>
  <c r="E66" i="9"/>
  <c r="E72" i="9"/>
  <c r="E61" i="9"/>
  <c r="E70" i="9"/>
  <c r="E65" i="9"/>
  <c r="E74" i="9"/>
  <c r="E63" i="9"/>
  <c r="E69" i="9"/>
  <c r="E67" i="9"/>
  <c r="E73" i="9"/>
  <c r="E71" i="9"/>
  <c r="E75" i="9"/>
  <c r="E76" i="9"/>
  <c r="E80" i="9"/>
  <c r="E78" i="9"/>
  <c r="E82" i="9"/>
  <c r="E77" i="9"/>
  <c r="E32" i="9"/>
  <c r="E81" i="9"/>
  <c r="E52" i="9"/>
  <c r="E79" i="9"/>
  <c r="E83" i="9"/>
  <c r="E51" i="9"/>
  <c r="E47" i="9"/>
  <c r="E49" i="9"/>
  <c r="E45" i="9"/>
  <c r="E50" i="9"/>
  <c r="E46" i="9"/>
  <c r="E43" i="9"/>
  <c r="E39" i="9"/>
  <c r="E41" i="9"/>
  <c r="E35" i="9"/>
  <c r="E37" i="9"/>
  <c r="E31" i="9"/>
  <c r="E42" i="9"/>
  <c r="E33" i="9"/>
  <c r="E38" i="9"/>
  <c r="E29" i="9"/>
  <c r="E40" i="9"/>
  <c r="E34" i="9"/>
  <c r="E30" i="9"/>
  <c r="E25" i="9"/>
  <c r="D24" i="9"/>
  <c r="D22" i="9"/>
  <c r="D26" i="9"/>
  <c r="D21" i="9"/>
  <c r="D23" i="9"/>
  <c r="D27" i="9"/>
  <c r="D56" i="9"/>
  <c r="D54" i="9"/>
  <c r="D58" i="9"/>
  <c r="D53" i="9"/>
  <c r="D44" i="9"/>
  <c r="D57" i="9"/>
  <c r="D48" i="9"/>
  <c r="D55" i="9"/>
  <c r="D59" i="9"/>
  <c r="D60" i="9"/>
  <c r="D64" i="9"/>
  <c r="D62" i="9"/>
  <c r="D68" i="9"/>
  <c r="D66" i="9"/>
  <c r="D72" i="9"/>
  <c r="D61" i="9"/>
  <c r="D70" i="9"/>
  <c r="D65" i="9"/>
  <c r="D74" i="9"/>
  <c r="D63" i="9"/>
  <c r="D69" i="9"/>
  <c r="D67" i="9"/>
  <c r="D73" i="9"/>
  <c r="D71" i="9"/>
  <c r="D75" i="9"/>
  <c r="D76" i="9"/>
  <c r="D80" i="9"/>
  <c r="D78" i="9"/>
  <c r="D82" i="9"/>
  <c r="D77" i="9"/>
  <c r="D32" i="9"/>
  <c r="D81" i="9"/>
  <c r="D52" i="9"/>
  <c r="D79" i="9"/>
  <c r="D83" i="9"/>
  <c r="D51" i="9"/>
  <c r="D47" i="9"/>
  <c r="D49" i="9"/>
  <c r="D45" i="9"/>
  <c r="D50" i="9"/>
  <c r="D46" i="9"/>
  <c r="D43" i="9"/>
  <c r="D39" i="9"/>
  <c r="D41" i="9"/>
  <c r="D35" i="9"/>
  <c r="D37" i="9"/>
  <c r="D31" i="9"/>
  <c r="D42" i="9"/>
  <c r="D33" i="9"/>
  <c r="D38" i="9"/>
  <c r="D29" i="9"/>
  <c r="D40" i="9"/>
  <c r="D34" i="9"/>
  <c r="D30" i="9"/>
  <c r="D25" i="9"/>
  <c r="J4" i="4"/>
  <c r="J5" i="4"/>
  <c r="J6" i="4"/>
  <c r="J7" i="4"/>
  <c r="J8" i="4"/>
  <c r="J3" i="4"/>
  <c r="K4" i="9"/>
  <c r="K5" i="9"/>
  <c r="K6" i="9"/>
  <c r="K7" i="9"/>
  <c r="K8" i="9"/>
  <c r="F11" i="9"/>
  <c r="F16" i="9"/>
  <c r="F15" i="9"/>
  <c r="D12" i="9"/>
  <c r="E12" i="9"/>
  <c r="F12" i="9"/>
  <c r="G12" i="9"/>
  <c r="H12" i="9"/>
  <c r="I12" i="9"/>
  <c r="J12" i="9"/>
  <c r="D13" i="9"/>
  <c r="E13" i="9"/>
  <c r="F13" i="9"/>
  <c r="G13" i="9"/>
  <c r="H13" i="9"/>
  <c r="I13" i="9"/>
  <c r="J13" i="9"/>
  <c r="D14" i="9"/>
  <c r="E14" i="9"/>
  <c r="F14" i="9"/>
  <c r="G14" i="9"/>
  <c r="H14" i="9"/>
  <c r="I14" i="9"/>
  <c r="J14" i="9"/>
  <c r="D15" i="9"/>
  <c r="E15" i="9"/>
  <c r="G15" i="9"/>
  <c r="H15" i="9"/>
  <c r="I15" i="9"/>
  <c r="J15" i="9"/>
  <c r="D16" i="9"/>
  <c r="E16" i="9"/>
  <c r="G16" i="9"/>
  <c r="H16" i="9"/>
  <c r="I16" i="9"/>
  <c r="J16" i="9"/>
  <c r="E11" i="9"/>
  <c r="G11" i="9"/>
  <c r="H11" i="9"/>
  <c r="I11" i="9"/>
  <c r="J11" i="9"/>
  <c r="D11" i="9"/>
  <c r="D12" i="4"/>
  <c r="E12" i="4"/>
  <c r="F12" i="4"/>
  <c r="G12" i="4"/>
  <c r="H12" i="4"/>
  <c r="I12" i="4"/>
  <c r="D13" i="4"/>
  <c r="E13" i="4"/>
  <c r="F13" i="4"/>
  <c r="G13" i="4"/>
  <c r="H13" i="4"/>
  <c r="I13" i="4"/>
  <c r="D14" i="4"/>
  <c r="E14" i="4"/>
  <c r="F14" i="4"/>
  <c r="G14" i="4"/>
  <c r="H14" i="4"/>
  <c r="I14" i="4"/>
  <c r="D15" i="4"/>
  <c r="E15" i="4"/>
  <c r="F15" i="4"/>
  <c r="G15" i="4"/>
  <c r="H15" i="4"/>
  <c r="I15" i="4"/>
  <c r="D16" i="4"/>
  <c r="E16" i="4"/>
  <c r="F16" i="4"/>
  <c r="G16" i="4"/>
  <c r="H16" i="4"/>
  <c r="I16" i="4"/>
  <c r="E11" i="4"/>
  <c r="F11" i="4"/>
  <c r="G11" i="4"/>
  <c r="H11" i="4"/>
  <c r="I11" i="4"/>
  <c r="D11" i="4"/>
  <c r="AJ83" i="9"/>
  <c r="AG83" i="9"/>
  <c r="AJ82" i="9"/>
  <c r="AJ81" i="9"/>
  <c r="AJ80" i="9"/>
  <c r="AJ79" i="9"/>
  <c r="AJ78" i="9"/>
  <c r="AJ77" i="9"/>
  <c r="AJ76" i="9"/>
  <c r="AJ75" i="9"/>
  <c r="AJ74" i="9"/>
  <c r="AJ73" i="9"/>
  <c r="AJ72" i="9"/>
  <c r="AJ71" i="9"/>
  <c r="AJ70" i="9"/>
  <c r="AJ69" i="9"/>
  <c r="AJ68" i="9"/>
  <c r="AJ67" i="9"/>
  <c r="AJ66" i="9"/>
  <c r="AJ65" i="9"/>
  <c r="AJ64" i="9"/>
  <c r="AJ63" i="9"/>
  <c r="AJ62" i="9"/>
  <c r="AJ61" i="9"/>
  <c r="AJ60" i="9"/>
  <c r="AJ59" i="9"/>
  <c r="AJ58" i="9"/>
  <c r="AJ57" i="9"/>
  <c r="AJ56" i="9"/>
  <c r="AJ55" i="9"/>
  <c r="AJ54" i="9"/>
  <c r="AJ53" i="9"/>
  <c r="AJ52" i="9"/>
  <c r="AJ51" i="9"/>
  <c r="AJ50" i="9"/>
  <c r="AJ49" i="9"/>
  <c r="AJ48" i="9"/>
  <c r="AJ47" i="9"/>
  <c r="AJ46" i="9"/>
  <c r="AJ45" i="9"/>
  <c r="AJ44" i="9"/>
  <c r="AJ43" i="9"/>
  <c r="AJ42" i="9"/>
  <c r="AJ41" i="9"/>
  <c r="AJ40" i="9"/>
  <c r="AJ39" i="9"/>
  <c r="AJ38" i="9"/>
  <c r="I11" i="7"/>
  <c r="I12" i="7"/>
  <c r="I13" i="7"/>
  <c r="I14" i="7"/>
  <c r="I15" i="7"/>
  <c r="I16" i="7"/>
  <c r="V83" i="7"/>
  <c r="T83" i="7"/>
  <c r="I83" i="7"/>
  <c r="H83" i="7"/>
  <c r="G83" i="7"/>
  <c r="F83" i="7"/>
  <c r="E83" i="7"/>
  <c r="D83" i="7"/>
  <c r="V82" i="7"/>
  <c r="I82" i="7"/>
  <c r="H82" i="7"/>
  <c r="G82" i="7"/>
  <c r="F82" i="7"/>
  <c r="E82" i="7"/>
  <c r="D82" i="7"/>
  <c r="V81" i="7"/>
  <c r="I81" i="7"/>
  <c r="H81" i="7"/>
  <c r="G81" i="7"/>
  <c r="F81" i="7"/>
  <c r="E81" i="7"/>
  <c r="D81" i="7"/>
  <c r="V80" i="7"/>
  <c r="I80" i="7"/>
  <c r="H80" i="7"/>
  <c r="G80" i="7"/>
  <c r="F80" i="7"/>
  <c r="E80" i="7"/>
  <c r="D80" i="7"/>
  <c r="V79" i="7"/>
  <c r="I79" i="7"/>
  <c r="H79" i="7"/>
  <c r="G79" i="7"/>
  <c r="F79" i="7"/>
  <c r="E79" i="7"/>
  <c r="D79" i="7"/>
  <c r="V78" i="7"/>
  <c r="I78" i="7"/>
  <c r="H78" i="7"/>
  <c r="G78" i="7"/>
  <c r="F78" i="7"/>
  <c r="E78" i="7"/>
  <c r="D78" i="7"/>
  <c r="V77" i="7"/>
  <c r="I77" i="7"/>
  <c r="H77" i="7"/>
  <c r="G77" i="7"/>
  <c r="F77" i="7"/>
  <c r="E77" i="7"/>
  <c r="D77" i="7"/>
  <c r="V76" i="7"/>
  <c r="I76" i="7"/>
  <c r="H76" i="7"/>
  <c r="G76" i="7"/>
  <c r="F76" i="7"/>
  <c r="E76" i="7"/>
  <c r="D76" i="7"/>
  <c r="V75" i="7"/>
  <c r="I75" i="7"/>
  <c r="H75" i="7"/>
  <c r="G75" i="7"/>
  <c r="F75" i="7"/>
  <c r="E75" i="7"/>
  <c r="D75" i="7"/>
  <c r="V74" i="7"/>
  <c r="I74" i="7"/>
  <c r="H74" i="7"/>
  <c r="G74" i="7"/>
  <c r="F74" i="7"/>
  <c r="E74" i="7"/>
  <c r="D74" i="7"/>
  <c r="V73" i="7"/>
  <c r="I73" i="7"/>
  <c r="H73" i="7"/>
  <c r="G73" i="7"/>
  <c r="F73" i="7"/>
  <c r="E73" i="7"/>
  <c r="D73" i="7"/>
  <c r="V72" i="7"/>
  <c r="I72" i="7"/>
  <c r="H72" i="7"/>
  <c r="G72" i="7"/>
  <c r="F72" i="7"/>
  <c r="E72" i="7"/>
  <c r="D72" i="7"/>
  <c r="V71" i="7"/>
  <c r="I71" i="7"/>
  <c r="H71" i="7"/>
  <c r="G71" i="7"/>
  <c r="F71" i="7"/>
  <c r="E71" i="7"/>
  <c r="D71" i="7"/>
  <c r="V70" i="7"/>
  <c r="I70" i="7"/>
  <c r="H70" i="7"/>
  <c r="G70" i="7"/>
  <c r="F70" i="7"/>
  <c r="E70" i="7"/>
  <c r="D70" i="7"/>
  <c r="V69" i="7"/>
  <c r="I69" i="7"/>
  <c r="H69" i="7"/>
  <c r="G69" i="7"/>
  <c r="F69" i="7"/>
  <c r="E69" i="7"/>
  <c r="D69" i="7"/>
  <c r="V68" i="7"/>
  <c r="I68" i="7"/>
  <c r="H68" i="7"/>
  <c r="G68" i="7"/>
  <c r="F68" i="7"/>
  <c r="E68" i="7"/>
  <c r="D68" i="7"/>
  <c r="V67" i="7"/>
  <c r="I67" i="7"/>
  <c r="H67" i="7"/>
  <c r="G67" i="7"/>
  <c r="F67" i="7"/>
  <c r="E67" i="7"/>
  <c r="D67" i="7"/>
  <c r="V66" i="7"/>
  <c r="I66" i="7"/>
  <c r="H66" i="7"/>
  <c r="G66" i="7"/>
  <c r="F66" i="7"/>
  <c r="E66" i="7"/>
  <c r="D66" i="7"/>
  <c r="V65" i="7"/>
  <c r="I65" i="7"/>
  <c r="H65" i="7"/>
  <c r="G65" i="7"/>
  <c r="F65" i="7"/>
  <c r="E65" i="7"/>
  <c r="D65" i="7"/>
  <c r="V64" i="7"/>
  <c r="I64" i="7"/>
  <c r="H64" i="7"/>
  <c r="G64" i="7"/>
  <c r="F64" i="7"/>
  <c r="E64" i="7"/>
  <c r="D64" i="7"/>
  <c r="V63" i="7"/>
  <c r="I63" i="7"/>
  <c r="H63" i="7"/>
  <c r="G63" i="7"/>
  <c r="F63" i="7"/>
  <c r="E63" i="7"/>
  <c r="D63" i="7"/>
  <c r="V62" i="7"/>
  <c r="I62" i="7"/>
  <c r="H62" i="7"/>
  <c r="G62" i="7"/>
  <c r="F62" i="7"/>
  <c r="E62" i="7"/>
  <c r="D62" i="7"/>
  <c r="V61" i="7"/>
  <c r="I61" i="7"/>
  <c r="H61" i="7"/>
  <c r="G61" i="7"/>
  <c r="F61" i="7"/>
  <c r="E61" i="7"/>
  <c r="D61" i="7"/>
  <c r="V60" i="7"/>
  <c r="I60" i="7"/>
  <c r="H60" i="7"/>
  <c r="G60" i="7"/>
  <c r="F60" i="7"/>
  <c r="E60" i="7"/>
  <c r="D60" i="7"/>
  <c r="V59" i="7"/>
  <c r="I59" i="7"/>
  <c r="H59" i="7"/>
  <c r="G59" i="7"/>
  <c r="F59" i="7"/>
  <c r="E59" i="7"/>
  <c r="D59" i="7"/>
  <c r="V58" i="7"/>
  <c r="I58" i="7"/>
  <c r="H58" i="7"/>
  <c r="G58" i="7"/>
  <c r="F58" i="7"/>
  <c r="E58" i="7"/>
  <c r="D58" i="7"/>
  <c r="V57" i="7"/>
  <c r="I57" i="7"/>
  <c r="H57" i="7"/>
  <c r="G57" i="7"/>
  <c r="F57" i="7"/>
  <c r="E57" i="7"/>
  <c r="D57" i="7"/>
  <c r="V56" i="7"/>
  <c r="I56" i="7"/>
  <c r="H56" i="7"/>
  <c r="G56" i="7"/>
  <c r="F56" i="7"/>
  <c r="E56" i="7"/>
  <c r="D56" i="7"/>
  <c r="V55" i="7"/>
  <c r="I55" i="7"/>
  <c r="H55" i="7"/>
  <c r="G55" i="7"/>
  <c r="F55" i="7"/>
  <c r="E55" i="7"/>
  <c r="D55" i="7"/>
  <c r="V54" i="7"/>
  <c r="I54" i="7"/>
  <c r="H54" i="7"/>
  <c r="G54" i="7"/>
  <c r="F54" i="7"/>
  <c r="E54" i="7"/>
  <c r="D54" i="7"/>
  <c r="V53" i="7"/>
  <c r="I53" i="7"/>
  <c r="H53" i="7"/>
  <c r="G53" i="7"/>
  <c r="F53" i="7"/>
  <c r="E53" i="7"/>
  <c r="D53" i="7"/>
  <c r="V52" i="7"/>
  <c r="I52" i="7"/>
  <c r="H52" i="7"/>
  <c r="G52" i="7"/>
  <c r="F52" i="7"/>
  <c r="E52" i="7"/>
  <c r="D52" i="7"/>
  <c r="V51" i="7"/>
  <c r="I34" i="7"/>
  <c r="H34" i="7"/>
  <c r="G34" i="7"/>
  <c r="F34" i="7"/>
  <c r="E34" i="7"/>
  <c r="D34" i="7"/>
  <c r="V50" i="7"/>
  <c r="I50" i="7"/>
  <c r="H50" i="7"/>
  <c r="G50" i="7"/>
  <c r="F50" i="7"/>
  <c r="E50" i="7"/>
  <c r="D50" i="7"/>
  <c r="V49" i="7"/>
  <c r="I49" i="7"/>
  <c r="H49" i="7"/>
  <c r="G49" i="7"/>
  <c r="F49" i="7"/>
  <c r="E49" i="7"/>
  <c r="D49" i="7"/>
  <c r="V48" i="7"/>
  <c r="I26" i="7"/>
  <c r="H26" i="7"/>
  <c r="G26" i="7"/>
  <c r="F26" i="7"/>
  <c r="E26" i="7"/>
  <c r="D26" i="7"/>
  <c r="V47" i="7"/>
  <c r="I47" i="7"/>
  <c r="H47" i="7"/>
  <c r="G47" i="7"/>
  <c r="F47" i="7"/>
  <c r="E47" i="7"/>
  <c r="D47" i="7"/>
  <c r="V46" i="7"/>
  <c r="I46" i="7"/>
  <c r="H46" i="7"/>
  <c r="G46" i="7"/>
  <c r="F46" i="7"/>
  <c r="E46" i="7"/>
  <c r="D46" i="7"/>
  <c r="V45" i="7"/>
  <c r="I45" i="7"/>
  <c r="H45" i="7"/>
  <c r="G45" i="7"/>
  <c r="F45" i="7"/>
  <c r="E45" i="7"/>
  <c r="D45" i="7"/>
  <c r="V44" i="7"/>
  <c r="I22" i="7"/>
  <c r="H22" i="7"/>
  <c r="G22" i="7"/>
  <c r="F22" i="7"/>
  <c r="E22" i="7"/>
  <c r="D22" i="7"/>
  <c r="V43" i="7"/>
  <c r="I43" i="7"/>
  <c r="H43" i="7"/>
  <c r="G43" i="7"/>
  <c r="F43" i="7"/>
  <c r="E43" i="7"/>
  <c r="D43" i="7"/>
  <c r="V42" i="7"/>
  <c r="I42" i="7"/>
  <c r="H42" i="7"/>
  <c r="G42" i="7"/>
  <c r="F42" i="7"/>
  <c r="E42" i="7"/>
  <c r="D42" i="7"/>
  <c r="V41" i="7"/>
  <c r="I41" i="7"/>
  <c r="H41" i="7"/>
  <c r="G41" i="7"/>
  <c r="F41" i="7"/>
  <c r="E41" i="7"/>
  <c r="D41" i="7"/>
  <c r="V40" i="7"/>
  <c r="I40" i="7"/>
  <c r="H40" i="7"/>
  <c r="G40" i="7"/>
  <c r="F40" i="7"/>
  <c r="E40" i="7"/>
  <c r="D40" i="7"/>
  <c r="V39" i="7"/>
  <c r="I39" i="7"/>
  <c r="H39" i="7"/>
  <c r="G39" i="7"/>
  <c r="F39" i="7"/>
  <c r="E39" i="7"/>
  <c r="D39" i="7"/>
  <c r="V38" i="7"/>
  <c r="I38" i="7"/>
  <c r="H38" i="7"/>
  <c r="G38" i="7"/>
  <c r="F38" i="7"/>
  <c r="E38" i="7"/>
  <c r="D38" i="7"/>
  <c r="V37" i="7"/>
  <c r="I37" i="7"/>
  <c r="H37" i="7"/>
  <c r="G37" i="7"/>
  <c r="F37" i="7"/>
  <c r="E37" i="7"/>
  <c r="D37" i="7"/>
  <c r="V36" i="7"/>
  <c r="I32" i="7"/>
  <c r="H32" i="7"/>
  <c r="G32" i="7"/>
  <c r="F32" i="7"/>
  <c r="E32" i="7"/>
  <c r="D32" i="7"/>
  <c r="V35" i="7"/>
  <c r="I28" i="7"/>
  <c r="H28" i="7"/>
  <c r="G28" i="7"/>
  <c r="F28" i="7"/>
  <c r="E28" i="7"/>
  <c r="D28" i="7"/>
  <c r="V34" i="7"/>
  <c r="I51" i="7"/>
  <c r="H51" i="7"/>
  <c r="G51" i="7"/>
  <c r="F51" i="7"/>
  <c r="E51" i="7"/>
  <c r="D51" i="7"/>
  <c r="V33" i="7"/>
  <c r="I33" i="7"/>
  <c r="H33" i="7"/>
  <c r="G33" i="7"/>
  <c r="F33" i="7"/>
  <c r="E33" i="7"/>
  <c r="D33" i="7"/>
  <c r="I35" i="7"/>
  <c r="H35" i="7"/>
  <c r="G35" i="7"/>
  <c r="F35" i="7"/>
  <c r="E35" i="7"/>
  <c r="D35" i="7"/>
  <c r="I31" i="7"/>
  <c r="H31" i="7"/>
  <c r="G31" i="7"/>
  <c r="F31" i="7"/>
  <c r="E31" i="7"/>
  <c r="D31" i="7"/>
  <c r="I30" i="7"/>
  <c r="H30" i="7"/>
  <c r="G30" i="7"/>
  <c r="F30" i="7"/>
  <c r="E30" i="7"/>
  <c r="D30" i="7"/>
  <c r="I29" i="7"/>
  <c r="H29" i="7"/>
  <c r="G29" i="7"/>
  <c r="F29" i="7"/>
  <c r="E29" i="7"/>
  <c r="D29" i="7"/>
  <c r="I27" i="7"/>
  <c r="H27" i="7"/>
  <c r="G27" i="7"/>
  <c r="F27" i="7"/>
  <c r="E27" i="7"/>
  <c r="D27" i="7"/>
  <c r="I23" i="7"/>
  <c r="H23" i="7"/>
  <c r="G23" i="7"/>
  <c r="F23" i="7"/>
  <c r="E23" i="7"/>
  <c r="D23" i="7"/>
  <c r="I21" i="7"/>
  <c r="H21" i="7"/>
  <c r="G21" i="7"/>
  <c r="F21" i="7"/>
  <c r="E21" i="7"/>
  <c r="D21" i="7"/>
  <c r="I25" i="7"/>
  <c r="H25" i="7"/>
  <c r="G25" i="7"/>
  <c r="F25" i="7"/>
  <c r="E25" i="7"/>
  <c r="D25" i="7"/>
  <c r="I20" i="7"/>
  <c r="H20" i="7"/>
  <c r="G20" i="7"/>
  <c r="F20" i="7"/>
  <c r="E20" i="7"/>
  <c r="D20" i="7"/>
  <c r="I48" i="7"/>
  <c r="H48" i="7"/>
  <c r="G48" i="7"/>
  <c r="F48" i="7"/>
  <c r="E48" i="7"/>
  <c r="D48" i="7"/>
  <c r="I44" i="7"/>
  <c r="H44" i="7"/>
  <c r="G44" i="7"/>
  <c r="F44" i="7"/>
  <c r="E44" i="7"/>
  <c r="D44" i="7"/>
  <c r="I36" i="7"/>
  <c r="H36" i="7"/>
  <c r="G36" i="7"/>
  <c r="F36" i="7"/>
  <c r="E36" i="7"/>
  <c r="D36" i="7"/>
  <c r="I24" i="7"/>
  <c r="H24" i="7"/>
  <c r="G24" i="7"/>
  <c r="F24" i="7"/>
  <c r="E24" i="7"/>
  <c r="D24" i="7"/>
  <c r="AG17" i="7"/>
  <c r="AF17" i="7"/>
  <c r="AE17" i="7"/>
  <c r="AD17" i="7"/>
  <c r="AG16" i="7"/>
  <c r="AF16" i="7"/>
  <c r="AE16" i="7"/>
  <c r="AD16" i="7"/>
  <c r="H16" i="7"/>
  <c r="G16" i="7"/>
  <c r="F16" i="7"/>
  <c r="E16" i="7"/>
  <c r="AG15" i="7"/>
  <c r="AF15" i="7"/>
  <c r="AE15" i="7"/>
  <c r="AD15" i="7"/>
  <c r="H15" i="7"/>
  <c r="G15" i="7"/>
  <c r="F15" i="7"/>
  <c r="E15" i="7"/>
  <c r="AG14" i="7"/>
  <c r="AF14" i="7"/>
  <c r="AE14" i="7"/>
  <c r="AD14" i="7"/>
  <c r="H14" i="7"/>
  <c r="G14" i="7"/>
  <c r="F14" i="7"/>
  <c r="E14" i="7"/>
  <c r="AG13" i="7"/>
  <c r="AF13" i="7"/>
  <c r="AE13" i="7"/>
  <c r="AD13" i="7"/>
  <c r="H13" i="7"/>
  <c r="G13" i="7"/>
  <c r="F13" i="7"/>
  <c r="E13" i="7"/>
  <c r="AG12" i="7"/>
  <c r="AF12" i="7"/>
  <c r="AE12" i="7"/>
  <c r="AD12" i="7"/>
  <c r="H12" i="7"/>
  <c r="G12" i="7"/>
  <c r="F12" i="7"/>
  <c r="E12" i="7"/>
  <c r="H11" i="7"/>
  <c r="G11" i="7"/>
  <c r="F11" i="7"/>
  <c r="E11" i="7"/>
  <c r="H15" i="3"/>
  <c r="E16" i="3"/>
  <c r="F16" i="3"/>
  <c r="G16" i="3"/>
  <c r="H16" i="3"/>
  <c r="E12" i="3"/>
  <c r="F12" i="3"/>
  <c r="G12" i="3"/>
  <c r="H12" i="3"/>
  <c r="F13" i="3"/>
  <c r="G13" i="3"/>
  <c r="H13" i="3"/>
  <c r="E13" i="3"/>
  <c r="E15" i="3"/>
  <c r="AF17" i="3"/>
  <c r="AE17" i="3"/>
  <c r="AD17" i="3"/>
  <c r="AC17" i="3"/>
  <c r="AF16" i="3"/>
  <c r="AE16" i="3"/>
  <c r="AD16" i="3"/>
  <c r="AC16" i="3"/>
  <c r="AF15" i="3"/>
  <c r="AE15" i="3"/>
  <c r="AD15" i="3"/>
  <c r="AC15" i="3"/>
  <c r="AF14" i="3"/>
  <c r="AE14" i="3"/>
  <c r="AD14" i="3"/>
  <c r="AC14" i="3"/>
  <c r="AF13" i="3"/>
  <c r="AE13" i="3"/>
  <c r="AD13" i="3"/>
  <c r="AC13" i="3"/>
  <c r="AF12" i="3"/>
  <c r="AE12" i="3"/>
  <c r="AD12" i="3"/>
  <c r="AC12" i="3"/>
  <c r="H11" i="6"/>
  <c r="H12" i="6"/>
  <c r="H13" i="6"/>
  <c r="H14" i="6"/>
  <c r="H15" i="6"/>
  <c r="H16" i="6"/>
  <c r="F11" i="6"/>
  <c r="F12" i="6"/>
  <c r="F13" i="6"/>
  <c r="F14" i="6"/>
  <c r="F15" i="6"/>
  <c r="F16" i="6"/>
  <c r="U83" i="6"/>
  <c r="S83" i="6"/>
  <c r="I83" i="6"/>
  <c r="H83" i="6"/>
  <c r="G83" i="6"/>
  <c r="F83" i="6"/>
  <c r="E83" i="6"/>
  <c r="D83" i="6"/>
  <c r="U82" i="6"/>
  <c r="P82" i="6"/>
  <c r="I82" i="6"/>
  <c r="H82" i="6"/>
  <c r="G82" i="6"/>
  <c r="F82" i="6"/>
  <c r="E82" i="6"/>
  <c r="D82" i="6"/>
  <c r="U81" i="6"/>
  <c r="P81" i="6"/>
  <c r="I81" i="6"/>
  <c r="H81" i="6"/>
  <c r="G81" i="6"/>
  <c r="F81" i="6"/>
  <c r="E81" i="6"/>
  <c r="D81" i="6"/>
  <c r="U80" i="6"/>
  <c r="P80" i="6"/>
  <c r="I80" i="6"/>
  <c r="H80" i="6"/>
  <c r="G80" i="6"/>
  <c r="F80" i="6"/>
  <c r="E80" i="6"/>
  <c r="D80" i="6"/>
  <c r="U79" i="6"/>
  <c r="I48" i="6"/>
  <c r="H48" i="6"/>
  <c r="G48" i="6"/>
  <c r="F48" i="6"/>
  <c r="E48" i="6"/>
  <c r="D48" i="6"/>
  <c r="U78" i="6"/>
  <c r="P78" i="6"/>
  <c r="I47" i="6"/>
  <c r="H47" i="6"/>
  <c r="G47" i="6"/>
  <c r="F47" i="6"/>
  <c r="E47" i="6"/>
  <c r="D47" i="6"/>
  <c r="U77" i="6"/>
  <c r="P77" i="6"/>
  <c r="I79" i="6"/>
  <c r="H79" i="6"/>
  <c r="G79" i="6"/>
  <c r="F79" i="6"/>
  <c r="E79" i="6"/>
  <c r="D79" i="6"/>
  <c r="U76" i="6"/>
  <c r="P76" i="6"/>
  <c r="I78" i="6"/>
  <c r="H78" i="6"/>
  <c r="G78" i="6"/>
  <c r="F78" i="6"/>
  <c r="E78" i="6"/>
  <c r="D78" i="6"/>
  <c r="U75" i="6"/>
  <c r="P75" i="6"/>
  <c r="I77" i="6"/>
  <c r="H77" i="6"/>
  <c r="G77" i="6"/>
  <c r="F77" i="6"/>
  <c r="E77" i="6"/>
  <c r="D77" i="6"/>
  <c r="U74" i="6"/>
  <c r="P74" i="6"/>
  <c r="I76" i="6"/>
  <c r="H76" i="6"/>
  <c r="G76" i="6"/>
  <c r="F76" i="6"/>
  <c r="E76" i="6"/>
  <c r="D76" i="6"/>
  <c r="U73" i="6"/>
  <c r="P73" i="6"/>
  <c r="I75" i="6"/>
  <c r="H75" i="6"/>
  <c r="G75" i="6"/>
  <c r="F75" i="6"/>
  <c r="E75" i="6"/>
  <c r="D75" i="6"/>
  <c r="U72" i="6"/>
  <c r="P72" i="6"/>
  <c r="I74" i="6"/>
  <c r="H74" i="6"/>
  <c r="G74" i="6"/>
  <c r="F74" i="6"/>
  <c r="E74" i="6"/>
  <c r="D74" i="6"/>
  <c r="U71" i="6"/>
  <c r="P71" i="6"/>
  <c r="I73" i="6"/>
  <c r="H73" i="6"/>
  <c r="G73" i="6"/>
  <c r="F73" i="6"/>
  <c r="E73" i="6"/>
  <c r="D73" i="6"/>
  <c r="U70" i="6"/>
  <c r="P70" i="6"/>
  <c r="I72" i="6"/>
  <c r="H72" i="6"/>
  <c r="G72" i="6"/>
  <c r="F72" i="6"/>
  <c r="E72" i="6"/>
  <c r="D72" i="6"/>
  <c r="U69" i="6"/>
  <c r="P69" i="6"/>
  <c r="I71" i="6"/>
  <c r="H71" i="6"/>
  <c r="G71" i="6"/>
  <c r="F71" i="6"/>
  <c r="E71" i="6"/>
  <c r="D71" i="6"/>
  <c r="U68" i="6"/>
  <c r="P68" i="6"/>
  <c r="I70" i="6"/>
  <c r="H70" i="6"/>
  <c r="G70" i="6"/>
  <c r="F70" i="6"/>
  <c r="E70" i="6"/>
  <c r="D70" i="6"/>
  <c r="U67" i="6"/>
  <c r="P67" i="6"/>
  <c r="I69" i="6"/>
  <c r="H69" i="6"/>
  <c r="G69" i="6"/>
  <c r="F69" i="6"/>
  <c r="E69" i="6"/>
  <c r="D69" i="6"/>
  <c r="U66" i="6"/>
  <c r="P66" i="6"/>
  <c r="I68" i="6"/>
  <c r="H68" i="6"/>
  <c r="G68" i="6"/>
  <c r="F68" i="6"/>
  <c r="E68" i="6"/>
  <c r="D68" i="6"/>
  <c r="U65" i="6"/>
  <c r="P65" i="6"/>
  <c r="I67" i="6"/>
  <c r="H67" i="6"/>
  <c r="G67" i="6"/>
  <c r="F67" i="6"/>
  <c r="E67" i="6"/>
  <c r="D67" i="6"/>
  <c r="U64" i="6"/>
  <c r="P64" i="6"/>
  <c r="I66" i="6"/>
  <c r="H66" i="6"/>
  <c r="G66" i="6"/>
  <c r="F66" i="6"/>
  <c r="E66" i="6"/>
  <c r="D66" i="6"/>
  <c r="U63" i="6"/>
  <c r="P63" i="6"/>
  <c r="I65" i="6"/>
  <c r="H65" i="6"/>
  <c r="G65" i="6"/>
  <c r="F65" i="6"/>
  <c r="E65" i="6"/>
  <c r="D65" i="6"/>
  <c r="U62" i="6"/>
  <c r="P62" i="6"/>
  <c r="I64" i="6"/>
  <c r="H64" i="6"/>
  <c r="G64" i="6"/>
  <c r="F64" i="6"/>
  <c r="E64" i="6"/>
  <c r="D64" i="6"/>
  <c r="U61" i="6"/>
  <c r="P61" i="6"/>
  <c r="I63" i="6"/>
  <c r="H63" i="6"/>
  <c r="G63" i="6"/>
  <c r="F63" i="6"/>
  <c r="E63" i="6"/>
  <c r="D63" i="6"/>
  <c r="U60" i="6"/>
  <c r="P60" i="6"/>
  <c r="I62" i="6"/>
  <c r="H62" i="6"/>
  <c r="G62" i="6"/>
  <c r="F62" i="6"/>
  <c r="E62" i="6"/>
  <c r="D62" i="6"/>
  <c r="U59" i="6"/>
  <c r="P59" i="6"/>
  <c r="I61" i="6"/>
  <c r="H61" i="6"/>
  <c r="G61" i="6"/>
  <c r="F61" i="6"/>
  <c r="E61" i="6"/>
  <c r="D61" i="6"/>
  <c r="U58" i="6"/>
  <c r="P58" i="6"/>
  <c r="I60" i="6"/>
  <c r="H60" i="6"/>
  <c r="G60" i="6"/>
  <c r="F60" i="6"/>
  <c r="E60" i="6"/>
  <c r="D60" i="6"/>
  <c r="U57" i="6"/>
  <c r="P57" i="6"/>
  <c r="I59" i="6"/>
  <c r="H59" i="6"/>
  <c r="G59" i="6"/>
  <c r="F59" i="6"/>
  <c r="E59" i="6"/>
  <c r="D59" i="6"/>
  <c r="U56" i="6"/>
  <c r="P56" i="6"/>
  <c r="I58" i="6"/>
  <c r="H58" i="6"/>
  <c r="G58" i="6"/>
  <c r="F58" i="6"/>
  <c r="E58" i="6"/>
  <c r="D58" i="6"/>
  <c r="U55" i="6"/>
  <c r="P55" i="6"/>
  <c r="I57" i="6"/>
  <c r="H57" i="6"/>
  <c r="G57" i="6"/>
  <c r="F57" i="6"/>
  <c r="E57" i="6"/>
  <c r="D57" i="6"/>
  <c r="U54" i="6"/>
  <c r="P54" i="6"/>
  <c r="I56" i="6"/>
  <c r="H56" i="6"/>
  <c r="G56" i="6"/>
  <c r="F56" i="6"/>
  <c r="E56" i="6"/>
  <c r="D56" i="6"/>
  <c r="U53" i="6"/>
  <c r="P53" i="6"/>
  <c r="I55" i="6"/>
  <c r="H55" i="6"/>
  <c r="G55" i="6"/>
  <c r="F55" i="6"/>
  <c r="E55" i="6"/>
  <c r="D55" i="6"/>
  <c r="U52" i="6"/>
  <c r="P52" i="6"/>
  <c r="I54" i="6"/>
  <c r="H54" i="6"/>
  <c r="G54" i="6"/>
  <c r="F54" i="6"/>
  <c r="E54" i="6"/>
  <c r="D54" i="6"/>
  <c r="U51" i="6"/>
  <c r="P51" i="6"/>
  <c r="I53" i="6"/>
  <c r="H53" i="6"/>
  <c r="G53" i="6"/>
  <c r="F53" i="6"/>
  <c r="E53" i="6"/>
  <c r="D53" i="6"/>
  <c r="U50" i="6"/>
  <c r="P50" i="6"/>
  <c r="I46" i="6"/>
  <c r="H46" i="6"/>
  <c r="G46" i="6"/>
  <c r="F46" i="6"/>
  <c r="E46" i="6"/>
  <c r="D46" i="6"/>
  <c r="U49" i="6"/>
  <c r="P49" i="6"/>
  <c r="I45" i="6"/>
  <c r="H45" i="6"/>
  <c r="G45" i="6"/>
  <c r="F45" i="6"/>
  <c r="E45" i="6"/>
  <c r="D45" i="6"/>
  <c r="U48" i="6"/>
  <c r="P48" i="6"/>
  <c r="I52" i="6"/>
  <c r="H52" i="6"/>
  <c r="G52" i="6"/>
  <c r="F52" i="6"/>
  <c r="E52" i="6"/>
  <c r="D52" i="6"/>
  <c r="U47" i="6"/>
  <c r="P47" i="6"/>
  <c r="I44" i="6"/>
  <c r="H44" i="6"/>
  <c r="G44" i="6"/>
  <c r="F44" i="6"/>
  <c r="E44" i="6"/>
  <c r="D44" i="6"/>
  <c r="U46" i="6"/>
  <c r="P46" i="6"/>
  <c r="I43" i="6"/>
  <c r="H43" i="6"/>
  <c r="G43" i="6"/>
  <c r="F43" i="6"/>
  <c r="E43" i="6"/>
  <c r="D43" i="6"/>
  <c r="U45" i="6"/>
  <c r="P45" i="6"/>
  <c r="I42" i="6"/>
  <c r="H42" i="6"/>
  <c r="G42" i="6"/>
  <c r="F42" i="6"/>
  <c r="E42" i="6"/>
  <c r="D42" i="6"/>
  <c r="U44" i="6"/>
  <c r="P44" i="6"/>
  <c r="I51" i="6"/>
  <c r="H51" i="6"/>
  <c r="G51" i="6"/>
  <c r="F51" i="6"/>
  <c r="E51" i="6"/>
  <c r="D51" i="6"/>
  <c r="U43" i="6"/>
  <c r="I41" i="6"/>
  <c r="H41" i="6"/>
  <c r="G41" i="6"/>
  <c r="F41" i="6"/>
  <c r="E41" i="6"/>
  <c r="D41" i="6"/>
  <c r="U42" i="6"/>
  <c r="I40" i="6"/>
  <c r="H40" i="6"/>
  <c r="G40" i="6"/>
  <c r="F40" i="6"/>
  <c r="E40" i="6"/>
  <c r="D40" i="6"/>
  <c r="U41" i="6"/>
  <c r="I39" i="6"/>
  <c r="H39" i="6"/>
  <c r="G39" i="6"/>
  <c r="F39" i="6"/>
  <c r="E39" i="6"/>
  <c r="D39" i="6"/>
  <c r="U40" i="6"/>
  <c r="I38" i="6"/>
  <c r="H38" i="6"/>
  <c r="G38" i="6"/>
  <c r="F38" i="6"/>
  <c r="E38" i="6"/>
  <c r="D38" i="6"/>
  <c r="U39" i="6"/>
  <c r="I37" i="6"/>
  <c r="H37" i="6"/>
  <c r="G37" i="6"/>
  <c r="F37" i="6"/>
  <c r="E37" i="6"/>
  <c r="D37" i="6"/>
  <c r="U38" i="6"/>
  <c r="I36" i="6"/>
  <c r="H36" i="6"/>
  <c r="G36" i="6"/>
  <c r="F36" i="6"/>
  <c r="E36" i="6"/>
  <c r="D36" i="6"/>
  <c r="U37" i="6"/>
  <c r="I35" i="6"/>
  <c r="H35" i="6"/>
  <c r="G35" i="6"/>
  <c r="F35" i="6"/>
  <c r="E35" i="6"/>
  <c r="D35" i="6"/>
  <c r="U36" i="6"/>
  <c r="I50" i="6"/>
  <c r="H50" i="6"/>
  <c r="G50" i="6"/>
  <c r="F50" i="6"/>
  <c r="E50" i="6"/>
  <c r="D50" i="6"/>
  <c r="U35" i="6"/>
  <c r="I49" i="6"/>
  <c r="H49" i="6"/>
  <c r="G49" i="6"/>
  <c r="F49" i="6"/>
  <c r="E49" i="6"/>
  <c r="D49" i="6"/>
  <c r="I34" i="6"/>
  <c r="H34" i="6"/>
  <c r="G34" i="6"/>
  <c r="F34" i="6"/>
  <c r="E34" i="6"/>
  <c r="D34" i="6"/>
  <c r="I33" i="6"/>
  <c r="H33" i="6"/>
  <c r="G33" i="6"/>
  <c r="F33" i="6"/>
  <c r="E33" i="6"/>
  <c r="D33" i="6"/>
  <c r="I32" i="6"/>
  <c r="H32" i="6"/>
  <c r="G32" i="6"/>
  <c r="F32" i="6"/>
  <c r="E32" i="6"/>
  <c r="D32" i="6"/>
  <c r="I31" i="6"/>
  <c r="H31" i="6"/>
  <c r="G31" i="6"/>
  <c r="F31" i="6"/>
  <c r="E31" i="6"/>
  <c r="D31" i="6"/>
  <c r="I30" i="6"/>
  <c r="H30" i="6"/>
  <c r="G30" i="6"/>
  <c r="F30" i="6"/>
  <c r="E30" i="6"/>
  <c r="D30" i="6"/>
  <c r="I29" i="6"/>
  <c r="H29" i="6"/>
  <c r="G29" i="6"/>
  <c r="F29" i="6"/>
  <c r="E29" i="6"/>
  <c r="D29" i="6"/>
  <c r="I28" i="6"/>
  <c r="H28" i="6"/>
  <c r="G28" i="6"/>
  <c r="F28" i="6"/>
  <c r="E28" i="6"/>
  <c r="D28" i="6"/>
  <c r="I27" i="6"/>
  <c r="H27" i="6"/>
  <c r="G27" i="6"/>
  <c r="F27" i="6"/>
  <c r="E27" i="6"/>
  <c r="D27" i="6"/>
  <c r="I26" i="6"/>
  <c r="H26" i="6"/>
  <c r="G26" i="6"/>
  <c r="F26" i="6"/>
  <c r="E26" i="6"/>
  <c r="D26" i="6"/>
  <c r="I25" i="6"/>
  <c r="H25" i="6"/>
  <c r="G25" i="6"/>
  <c r="F25" i="6"/>
  <c r="E25" i="6"/>
  <c r="D25" i="6"/>
  <c r="I24" i="6"/>
  <c r="H24" i="6"/>
  <c r="G24" i="6"/>
  <c r="F24" i="6"/>
  <c r="E24" i="6"/>
  <c r="D24" i="6"/>
  <c r="I23" i="6"/>
  <c r="H23" i="6"/>
  <c r="G23" i="6"/>
  <c r="F23" i="6"/>
  <c r="E23" i="6"/>
  <c r="D23" i="6"/>
  <c r="I22" i="6"/>
  <c r="H22" i="6"/>
  <c r="G22" i="6"/>
  <c r="F22" i="6"/>
  <c r="E22" i="6"/>
  <c r="D22" i="6"/>
  <c r="I21" i="6"/>
  <c r="H21" i="6"/>
  <c r="G21" i="6"/>
  <c r="F21" i="6"/>
  <c r="E21" i="6"/>
  <c r="D21" i="6"/>
  <c r="I20" i="6"/>
  <c r="H20" i="6"/>
  <c r="G20" i="6"/>
  <c r="F20" i="6"/>
  <c r="E20" i="6"/>
  <c r="D20" i="6"/>
  <c r="G16" i="6"/>
  <c r="E16" i="6"/>
  <c r="G15" i="6"/>
  <c r="E15" i="6"/>
  <c r="G14" i="6"/>
  <c r="E14" i="6"/>
  <c r="G13" i="6"/>
  <c r="E13" i="6"/>
  <c r="G12" i="6"/>
  <c r="E12" i="6"/>
  <c r="G11" i="6"/>
  <c r="E11" i="6"/>
  <c r="T83" i="5"/>
  <c r="R83" i="5"/>
  <c r="O83" i="5"/>
  <c r="I83" i="5"/>
  <c r="H83" i="5"/>
  <c r="G83" i="5"/>
  <c r="F83" i="5"/>
  <c r="E83" i="5"/>
  <c r="D83" i="5"/>
  <c r="T82" i="5"/>
  <c r="O82" i="5"/>
  <c r="I77" i="5"/>
  <c r="H77" i="5"/>
  <c r="G77" i="5"/>
  <c r="F77" i="5"/>
  <c r="E77" i="5"/>
  <c r="D77" i="5"/>
  <c r="T81" i="5"/>
  <c r="O81" i="5"/>
  <c r="I76" i="5"/>
  <c r="H76" i="5"/>
  <c r="G76" i="5"/>
  <c r="F76" i="5"/>
  <c r="E76" i="5"/>
  <c r="D76" i="5"/>
  <c r="T80" i="5"/>
  <c r="O80" i="5"/>
  <c r="I75" i="5"/>
  <c r="H75" i="5"/>
  <c r="G75" i="5"/>
  <c r="F75" i="5"/>
  <c r="E75" i="5"/>
  <c r="D75" i="5"/>
  <c r="T79" i="5"/>
  <c r="I74" i="5"/>
  <c r="H74" i="5"/>
  <c r="G74" i="5"/>
  <c r="F74" i="5"/>
  <c r="E74" i="5"/>
  <c r="D74" i="5"/>
  <c r="T78" i="5"/>
  <c r="I73" i="5"/>
  <c r="H73" i="5"/>
  <c r="G73" i="5"/>
  <c r="F73" i="5"/>
  <c r="E73" i="5"/>
  <c r="D73" i="5"/>
  <c r="T77" i="5"/>
  <c r="I72" i="5"/>
  <c r="H72" i="5"/>
  <c r="G72" i="5"/>
  <c r="F72" i="5"/>
  <c r="E72" i="5"/>
  <c r="D72" i="5"/>
  <c r="T76" i="5"/>
  <c r="I71" i="5"/>
  <c r="H71" i="5"/>
  <c r="G71" i="5"/>
  <c r="F71" i="5"/>
  <c r="E71" i="5"/>
  <c r="D71" i="5"/>
  <c r="T75" i="5"/>
  <c r="I70" i="5"/>
  <c r="H70" i="5"/>
  <c r="G70" i="5"/>
  <c r="F70" i="5"/>
  <c r="E70" i="5"/>
  <c r="D70" i="5"/>
  <c r="T74" i="5"/>
  <c r="I69" i="5"/>
  <c r="H69" i="5"/>
  <c r="G69" i="5"/>
  <c r="F69" i="5"/>
  <c r="E69" i="5"/>
  <c r="D69" i="5"/>
  <c r="T73" i="5"/>
  <c r="I68" i="5"/>
  <c r="H68" i="5"/>
  <c r="G68" i="5"/>
  <c r="F68" i="5"/>
  <c r="E68" i="5"/>
  <c r="D68" i="5"/>
  <c r="T72" i="5"/>
  <c r="I67" i="5"/>
  <c r="H67" i="5"/>
  <c r="G67" i="5"/>
  <c r="F67" i="5"/>
  <c r="E67" i="5"/>
  <c r="D67" i="5"/>
  <c r="T71" i="5"/>
  <c r="I66" i="5"/>
  <c r="H66" i="5"/>
  <c r="G66" i="5"/>
  <c r="F66" i="5"/>
  <c r="E66" i="5"/>
  <c r="D66" i="5"/>
  <c r="T70" i="5"/>
  <c r="I65" i="5"/>
  <c r="H65" i="5"/>
  <c r="G65" i="5"/>
  <c r="F65" i="5"/>
  <c r="E65" i="5"/>
  <c r="D65" i="5"/>
  <c r="T69" i="5"/>
  <c r="I64" i="5"/>
  <c r="H64" i="5"/>
  <c r="G64" i="5"/>
  <c r="F64" i="5"/>
  <c r="E64" i="5"/>
  <c r="D64" i="5"/>
  <c r="T68" i="5"/>
  <c r="I63" i="5"/>
  <c r="H63" i="5"/>
  <c r="G63" i="5"/>
  <c r="F63" i="5"/>
  <c r="E63" i="5"/>
  <c r="D63" i="5"/>
  <c r="T67" i="5"/>
  <c r="I62" i="5"/>
  <c r="H62" i="5"/>
  <c r="G62" i="5"/>
  <c r="F62" i="5"/>
  <c r="E62" i="5"/>
  <c r="D62" i="5"/>
  <c r="T66" i="5"/>
  <c r="I61" i="5"/>
  <c r="H61" i="5"/>
  <c r="G61" i="5"/>
  <c r="F61" i="5"/>
  <c r="E61" i="5"/>
  <c r="D61" i="5"/>
  <c r="T65" i="5"/>
  <c r="I60" i="5"/>
  <c r="H60" i="5"/>
  <c r="G60" i="5"/>
  <c r="F60" i="5"/>
  <c r="E60" i="5"/>
  <c r="D60" i="5"/>
  <c r="T64" i="5"/>
  <c r="I59" i="5"/>
  <c r="H59" i="5"/>
  <c r="G59" i="5"/>
  <c r="F59" i="5"/>
  <c r="E59" i="5"/>
  <c r="D59" i="5"/>
  <c r="T63" i="5"/>
  <c r="I58" i="5"/>
  <c r="H58" i="5"/>
  <c r="G58" i="5"/>
  <c r="F58" i="5"/>
  <c r="E58" i="5"/>
  <c r="D58" i="5"/>
  <c r="T62" i="5"/>
  <c r="I57" i="5"/>
  <c r="H57" i="5"/>
  <c r="G57" i="5"/>
  <c r="F57" i="5"/>
  <c r="E57" i="5"/>
  <c r="D57" i="5"/>
  <c r="T61" i="5"/>
  <c r="I56" i="5"/>
  <c r="H56" i="5"/>
  <c r="G56" i="5"/>
  <c r="F56" i="5"/>
  <c r="E56" i="5"/>
  <c r="D56" i="5"/>
  <c r="T60" i="5"/>
  <c r="I55" i="5"/>
  <c r="H55" i="5"/>
  <c r="G55" i="5"/>
  <c r="F55" i="5"/>
  <c r="E55" i="5"/>
  <c r="D55" i="5"/>
  <c r="T59" i="5"/>
  <c r="I54" i="5"/>
  <c r="H54" i="5"/>
  <c r="G54" i="5"/>
  <c r="F54" i="5"/>
  <c r="E54" i="5"/>
  <c r="D54" i="5"/>
  <c r="T58" i="5"/>
  <c r="I53" i="5"/>
  <c r="H53" i="5"/>
  <c r="G53" i="5"/>
  <c r="F53" i="5"/>
  <c r="E53" i="5"/>
  <c r="D53" i="5"/>
  <c r="T57" i="5"/>
  <c r="I52" i="5"/>
  <c r="H52" i="5"/>
  <c r="G52" i="5"/>
  <c r="F52" i="5"/>
  <c r="E52" i="5"/>
  <c r="D52" i="5"/>
  <c r="T56" i="5"/>
  <c r="I51" i="5"/>
  <c r="H51" i="5"/>
  <c r="G51" i="5"/>
  <c r="F51" i="5"/>
  <c r="E51" i="5"/>
  <c r="D51" i="5"/>
  <c r="T55" i="5"/>
  <c r="I48" i="5"/>
  <c r="H48" i="5"/>
  <c r="G48" i="5"/>
  <c r="F48" i="5"/>
  <c r="E48" i="5"/>
  <c r="D48" i="5"/>
  <c r="T54" i="5"/>
  <c r="I44" i="5"/>
  <c r="H44" i="5"/>
  <c r="G44" i="5"/>
  <c r="F44" i="5"/>
  <c r="E44" i="5"/>
  <c r="D44" i="5"/>
  <c r="T53" i="5"/>
  <c r="I36" i="5"/>
  <c r="H36" i="5"/>
  <c r="G36" i="5"/>
  <c r="F36" i="5"/>
  <c r="E36" i="5"/>
  <c r="D36" i="5"/>
  <c r="T52" i="5"/>
  <c r="I35" i="5"/>
  <c r="H35" i="5"/>
  <c r="G35" i="5"/>
  <c r="F35" i="5"/>
  <c r="E35" i="5"/>
  <c r="D35" i="5"/>
  <c r="T51" i="5"/>
  <c r="I34" i="5"/>
  <c r="H34" i="5"/>
  <c r="G34" i="5"/>
  <c r="F34" i="5"/>
  <c r="E34" i="5"/>
  <c r="D34" i="5"/>
  <c r="T50" i="5"/>
  <c r="I50" i="5"/>
  <c r="H50" i="5"/>
  <c r="G50" i="5"/>
  <c r="F50" i="5"/>
  <c r="E50" i="5"/>
  <c r="D50" i="5"/>
  <c r="T49" i="5"/>
  <c r="I49" i="5"/>
  <c r="H49" i="5"/>
  <c r="G49" i="5"/>
  <c r="F49" i="5"/>
  <c r="E49" i="5"/>
  <c r="D49" i="5"/>
  <c r="T48" i="5"/>
  <c r="I23" i="5"/>
  <c r="H23" i="5"/>
  <c r="G23" i="5"/>
  <c r="F23" i="5"/>
  <c r="E23" i="5"/>
  <c r="D23" i="5"/>
  <c r="T47" i="5"/>
  <c r="I47" i="5"/>
  <c r="H47" i="5"/>
  <c r="G47" i="5"/>
  <c r="F47" i="5"/>
  <c r="E47" i="5"/>
  <c r="D47" i="5"/>
  <c r="T46" i="5"/>
  <c r="I46" i="5"/>
  <c r="H46" i="5"/>
  <c r="G46" i="5"/>
  <c r="F46" i="5"/>
  <c r="E46" i="5"/>
  <c r="D46" i="5"/>
  <c r="T45" i="5"/>
  <c r="I45" i="5"/>
  <c r="H45" i="5"/>
  <c r="G45" i="5"/>
  <c r="F45" i="5"/>
  <c r="E45" i="5"/>
  <c r="D45" i="5"/>
  <c r="T44" i="5"/>
  <c r="I22" i="5"/>
  <c r="H22" i="5"/>
  <c r="G22" i="5"/>
  <c r="F22" i="5"/>
  <c r="E22" i="5"/>
  <c r="D22" i="5"/>
  <c r="T43" i="5"/>
  <c r="I43" i="5"/>
  <c r="H43" i="5"/>
  <c r="G43" i="5"/>
  <c r="F43" i="5"/>
  <c r="E43" i="5"/>
  <c r="D43" i="5"/>
  <c r="T42" i="5"/>
  <c r="I42" i="5"/>
  <c r="H42" i="5"/>
  <c r="G42" i="5"/>
  <c r="F42" i="5"/>
  <c r="E42" i="5"/>
  <c r="D42" i="5"/>
  <c r="T41" i="5"/>
  <c r="I41" i="5"/>
  <c r="H41" i="5"/>
  <c r="G41" i="5"/>
  <c r="F41" i="5"/>
  <c r="E41" i="5"/>
  <c r="D41" i="5"/>
  <c r="T40" i="5"/>
  <c r="I40" i="5"/>
  <c r="H40" i="5"/>
  <c r="G40" i="5"/>
  <c r="F40" i="5"/>
  <c r="E40" i="5"/>
  <c r="D40" i="5"/>
  <c r="T39" i="5"/>
  <c r="I39" i="5"/>
  <c r="H39" i="5"/>
  <c r="G39" i="5"/>
  <c r="F39" i="5"/>
  <c r="E39" i="5"/>
  <c r="D39" i="5"/>
  <c r="T38" i="5"/>
  <c r="I38" i="5"/>
  <c r="H38" i="5"/>
  <c r="G38" i="5"/>
  <c r="F38" i="5"/>
  <c r="E38" i="5"/>
  <c r="D38" i="5"/>
  <c r="T37" i="5"/>
  <c r="I37" i="5"/>
  <c r="H37" i="5"/>
  <c r="G37" i="5"/>
  <c r="F37" i="5"/>
  <c r="E37" i="5"/>
  <c r="D37" i="5"/>
  <c r="I21" i="5"/>
  <c r="H21" i="5"/>
  <c r="G21" i="5"/>
  <c r="F21" i="5"/>
  <c r="E21" i="5"/>
  <c r="D21" i="5"/>
  <c r="I32" i="5"/>
  <c r="H32" i="5"/>
  <c r="G32" i="5"/>
  <c r="F32" i="5"/>
  <c r="E32" i="5"/>
  <c r="D32" i="5"/>
  <c r="I82" i="5"/>
  <c r="H82" i="5"/>
  <c r="G82" i="5"/>
  <c r="F82" i="5"/>
  <c r="E82" i="5"/>
  <c r="D82" i="5"/>
  <c r="I33" i="5"/>
  <c r="H33" i="5"/>
  <c r="G33" i="5"/>
  <c r="F33" i="5"/>
  <c r="E33" i="5"/>
  <c r="D33" i="5"/>
  <c r="I79" i="5"/>
  <c r="H79" i="5"/>
  <c r="G79" i="5"/>
  <c r="F79" i="5"/>
  <c r="E79" i="5"/>
  <c r="D79" i="5"/>
  <c r="I31" i="5"/>
  <c r="H31" i="5"/>
  <c r="G31" i="5"/>
  <c r="F31" i="5"/>
  <c r="E31" i="5"/>
  <c r="D31" i="5"/>
  <c r="I30" i="5"/>
  <c r="H30" i="5"/>
  <c r="G30" i="5"/>
  <c r="F30" i="5"/>
  <c r="E30" i="5"/>
  <c r="D30" i="5"/>
  <c r="I29" i="5"/>
  <c r="H29" i="5"/>
  <c r="G29" i="5"/>
  <c r="F29" i="5"/>
  <c r="E29" i="5"/>
  <c r="D29" i="5"/>
  <c r="I78" i="5"/>
  <c r="H78" i="5"/>
  <c r="G78" i="5"/>
  <c r="F78" i="5"/>
  <c r="E78" i="5"/>
  <c r="D78" i="5"/>
  <c r="I28" i="5"/>
  <c r="H28" i="5"/>
  <c r="G28" i="5"/>
  <c r="F28" i="5"/>
  <c r="E28" i="5"/>
  <c r="D28" i="5"/>
  <c r="I81" i="5"/>
  <c r="H81" i="5"/>
  <c r="G81" i="5"/>
  <c r="F81" i="5"/>
  <c r="E81" i="5"/>
  <c r="D81" i="5"/>
  <c r="I25" i="5"/>
  <c r="H25" i="5"/>
  <c r="G25" i="5"/>
  <c r="F25" i="5"/>
  <c r="E25" i="5"/>
  <c r="D25" i="5"/>
  <c r="I20" i="5"/>
  <c r="H20" i="5"/>
  <c r="G20" i="5"/>
  <c r="F20" i="5"/>
  <c r="E20" i="5"/>
  <c r="D20" i="5"/>
  <c r="I27" i="5"/>
  <c r="H27" i="5"/>
  <c r="G27" i="5"/>
  <c r="F27" i="5"/>
  <c r="E27" i="5"/>
  <c r="D27" i="5"/>
  <c r="I80" i="5"/>
  <c r="H80" i="5"/>
  <c r="G80" i="5"/>
  <c r="F80" i="5"/>
  <c r="E80" i="5"/>
  <c r="D80" i="5"/>
  <c r="I26" i="5"/>
  <c r="H26" i="5"/>
  <c r="G26" i="5"/>
  <c r="F26" i="5"/>
  <c r="E26" i="5"/>
  <c r="D26" i="5"/>
  <c r="I24" i="5"/>
  <c r="H24" i="5"/>
  <c r="G24" i="5"/>
  <c r="F24" i="5"/>
  <c r="E24" i="5"/>
  <c r="D24" i="5"/>
  <c r="F16" i="5"/>
  <c r="E16" i="5"/>
  <c r="F15" i="5"/>
  <c r="E15" i="5"/>
  <c r="F14" i="5"/>
  <c r="E14" i="5"/>
  <c r="F13" i="5"/>
  <c r="E13" i="5"/>
  <c r="F12" i="5"/>
  <c r="E12" i="5"/>
  <c r="F11" i="5"/>
  <c r="E11" i="5"/>
  <c r="D23" i="2"/>
  <c r="D26" i="2"/>
  <c r="D44" i="2"/>
  <c r="D27" i="2"/>
  <c r="D24" i="2"/>
  <c r="D25" i="2"/>
  <c r="D48" i="2"/>
  <c r="D28" i="2"/>
  <c r="D35" i="2"/>
  <c r="D29" i="2"/>
  <c r="D30" i="2"/>
  <c r="E31" i="2"/>
  <c r="D36" i="2"/>
  <c r="D33" i="2"/>
  <c r="D51" i="2"/>
  <c r="D32" i="2"/>
  <c r="D20" i="2"/>
  <c r="D37" i="2"/>
  <c r="D38" i="2"/>
  <c r="D39" i="2"/>
  <c r="D40" i="2"/>
  <c r="D41" i="2"/>
  <c r="D42" i="2"/>
  <c r="D43" i="2"/>
  <c r="D21" i="2"/>
  <c r="D45" i="2"/>
  <c r="D46" i="2"/>
  <c r="D47" i="2"/>
  <c r="D22" i="2"/>
  <c r="D49" i="2"/>
  <c r="D50" i="2"/>
  <c r="D34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E23" i="2"/>
  <c r="E26" i="2"/>
  <c r="E44" i="2"/>
  <c r="E27" i="2"/>
  <c r="E24" i="2"/>
  <c r="E25" i="2"/>
  <c r="E48" i="2"/>
  <c r="E28" i="2"/>
  <c r="E35" i="2"/>
  <c r="E29" i="2"/>
  <c r="E30" i="2"/>
  <c r="F31" i="2"/>
  <c r="E36" i="2"/>
  <c r="E33" i="2"/>
  <c r="E51" i="2"/>
  <c r="E32" i="2"/>
  <c r="E20" i="2"/>
  <c r="E37" i="2"/>
  <c r="E38" i="2"/>
  <c r="E39" i="2"/>
  <c r="E40" i="2"/>
  <c r="E41" i="2"/>
  <c r="E42" i="2"/>
  <c r="E43" i="2"/>
  <c r="E21" i="2"/>
  <c r="E45" i="2"/>
  <c r="E46" i="2"/>
  <c r="E47" i="2"/>
  <c r="E22" i="2"/>
  <c r="E49" i="2"/>
  <c r="E50" i="2"/>
  <c r="E34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F23" i="2"/>
  <c r="F26" i="2"/>
  <c r="F44" i="2"/>
  <c r="F27" i="2"/>
  <c r="F24" i="2"/>
  <c r="F25" i="2"/>
  <c r="F48" i="2"/>
  <c r="F28" i="2"/>
  <c r="F35" i="2"/>
  <c r="F29" i="2"/>
  <c r="F30" i="2"/>
  <c r="G31" i="2"/>
  <c r="F36" i="2"/>
  <c r="F33" i="2"/>
  <c r="F51" i="2"/>
  <c r="F32" i="2"/>
  <c r="F20" i="2"/>
  <c r="F37" i="2"/>
  <c r="F38" i="2"/>
  <c r="F39" i="2"/>
  <c r="F40" i="2"/>
  <c r="F41" i="2"/>
  <c r="F42" i="2"/>
  <c r="F43" i="2"/>
  <c r="F21" i="2"/>
  <c r="F45" i="2"/>
  <c r="F46" i="2"/>
  <c r="F47" i="2"/>
  <c r="F22" i="2"/>
  <c r="F49" i="2"/>
  <c r="F50" i="2"/>
  <c r="F34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G23" i="2"/>
  <c r="G26" i="2"/>
  <c r="G44" i="2"/>
  <c r="G27" i="2"/>
  <c r="G24" i="2"/>
  <c r="G25" i="2"/>
  <c r="G48" i="2"/>
  <c r="G28" i="2"/>
  <c r="G35" i="2"/>
  <c r="G29" i="2"/>
  <c r="G30" i="2"/>
  <c r="H31" i="2"/>
  <c r="G36" i="2"/>
  <c r="G33" i="2"/>
  <c r="G51" i="2"/>
  <c r="G32" i="2"/>
  <c r="G20" i="2"/>
  <c r="G37" i="2"/>
  <c r="G38" i="2"/>
  <c r="G39" i="2"/>
  <c r="G40" i="2"/>
  <c r="G41" i="2"/>
  <c r="G42" i="2"/>
  <c r="G43" i="2"/>
  <c r="G21" i="2"/>
  <c r="G45" i="2"/>
  <c r="G46" i="2"/>
  <c r="G47" i="2"/>
  <c r="G22" i="2"/>
  <c r="G49" i="2"/>
  <c r="G50" i="2"/>
  <c r="G34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H23" i="2"/>
  <c r="H26" i="2"/>
  <c r="H44" i="2"/>
  <c r="H27" i="2"/>
  <c r="H24" i="2"/>
  <c r="H25" i="2"/>
  <c r="H48" i="2"/>
  <c r="H28" i="2"/>
  <c r="H35" i="2"/>
  <c r="H29" i="2"/>
  <c r="H30" i="2"/>
  <c r="I31" i="2"/>
  <c r="H36" i="2"/>
  <c r="H33" i="2"/>
  <c r="H51" i="2"/>
  <c r="H32" i="2"/>
  <c r="H20" i="2"/>
  <c r="H37" i="2"/>
  <c r="H38" i="2"/>
  <c r="H39" i="2"/>
  <c r="H40" i="2"/>
  <c r="H41" i="2"/>
  <c r="H42" i="2"/>
  <c r="H43" i="2"/>
  <c r="H21" i="2"/>
  <c r="H45" i="2"/>
  <c r="H46" i="2"/>
  <c r="H47" i="2"/>
  <c r="H22" i="2"/>
  <c r="H49" i="2"/>
  <c r="H50" i="2"/>
  <c r="H34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I23" i="2"/>
  <c r="I26" i="2"/>
  <c r="I44" i="2"/>
  <c r="I27" i="2"/>
  <c r="I24" i="2"/>
  <c r="I25" i="2"/>
  <c r="I48" i="2"/>
  <c r="I28" i="2"/>
  <c r="I35" i="2"/>
  <c r="I29" i="2"/>
  <c r="I30" i="2"/>
  <c r="I36" i="2"/>
  <c r="I33" i="2"/>
  <c r="I51" i="2"/>
  <c r="I32" i="2"/>
  <c r="I20" i="2"/>
  <c r="I37" i="2"/>
  <c r="I38" i="2"/>
  <c r="I39" i="2"/>
  <c r="I40" i="2"/>
  <c r="I41" i="2"/>
  <c r="I42" i="2"/>
  <c r="I43" i="2"/>
  <c r="I21" i="2"/>
  <c r="I45" i="2"/>
  <c r="I46" i="2"/>
  <c r="I47" i="2"/>
  <c r="I22" i="2"/>
  <c r="I49" i="2"/>
  <c r="I50" i="2"/>
  <c r="I34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E13" i="2"/>
  <c r="AA83" i="4"/>
  <c r="I83" i="4"/>
  <c r="H83" i="4"/>
  <c r="G83" i="4"/>
  <c r="F83" i="4"/>
  <c r="E83" i="4"/>
  <c r="D83" i="4"/>
  <c r="AA82" i="4"/>
  <c r="I82" i="4"/>
  <c r="H82" i="4"/>
  <c r="G82" i="4"/>
  <c r="F82" i="4"/>
  <c r="E82" i="4"/>
  <c r="D82" i="4"/>
  <c r="AA81" i="4"/>
  <c r="I81" i="4"/>
  <c r="H81" i="4"/>
  <c r="G81" i="4"/>
  <c r="F81" i="4"/>
  <c r="E81" i="4"/>
  <c r="D81" i="4"/>
  <c r="AA80" i="4"/>
  <c r="I80" i="4"/>
  <c r="H80" i="4"/>
  <c r="G80" i="4"/>
  <c r="F80" i="4"/>
  <c r="E80" i="4"/>
  <c r="D80" i="4"/>
  <c r="AA79" i="4"/>
  <c r="I79" i="4"/>
  <c r="H79" i="4"/>
  <c r="G79" i="4"/>
  <c r="F79" i="4"/>
  <c r="E79" i="4"/>
  <c r="D79" i="4"/>
  <c r="AA78" i="4"/>
  <c r="I78" i="4"/>
  <c r="H78" i="4"/>
  <c r="G78" i="4"/>
  <c r="F78" i="4"/>
  <c r="E78" i="4"/>
  <c r="D78" i="4"/>
  <c r="AA77" i="4"/>
  <c r="I77" i="4"/>
  <c r="H77" i="4"/>
  <c r="G77" i="4"/>
  <c r="F77" i="4"/>
  <c r="E77" i="4"/>
  <c r="D77" i="4"/>
  <c r="AA76" i="4"/>
  <c r="I76" i="4"/>
  <c r="H76" i="4"/>
  <c r="G76" i="4"/>
  <c r="F76" i="4"/>
  <c r="E76" i="4"/>
  <c r="D76" i="4"/>
  <c r="AA75" i="4"/>
  <c r="I75" i="4"/>
  <c r="H75" i="4"/>
  <c r="G75" i="4"/>
  <c r="F75" i="4"/>
  <c r="E75" i="4"/>
  <c r="D75" i="4"/>
  <c r="AA74" i="4"/>
  <c r="I74" i="4"/>
  <c r="H74" i="4"/>
  <c r="G74" i="4"/>
  <c r="F74" i="4"/>
  <c r="E74" i="4"/>
  <c r="D74" i="4"/>
  <c r="AA73" i="4"/>
  <c r="I73" i="4"/>
  <c r="H73" i="4"/>
  <c r="G73" i="4"/>
  <c r="F73" i="4"/>
  <c r="E73" i="4"/>
  <c r="D73" i="4"/>
  <c r="AA72" i="4"/>
  <c r="I72" i="4"/>
  <c r="H72" i="4"/>
  <c r="G72" i="4"/>
  <c r="F72" i="4"/>
  <c r="E72" i="4"/>
  <c r="D72" i="4"/>
  <c r="AA71" i="4"/>
  <c r="I71" i="4"/>
  <c r="H71" i="4"/>
  <c r="G71" i="4"/>
  <c r="F71" i="4"/>
  <c r="E71" i="4"/>
  <c r="D71" i="4"/>
  <c r="AA70" i="4"/>
  <c r="I70" i="4"/>
  <c r="H70" i="4"/>
  <c r="G70" i="4"/>
  <c r="F70" i="4"/>
  <c r="E70" i="4"/>
  <c r="D70" i="4"/>
  <c r="AA69" i="4"/>
  <c r="I69" i="4"/>
  <c r="H69" i="4"/>
  <c r="G69" i="4"/>
  <c r="F69" i="4"/>
  <c r="E69" i="4"/>
  <c r="D69" i="4"/>
  <c r="AA68" i="4"/>
  <c r="I68" i="4"/>
  <c r="H68" i="4"/>
  <c r="G68" i="4"/>
  <c r="F68" i="4"/>
  <c r="E68" i="4"/>
  <c r="D68" i="4"/>
  <c r="AA67" i="4"/>
  <c r="I67" i="4"/>
  <c r="H67" i="4"/>
  <c r="G67" i="4"/>
  <c r="F67" i="4"/>
  <c r="E67" i="4"/>
  <c r="D67" i="4"/>
  <c r="AA66" i="4"/>
  <c r="I66" i="4"/>
  <c r="H66" i="4"/>
  <c r="G66" i="4"/>
  <c r="F66" i="4"/>
  <c r="E66" i="4"/>
  <c r="D66" i="4"/>
  <c r="AA65" i="4"/>
  <c r="I65" i="4"/>
  <c r="H65" i="4"/>
  <c r="G65" i="4"/>
  <c r="F65" i="4"/>
  <c r="E65" i="4"/>
  <c r="D65" i="4"/>
  <c r="AA64" i="4"/>
  <c r="I64" i="4"/>
  <c r="H64" i="4"/>
  <c r="G64" i="4"/>
  <c r="F64" i="4"/>
  <c r="E64" i="4"/>
  <c r="D64" i="4"/>
  <c r="AA63" i="4"/>
  <c r="I63" i="4"/>
  <c r="H63" i="4"/>
  <c r="G63" i="4"/>
  <c r="F63" i="4"/>
  <c r="E63" i="4"/>
  <c r="D63" i="4"/>
  <c r="AA62" i="4"/>
  <c r="I62" i="4"/>
  <c r="H62" i="4"/>
  <c r="G62" i="4"/>
  <c r="F62" i="4"/>
  <c r="E62" i="4"/>
  <c r="D62" i="4"/>
  <c r="AA61" i="4"/>
  <c r="I61" i="4"/>
  <c r="H61" i="4"/>
  <c r="G61" i="4"/>
  <c r="F61" i="4"/>
  <c r="E61" i="4"/>
  <c r="D61" i="4"/>
  <c r="AA60" i="4"/>
  <c r="I60" i="4"/>
  <c r="H60" i="4"/>
  <c r="G60" i="4"/>
  <c r="F60" i="4"/>
  <c r="E60" i="4"/>
  <c r="D60" i="4"/>
  <c r="AA59" i="4"/>
  <c r="I59" i="4"/>
  <c r="H59" i="4"/>
  <c r="G59" i="4"/>
  <c r="F59" i="4"/>
  <c r="E59" i="4"/>
  <c r="D59" i="4"/>
  <c r="AA58" i="4"/>
  <c r="I58" i="4"/>
  <c r="H58" i="4"/>
  <c r="G58" i="4"/>
  <c r="F58" i="4"/>
  <c r="E58" i="4"/>
  <c r="D58" i="4"/>
  <c r="AA57" i="4"/>
  <c r="I57" i="4"/>
  <c r="H57" i="4"/>
  <c r="G57" i="4"/>
  <c r="F57" i="4"/>
  <c r="E57" i="4"/>
  <c r="D57" i="4"/>
  <c r="AA56" i="4"/>
  <c r="I56" i="4"/>
  <c r="H56" i="4"/>
  <c r="G56" i="4"/>
  <c r="F56" i="4"/>
  <c r="E56" i="4"/>
  <c r="D56" i="4"/>
  <c r="AA55" i="4"/>
  <c r="I55" i="4"/>
  <c r="H55" i="4"/>
  <c r="G55" i="4"/>
  <c r="F55" i="4"/>
  <c r="E55" i="4"/>
  <c r="D55" i="4"/>
  <c r="AA54" i="4"/>
  <c r="I54" i="4"/>
  <c r="H54" i="4"/>
  <c r="G54" i="4"/>
  <c r="F54" i="4"/>
  <c r="E54" i="4"/>
  <c r="D54" i="4"/>
  <c r="AA53" i="4"/>
  <c r="I53" i="4"/>
  <c r="H53" i="4"/>
  <c r="G53" i="4"/>
  <c r="F53" i="4"/>
  <c r="E53" i="4"/>
  <c r="D53" i="4"/>
  <c r="AA52" i="4"/>
  <c r="I52" i="4"/>
  <c r="H52" i="4"/>
  <c r="G52" i="4"/>
  <c r="F52" i="4"/>
  <c r="E52" i="4"/>
  <c r="D52" i="4"/>
  <c r="AA51" i="4"/>
  <c r="I51" i="4"/>
  <c r="H51" i="4"/>
  <c r="G51" i="4"/>
  <c r="F51" i="4"/>
  <c r="E51" i="4"/>
  <c r="D51" i="4"/>
  <c r="AA50" i="4"/>
  <c r="I50" i="4"/>
  <c r="H50" i="4"/>
  <c r="G50" i="4"/>
  <c r="F50" i="4"/>
  <c r="E50" i="4"/>
  <c r="D50" i="4"/>
  <c r="AA49" i="4"/>
  <c r="I49" i="4"/>
  <c r="H49" i="4"/>
  <c r="G49" i="4"/>
  <c r="F49" i="4"/>
  <c r="E49" i="4"/>
  <c r="D49" i="4"/>
  <c r="AA48" i="4"/>
  <c r="I48" i="4"/>
  <c r="H48" i="4"/>
  <c r="G48" i="4"/>
  <c r="F48" i="4"/>
  <c r="E48" i="4"/>
  <c r="D48" i="4"/>
  <c r="AA47" i="4"/>
  <c r="I47" i="4"/>
  <c r="H47" i="4"/>
  <c r="G47" i="4"/>
  <c r="F47" i="4"/>
  <c r="E47" i="4"/>
  <c r="D47" i="4"/>
  <c r="AA46" i="4"/>
  <c r="I46" i="4"/>
  <c r="H46" i="4"/>
  <c r="G46" i="4"/>
  <c r="F46" i="4"/>
  <c r="E46" i="4"/>
  <c r="D46" i="4"/>
  <c r="AA45" i="4"/>
  <c r="I45" i="4"/>
  <c r="H45" i="4"/>
  <c r="G45" i="4"/>
  <c r="F45" i="4"/>
  <c r="E45" i="4"/>
  <c r="D45" i="4"/>
  <c r="AA44" i="4"/>
  <c r="I44" i="4"/>
  <c r="H44" i="4"/>
  <c r="G44" i="4"/>
  <c r="F44" i="4"/>
  <c r="E44" i="4"/>
  <c r="D44" i="4"/>
  <c r="AA43" i="4"/>
  <c r="I43" i="4"/>
  <c r="H43" i="4"/>
  <c r="G43" i="4"/>
  <c r="F43" i="4"/>
  <c r="E43" i="4"/>
  <c r="D43" i="4"/>
  <c r="AA42" i="4"/>
  <c r="I42" i="4"/>
  <c r="H42" i="4"/>
  <c r="G42" i="4"/>
  <c r="F42" i="4"/>
  <c r="E42" i="4"/>
  <c r="D42" i="4"/>
  <c r="AA41" i="4"/>
  <c r="I41" i="4"/>
  <c r="H41" i="4"/>
  <c r="G41" i="4"/>
  <c r="F41" i="4"/>
  <c r="E41" i="4"/>
  <c r="D41" i="4"/>
  <c r="AA40" i="4"/>
  <c r="I40" i="4"/>
  <c r="H40" i="4"/>
  <c r="G40" i="4"/>
  <c r="F40" i="4"/>
  <c r="E40" i="4"/>
  <c r="D40" i="4"/>
  <c r="I39" i="4"/>
  <c r="H39" i="4"/>
  <c r="G39" i="4"/>
  <c r="F39" i="4"/>
  <c r="E39" i="4"/>
  <c r="D39" i="4"/>
  <c r="I38" i="4"/>
  <c r="H38" i="4"/>
  <c r="G38" i="4"/>
  <c r="F38" i="4"/>
  <c r="E38" i="4"/>
  <c r="D38" i="4"/>
  <c r="I37" i="4"/>
  <c r="H37" i="4"/>
  <c r="G37" i="4"/>
  <c r="F37" i="4"/>
  <c r="E37" i="4"/>
  <c r="D37" i="4"/>
  <c r="I36" i="4"/>
  <c r="H36" i="4"/>
  <c r="G36" i="4"/>
  <c r="F36" i="4"/>
  <c r="E36" i="4"/>
  <c r="D36" i="4"/>
  <c r="I35" i="4"/>
  <c r="H35" i="4"/>
  <c r="G35" i="4"/>
  <c r="F35" i="4"/>
  <c r="E35" i="4"/>
  <c r="D35" i="4"/>
  <c r="I34" i="4"/>
  <c r="H34" i="4"/>
  <c r="G34" i="4"/>
  <c r="F34" i="4"/>
  <c r="E34" i="4"/>
  <c r="D34" i="4"/>
  <c r="I33" i="4"/>
  <c r="H33" i="4"/>
  <c r="G33" i="4"/>
  <c r="F33" i="4"/>
  <c r="E33" i="4"/>
  <c r="D33" i="4"/>
  <c r="I32" i="4"/>
  <c r="H32" i="4"/>
  <c r="G32" i="4"/>
  <c r="F32" i="4"/>
  <c r="E32" i="4"/>
  <c r="D32" i="4"/>
  <c r="I31" i="4"/>
  <c r="H31" i="4"/>
  <c r="G31" i="4"/>
  <c r="F31" i="4"/>
  <c r="E31" i="4"/>
  <c r="D31" i="4"/>
  <c r="I30" i="4"/>
  <c r="H30" i="4"/>
  <c r="G30" i="4"/>
  <c r="F30" i="4"/>
  <c r="E30" i="4"/>
  <c r="D30" i="4"/>
  <c r="I29" i="4"/>
  <c r="H29" i="4"/>
  <c r="G29" i="4"/>
  <c r="F29" i="4"/>
  <c r="E29" i="4"/>
  <c r="D29" i="4"/>
  <c r="I28" i="4"/>
  <c r="H28" i="4"/>
  <c r="G28" i="4"/>
  <c r="F28" i="4"/>
  <c r="E28" i="4"/>
  <c r="D28" i="4"/>
  <c r="I27" i="4"/>
  <c r="H27" i="4"/>
  <c r="G27" i="4"/>
  <c r="F27" i="4"/>
  <c r="E27" i="4"/>
  <c r="D27" i="4"/>
  <c r="I23" i="4"/>
  <c r="H23" i="4"/>
  <c r="G23" i="4"/>
  <c r="F23" i="4"/>
  <c r="E23" i="4"/>
  <c r="D23" i="4"/>
  <c r="I25" i="4"/>
  <c r="H25" i="4"/>
  <c r="G25" i="4"/>
  <c r="F25" i="4"/>
  <c r="E25" i="4"/>
  <c r="D25" i="4"/>
  <c r="I21" i="4"/>
  <c r="H21" i="4"/>
  <c r="G21" i="4"/>
  <c r="F21" i="4"/>
  <c r="E21" i="4"/>
  <c r="D21" i="4"/>
  <c r="I26" i="4"/>
  <c r="H26" i="4"/>
  <c r="G26" i="4"/>
  <c r="F26" i="4"/>
  <c r="E26" i="4"/>
  <c r="D26" i="4"/>
  <c r="I22" i="4"/>
  <c r="H22" i="4"/>
  <c r="G22" i="4"/>
  <c r="F22" i="4"/>
  <c r="E22" i="4"/>
  <c r="D22" i="4"/>
  <c r="I24" i="4"/>
  <c r="H24" i="4"/>
  <c r="G24" i="4"/>
  <c r="F24" i="4"/>
  <c r="E24" i="4"/>
  <c r="D24" i="4"/>
  <c r="I20" i="4"/>
  <c r="H20" i="4"/>
  <c r="G20" i="4"/>
  <c r="F20" i="4"/>
  <c r="E20" i="4"/>
  <c r="D20" i="4"/>
  <c r="S83" i="3"/>
  <c r="H14" i="3"/>
  <c r="U83" i="3"/>
  <c r="I83" i="3"/>
  <c r="H83" i="3"/>
  <c r="G83" i="3"/>
  <c r="F83" i="3"/>
  <c r="E83" i="3"/>
  <c r="D83" i="3"/>
  <c r="U82" i="3"/>
  <c r="I82" i="3"/>
  <c r="H82" i="3"/>
  <c r="G82" i="3"/>
  <c r="F82" i="3"/>
  <c r="E82" i="3"/>
  <c r="D82" i="3"/>
  <c r="U81" i="3"/>
  <c r="I81" i="3"/>
  <c r="H81" i="3"/>
  <c r="G81" i="3"/>
  <c r="F81" i="3"/>
  <c r="E81" i="3"/>
  <c r="D81" i="3"/>
  <c r="U80" i="3"/>
  <c r="I80" i="3"/>
  <c r="H80" i="3"/>
  <c r="G80" i="3"/>
  <c r="F80" i="3"/>
  <c r="E80" i="3"/>
  <c r="D80" i="3"/>
  <c r="U79" i="3"/>
  <c r="I79" i="3"/>
  <c r="H79" i="3"/>
  <c r="G79" i="3"/>
  <c r="F79" i="3"/>
  <c r="E79" i="3"/>
  <c r="D79" i="3"/>
  <c r="U78" i="3"/>
  <c r="I78" i="3"/>
  <c r="H78" i="3"/>
  <c r="G78" i="3"/>
  <c r="F78" i="3"/>
  <c r="E78" i="3"/>
  <c r="D78" i="3"/>
  <c r="U77" i="3"/>
  <c r="I77" i="3"/>
  <c r="H77" i="3"/>
  <c r="G77" i="3"/>
  <c r="F77" i="3"/>
  <c r="E77" i="3"/>
  <c r="D77" i="3"/>
  <c r="U76" i="3"/>
  <c r="I76" i="3"/>
  <c r="H76" i="3"/>
  <c r="G76" i="3"/>
  <c r="F76" i="3"/>
  <c r="E76" i="3"/>
  <c r="D76" i="3"/>
  <c r="U75" i="3"/>
  <c r="I75" i="3"/>
  <c r="H75" i="3"/>
  <c r="G75" i="3"/>
  <c r="F75" i="3"/>
  <c r="E75" i="3"/>
  <c r="D75" i="3"/>
  <c r="U74" i="3"/>
  <c r="I74" i="3"/>
  <c r="H74" i="3"/>
  <c r="G74" i="3"/>
  <c r="F74" i="3"/>
  <c r="E74" i="3"/>
  <c r="D74" i="3"/>
  <c r="U73" i="3"/>
  <c r="I73" i="3"/>
  <c r="H73" i="3"/>
  <c r="G73" i="3"/>
  <c r="F73" i="3"/>
  <c r="E73" i="3"/>
  <c r="D73" i="3"/>
  <c r="U72" i="3"/>
  <c r="I72" i="3"/>
  <c r="H72" i="3"/>
  <c r="G72" i="3"/>
  <c r="F72" i="3"/>
  <c r="E72" i="3"/>
  <c r="D72" i="3"/>
  <c r="U71" i="3"/>
  <c r="I71" i="3"/>
  <c r="H71" i="3"/>
  <c r="G71" i="3"/>
  <c r="F71" i="3"/>
  <c r="E71" i="3"/>
  <c r="D71" i="3"/>
  <c r="U70" i="3"/>
  <c r="I70" i="3"/>
  <c r="H70" i="3"/>
  <c r="G70" i="3"/>
  <c r="F70" i="3"/>
  <c r="E70" i="3"/>
  <c r="D70" i="3"/>
  <c r="U69" i="3"/>
  <c r="I69" i="3"/>
  <c r="H69" i="3"/>
  <c r="G69" i="3"/>
  <c r="F69" i="3"/>
  <c r="E69" i="3"/>
  <c r="D69" i="3"/>
  <c r="U68" i="3"/>
  <c r="I68" i="3"/>
  <c r="H68" i="3"/>
  <c r="G68" i="3"/>
  <c r="F68" i="3"/>
  <c r="E68" i="3"/>
  <c r="D68" i="3"/>
  <c r="U67" i="3"/>
  <c r="I67" i="3"/>
  <c r="H67" i="3"/>
  <c r="G67" i="3"/>
  <c r="F67" i="3"/>
  <c r="E67" i="3"/>
  <c r="D67" i="3"/>
  <c r="U66" i="3"/>
  <c r="I66" i="3"/>
  <c r="H66" i="3"/>
  <c r="G66" i="3"/>
  <c r="F66" i="3"/>
  <c r="E66" i="3"/>
  <c r="D66" i="3"/>
  <c r="U65" i="3"/>
  <c r="I65" i="3"/>
  <c r="H65" i="3"/>
  <c r="G65" i="3"/>
  <c r="F65" i="3"/>
  <c r="E65" i="3"/>
  <c r="D65" i="3"/>
  <c r="U64" i="3"/>
  <c r="I64" i="3"/>
  <c r="H64" i="3"/>
  <c r="G64" i="3"/>
  <c r="F64" i="3"/>
  <c r="E64" i="3"/>
  <c r="D64" i="3"/>
  <c r="U63" i="3"/>
  <c r="I63" i="3"/>
  <c r="H63" i="3"/>
  <c r="G63" i="3"/>
  <c r="F63" i="3"/>
  <c r="E63" i="3"/>
  <c r="D63" i="3"/>
  <c r="U62" i="3"/>
  <c r="I62" i="3"/>
  <c r="H62" i="3"/>
  <c r="G62" i="3"/>
  <c r="F62" i="3"/>
  <c r="E62" i="3"/>
  <c r="D62" i="3"/>
  <c r="U61" i="3"/>
  <c r="I61" i="3"/>
  <c r="H61" i="3"/>
  <c r="G61" i="3"/>
  <c r="F61" i="3"/>
  <c r="E61" i="3"/>
  <c r="D61" i="3"/>
  <c r="U60" i="3"/>
  <c r="I60" i="3"/>
  <c r="H60" i="3"/>
  <c r="G60" i="3"/>
  <c r="F60" i="3"/>
  <c r="E60" i="3"/>
  <c r="D60" i="3"/>
  <c r="U59" i="3"/>
  <c r="I59" i="3"/>
  <c r="H59" i="3"/>
  <c r="G59" i="3"/>
  <c r="F59" i="3"/>
  <c r="E59" i="3"/>
  <c r="D59" i="3"/>
  <c r="U58" i="3"/>
  <c r="I58" i="3"/>
  <c r="H58" i="3"/>
  <c r="G58" i="3"/>
  <c r="F58" i="3"/>
  <c r="E58" i="3"/>
  <c r="D58" i="3"/>
  <c r="U57" i="3"/>
  <c r="I57" i="3"/>
  <c r="H57" i="3"/>
  <c r="G57" i="3"/>
  <c r="F57" i="3"/>
  <c r="E57" i="3"/>
  <c r="D57" i="3"/>
  <c r="U56" i="3"/>
  <c r="I56" i="3"/>
  <c r="H56" i="3"/>
  <c r="G56" i="3"/>
  <c r="F56" i="3"/>
  <c r="E56" i="3"/>
  <c r="D56" i="3"/>
  <c r="U55" i="3"/>
  <c r="I55" i="3"/>
  <c r="H55" i="3"/>
  <c r="G55" i="3"/>
  <c r="F55" i="3"/>
  <c r="E55" i="3"/>
  <c r="D55" i="3"/>
  <c r="U54" i="3"/>
  <c r="I54" i="3"/>
  <c r="H54" i="3"/>
  <c r="G54" i="3"/>
  <c r="F54" i="3"/>
  <c r="E54" i="3"/>
  <c r="D54" i="3"/>
  <c r="U53" i="3"/>
  <c r="I53" i="3"/>
  <c r="H53" i="3"/>
  <c r="G53" i="3"/>
  <c r="F53" i="3"/>
  <c r="E53" i="3"/>
  <c r="D53" i="3"/>
  <c r="U52" i="3"/>
  <c r="I52" i="3"/>
  <c r="H52" i="3"/>
  <c r="G52" i="3"/>
  <c r="F52" i="3"/>
  <c r="E52" i="3"/>
  <c r="D52" i="3"/>
  <c r="U51" i="3"/>
  <c r="I51" i="3"/>
  <c r="H51" i="3"/>
  <c r="G51" i="3"/>
  <c r="F51" i="3"/>
  <c r="E51" i="3"/>
  <c r="D51" i="3"/>
  <c r="U50" i="3"/>
  <c r="I50" i="3"/>
  <c r="H50" i="3"/>
  <c r="G50" i="3"/>
  <c r="F50" i="3"/>
  <c r="E50" i="3"/>
  <c r="D50" i="3"/>
  <c r="U49" i="3"/>
  <c r="I49" i="3"/>
  <c r="H49" i="3"/>
  <c r="G49" i="3"/>
  <c r="F49" i="3"/>
  <c r="E49" i="3"/>
  <c r="D49" i="3"/>
  <c r="U48" i="3"/>
  <c r="I48" i="3"/>
  <c r="H48" i="3"/>
  <c r="G48" i="3"/>
  <c r="F48" i="3"/>
  <c r="E48" i="3"/>
  <c r="D48" i="3"/>
  <c r="U47" i="3"/>
  <c r="I47" i="3"/>
  <c r="H47" i="3"/>
  <c r="G47" i="3"/>
  <c r="F47" i="3"/>
  <c r="E47" i="3"/>
  <c r="D47" i="3"/>
  <c r="U46" i="3"/>
  <c r="I46" i="3"/>
  <c r="H46" i="3"/>
  <c r="G46" i="3"/>
  <c r="F46" i="3"/>
  <c r="E46" i="3"/>
  <c r="D46" i="3"/>
  <c r="U45" i="3"/>
  <c r="I45" i="3"/>
  <c r="H45" i="3"/>
  <c r="G45" i="3"/>
  <c r="F45" i="3"/>
  <c r="E45" i="3"/>
  <c r="D45" i="3"/>
  <c r="U44" i="3"/>
  <c r="I44" i="3"/>
  <c r="H44" i="3"/>
  <c r="G44" i="3"/>
  <c r="F44" i="3"/>
  <c r="E44" i="3"/>
  <c r="D44" i="3"/>
  <c r="U43" i="3"/>
  <c r="I43" i="3"/>
  <c r="H43" i="3"/>
  <c r="G43" i="3"/>
  <c r="F43" i="3"/>
  <c r="E43" i="3"/>
  <c r="D43" i="3"/>
  <c r="U42" i="3"/>
  <c r="I42" i="3"/>
  <c r="H42" i="3"/>
  <c r="G42" i="3"/>
  <c r="F42" i="3"/>
  <c r="E42" i="3"/>
  <c r="D42" i="3"/>
  <c r="I41" i="3"/>
  <c r="H41" i="3"/>
  <c r="G41" i="3"/>
  <c r="F41" i="3"/>
  <c r="E41" i="3"/>
  <c r="D41" i="3"/>
  <c r="I40" i="3"/>
  <c r="H40" i="3"/>
  <c r="G40" i="3"/>
  <c r="F40" i="3"/>
  <c r="E40" i="3"/>
  <c r="D40" i="3"/>
  <c r="I39" i="3"/>
  <c r="H39" i="3"/>
  <c r="G39" i="3"/>
  <c r="F39" i="3"/>
  <c r="E39" i="3"/>
  <c r="D39" i="3"/>
  <c r="I38" i="3"/>
  <c r="H38" i="3"/>
  <c r="G38" i="3"/>
  <c r="F38" i="3"/>
  <c r="E38" i="3"/>
  <c r="D38" i="3"/>
  <c r="I37" i="3"/>
  <c r="H37" i="3"/>
  <c r="G37" i="3"/>
  <c r="F37" i="3"/>
  <c r="E37" i="3"/>
  <c r="D37" i="3"/>
  <c r="I36" i="3"/>
  <c r="H36" i="3"/>
  <c r="G36" i="3"/>
  <c r="F36" i="3"/>
  <c r="E36" i="3"/>
  <c r="D36" i="3"/>
  <c r="I35" i="3"/>
  <c r="H35" i="3"/>
  <c r="G35" i="3"/>
  <c r="F35" i="3"/>
  <c r="E35" i="3"/>
  <c r="D35" i="3"/>
  <c r="I34" i="3"/>
  <c r="H34" i="3"/>
  <c r="G34" i="3"/>
  <c r="F34" i="3"/>
  <c r="E34" i="3"/>
  <c r="D34" i="3"/>
  <c r="I33" i="3"/>
  <c r="H33" i="3"/>
  <c r="G33" i="3"/>
  <c r="F33" i="3"/>
  <c r="E33" i="3"/>
  <c r="D33" i="3"/>
  <c r="I32" i="3"/>
  <c r="H32" i="3"/>
  <c r="G32" i="3"/>
  <c r="F32" i="3"/>
  <c r="E32" i="3"/>
  <c r="D32" i="3"/>
  <c r="I31" i="3"/>
  <c r="H31" i="3"/>
  <c r="G31" i="3"/>
  <c r="F31" i="3"/>
  <c r="E31" i="3"/>
  <c r="D31" i="3"/>
  <c r="I30" i="3"/>
  <c r="H30" i="3"/>
  <c r="G30" i="3"/>
  <c r="F30" i="3"/>
  <c r="E30" i="3"/>
  <c r="D30" i="3"/>
  <c r="I29" i="3"/>
  <c r="H29" i="3"/>
  <c r="G29" i="3"/>
  <c r="F29" i="3"/>
  <c r="E29" i="3"/>
  <c r="D29" i="3"/>
  <c r="I28" i="3"/>
  <c r="H28" i="3"/>
  <c r="G28" i="3"/>
  <c r="F28" i="3"/>
  <c r="E28" i="3"/>
  <c r="D28" i="3"/>
  <c r="I27" i="3"/>
  <c r="H27" i="3"/>
  <c r="G27" i="3"/>
  <c r="F27" i="3"/>
  <c r="E27" i="3"/>
  <c r="D27" i="3"/>
  <c r="I26" i="3"/>
  <c r="H26" i="3"/>
  <c r="G26" i="3"/>
  <c r="F26" i="3"/>
  <c r="E26" i="3"/>
  <c r="D26" i="3"/>
  <c r="I25" i="3"/>
  <c r="H25" i="3"/>
  <c r="G25" i="3"/>
  <c r="F25" i="3"/>
  <c r="E25" i="3"/>
  <c r="D25" i="3"/>
  <c r="I24" i="3"/>
  <c r="H24" i="3"/>
  <c r="G24" i="3"/>
  <c r="F24" i="3"/>
  <c r="E24" i="3"/>
  <c r="D24" i="3"/>
  <c r="I23" i="3"/>
  <c r="H23" i="3"/>
  <c r="G23" i="3"/>
  <c r="F23" i="3"/>
  <c r="E23" i="3"/>
  <c r="D23" i="3"/>
  <c r="I22" i="3"/>
  <c r="H22" i="3"/>
  <c r="G22" i="3"/>
  <c r="F22" i="3"/>
  <c r="E22" i="3"/>
  <c r="D22" i="3"/>
  <c r="I21" i="3"/>
  <c r="H21" i="3"/>
  <c r="G21" i="3"/>
  <c r="F21" i="3"/>
  <c r="E21" i="3"/>
  <c r="D21" i="3"/>
  <c r="I20" i="3"/>
  <c r="H20" i="3"/>
  <c r="G20" i="3"/>
  <c r="F20" i="3"/>
  <c r="E20" i="3"/>
  <c r="D20" i="3"/>
  <c r="G15" i="3"/>
  <c r="F15" i="3"/>
  <c r="G14" i="3"/>
  <c r="F14" i="3"/>
  <c r="E14" i="3"/>
  <c r="G11" i="3"/>
  <c r="F11" i="3"/>
  <c r="E11" i="3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R83" i="2"/>
  <c r="G16" i="2"/>
  <c r="F16" i="2"/>
  <c r="E16" i="2"/>
  <c r="G15" i="2"/>
  <c r="F15" i="2"/>
  <c r="E15" i="2"/>
  <c r="G14" i="2"/>
  <c r="F14" i="2"/>
  <c r="E14" i="2"/>
  <c r="G13" i="2"/>
  <c r="F13" i="2"/>
  <c r="G12" i="2"/>
  <c r="F12" i="2"/>
  <c r="E12" i="2"/>
  <c r="G11" i="2"/>
  <c r="F11" i="2"/>
  <c r="E11" i="2"/>
  <c r="L3" i="1"/>
  <c r="M3" i="1"/>
  <c r="L4" i="1"/>
  <c r="M4" i="1"/>
  <c r="L5" i="1"/>
  <c r="M5" i="1"/>
  <c r="L6" i="1"/>
  <c r="M6" i="1"/>
  <c r="L7" i="1"/>
  <c r="M7" i="1"/>
  <c r="M2" i="1"/>
  <c r="D31" i="2"/>
  <c r="F37" i="1"/>
  <c r="G37" i="1"/>
  <c r="H37" i="1"/>
  <c r="I37" i="1"/>
  <c r="J37" i="1"/>
  <c r="K37" i="1"/>
  <c r="F38" i="1"/>
  <c r="G38" i="1"/>
  <c r="H38" i="1"/>
  <c r="I38" i="1"/>
  <c r="J38" i="1"/>
  <c r="K38" i="1"/>
  <c r="F39" i="1"/>
  <c r="G39" i="1"/>
  <c r="H39" i="1"/>
  <c r="I39" i="1"/>
  <c r="J39" i="1"/>
  <c r="K39" i="1"/>
  <c r="F40" i="1"/>
  <c r="G40" i="1"/>
  <c r="H40" i="1"/>
  <c r="I40" i="1"/>
  <c r="J40" i="1"/>
  <c r="K40" i="1"/>
  <c r="F41" i="1"/>
  <c r="G41" i="1"/>
  <c r="H41" i="1"/>
  <c r="I41" i="1"/>
  <c r="J41" i="1"/>
  <c r="K41" i="1"/>
  <c r="F42" i="1"/>
  <c r="G42" i="1"/>
  <c r="H42" i="1"/>
  <c r="I42" i="1"/>
  <c r="J42" i="1"/>
  <c r="K42" i="1"/>
  <c r="F43" i="1"/>
  <c r="G43" i="1"/>
  <c r="H43" i="1"/>
  <c r="I43" i="1"/>
  <c r="J43" i="1"/>
  <c r="K43" i="1"/>
  <c r="F44" i="1"/>
  <c r="G44" i="1"/>
  <c r="H44" i="1"/>
  <c r="I44" i="1"/>
  <c r="J44" i="1"/>
  <c r="K44" i="1"/>
  <c r="F45" i="1"/>
  <c r="G45" i="1"/>
  <c r="H45" i="1"/>
  <c r="I45" i="1"/>
  <c r="J45" i="1"/>
  <c r="K45" i="1"/>
  <c r="F46" i="1"/>
  <c r="G46" i="1"/>
  <c r="H46" i="1"/>
  <c r="I46" i="1"/>
  <c r="J46" i="1"/>
  <c r="K46" i="1"/>
  <c r="F47" i="1"/>
  <c r="G47" i="1"/>
  <c r="H47" i="1"/>
  <c r="I47" i="1"/>
  <c r="J47" i="1"/>
  <c r="K47" i="1"/>
  <c r="F48" i="1"/>
  <c r="G48" i="1"/>
  <c r="H48" i="1"/>
  <c r="I48" i="1"/>
  <c r="J48" i="1"/>
  <c r="K48" i="1"/>
  <c r="F49" i="1"/>
  <c r="G49" i="1"/>
  <c r="H49" i="1"/>
  <c r="I49" i="1"/>
  <c r="J49" i="1"/>
  <c r="K49" i="1"/>
  <c r="F50" i="1"/>
  <c r="G50" i="1"/>
  <c r="H50" i="1"/>
  <c r="I50" i="1"/>
  <c r="J50" i="1"/>
  <c r="K50" i="1"/>
  <c r="F51" i="1"/>
  <c r="G51" i="1"/>
  <c r="H51" i="1"/>
  <c r="I51" i="1"/>
  <c r="J51" i="1"/>
  <c r="K51" i="1"/>
  <c r="F52" i="1"/>
  <c r="G52" i="1"/>
  <c r="H52" i="1"/>
  <c r="I52" i="1"/>
  <c r="J52" i="1"/>
  <c r="K52" i="1"/>
  <c r="F53" i="1"/>
  <c r="G53" i="1"/>
  <c r="H53" i="1"/>
  <c r="I53" i="1"/>
  <c r="J53" i="1"/>
  <c r="K53" i="1"/>
  <c r="F54" i="1"/>
  <c r="G54" i="1"/>
  <c r="H54" i="1"/>
  <c r="I54" i="1"/>
  <c r="J54" i="1"/>
  <c r="K54" i="1"/>
  <c r="F55" i="1"/>
  <c r="G55" i="1"/>
  <c r="H55" i="1"/>
  <c r="I55" i="1"/>
  <c r="J55" i="1"/>
  <c r="K55" i="1"/>
  <c r="F56" i="1"/>
  <c r="G56" i="1"/>
  <c r="H56" i="1"/>
  <c r="I56" i="1"/>
  <c r="J56" i="1"/>
  <c r="K56" i="1"/>
  <c r="F57" i="1"/>
  <c r="G57" i="1"/>
  <c r="H57" i="1"/>
  <c r="I57" i="1"/>
  <c r="J57" i="1"/>
  <c r="K57" i="1"/>
  <c r="F58" i="1"/>
  <c r="G58" i="1"/>
  <c r="H58" i="1"/>
  <c r="I58" i="1"/>
  <c r="J58" i="1"/>
  <c r="K58" i="1"/>
  <c r="F59" i="1"/>
  <c r="G59" i="1"/>
  <c r="H59" i="1"/>
  <c r="I59" i="1"/>
  <c r="J59" i="1"/>
  <c r="K59" i="1"/>
  <c r="F60" i="1"/>
  <c r="G60" i="1"/>
  <c r="H60" i="1"/>
  <c r="I60" i="1"/>
  <c r="J60" i="1"/>
  <c r="K60" i="1"/>
  <c r="F61" i="1"/>
  <c r="G61" i="1"/>
  <c r="H61" i="1"/>
  <c r="I61" i="1"/>
  <c r="J61" i="1"/>
  <c r="K61" i="1"/>
  <c r="F62" i="1"/>
  <c r="G62" i="1"/>
  <c r="H62" i="1"/>
  <c r="I62" i="1"/>
  <c r="J62" i="1"/>
  <c r="K62" i="1"/>
  <c r="F63" i="1"/>
  <c r="G63" i="1"/>
  <c r="H63" i="1"/>
  <c r="I63" i="1"/>
  <c r="J63" i="1"/>
  <c r="K63" i="1"/>
  <c r="F64" i="1"/>
  <c r="G64" i="1"/>
  <c r="H64" i="1"/>
  <c r="I64" i="1"/>
  <c r="J64" i="1"/>
  <c r="K64" i="1"/>
  <c r="F65" i="1"/>
  <c r="G65" i="1"/>
  <c r="H65" i="1"/>
  <c r="I65" i="1"/>
  <c r="J65" i="1"/>
  <c r="K65" i="1"/>
  <c r="F66" i="1"/>
  <c r="G66" i="1"/>
  <c r="H66" i="1"/>
  <c r="I66" i="1"/>
  <c r="J66" i="1"/>
  <c r="K66" i="1"/>
  <c r="F67" i="1"/>
  <c r="G67" i="1"/>
  <c r="H67" i="1"/>
  <c r="I67" i="1"/>
  <c r="J67" i="1"/>
  <c r="K67" i="1"/>
  <c r="F68" i="1"/>
  <c r="G68" i="1"/>
  <c r="H68" i="1"/>
  <c r="I68" i="1"/>
  <c r="J68" i="1"/>
  <c r="K68" i="1"/>
  <c r="F69" i="1"/>
  <c r="G69" i="1"/>
  <c r="H69" i="1"/>
  <c r="I69" i="1"/>
  <c r="J69" i="1"/>
  <c r="K69" i="1"/>
  <c r="F70" i="1"/>
  <c r="G70" i="1"/>
  <c r="H70" i="1"/>
  <c r="I70" i="1"/>
  <c r="J70" i="1"/>
  <c r="K70" i="1"/>
  <c r="F71" i="1"/>
  <c r="G71" i="1"/>
  <c r="H71" i="1"/>
  <c r="I71" i="1"/>
  <c r="J71" i="1"/>
  <c r="K71" i="1"/>
  <c r="F72" i="1"/>
  <c r="G72" i="1"/>
  <c r="H72" i="1"/>
  <c r="I72" i="1"/>
  <c r="J72" i="1"/>
  <c r="K72" i="1"/>
  <c r="F73" i="1"/>
  <c r="G73" i="1"/>
  <c r="H73" i="1"/>
  <c r="I73" i="1"/>
  <c r="J73" i="1"/>
  <c r="K73" i="1"/>
  <c r="F74" i="1"/>
  <c r="G74" i="1"/>
  <c r="H74" i="1"/>
  <c r="I74" i="1"/>
  <c r="J74" i="1"/>
  <c r="K74" i="1"/>
  <c r="F11" i="1"/>
  <c r="G11" i="1"/>
  <c r="H11" i="1"/>
  <c r="I11" i="1"/>
  <c r="J11" i="1"/>
  <c r="K11" i="1"/>
  <c r="F13" i="1"/>
  <c r="G13" i="1"/>
  <c r="H13" i="1"/>
  <c r="I13" i="1"/>
  <c r="J13" i="1"/>
  <c r="K13" i="1"/>
  <c r="F14" i="1"/>
  <c r="G14" i="1"/>
  <c r="H14" i="1"/>
  <c r="I14" i="1"/>
  <c r="J14" i="1"/>
  <c r="K14" i="1"/>
  <c r="F15" i="1"/>
  <c r="G15" i="1"/>
  <c r="H15" i="1"/>
  <c r="I15" i="1"/>
  <c r="J15" i="1"/>
  <c r="K15" i="1"/>
  <c r="F16" i="1"/>
  <c r="G16" i="1"/>
  <c r="H16" i="1"/>
  <c r="I16" i="1"/>
  <c r="J16" i="1"/>
  <c r="K16" i="1"/>
  <c r="F17" i="1"/>
  <c r="G17" i="1"/>
  <c r="H17" i="1"/>
  <c r="I17" i="1"/>
  <c r="J17" i="1"/>
  <c r="K17" i="1"/>
  <c r="F18" i="1"/>
  <c r="G18" i="1"/>
  <c r="H18" i="1"/>
  <c r="I18" i="1"/>
  <c r="J18" i="1"/>
  <c r="K18" i="1"/>
  <c r="F19" i="1"/>
  <c r="G19" i="1"/>
  <c r="H19" i="1"/>
  <c r="I19" i="1"/>
  <c r="J19" i="1"/>
  <c r="K19" i="1"/>
  <c r="F20" i="1"/>
  <c r="G20" i="1"/>
  <c r="H20" i="1"/>
  <c r="I20" i="1"/>
  <c r="J20" i="1"/>
  <c r="K20" i="1"/>
  <c r="F21" i="1"/>
  <c r="G21" i="1"/>
  <c r="H21" i="1"/>
  <c r="I21" i="1"/>
  <c r="J21" i="1"/>
  <c r="K21" i="1"/>
  <c r="F22" i="1"/>
  <c r="G22" i="1"/>
  <c r="H22" i="1"/>
  <c r="I22" i="1"/>
  <c r="J22" i="1"/>
  <c r="K22" i="1"/>
  <c r="F23" i="1"/>
  <c r="G23" i="1"/>
  <c r="H23" i="1"/>
  <c r="I23" i="1"/>
  <c r="J23" i="1"/>
  <c r="K23" i="1"/>
  <c r="F24" i="1"/>
  <c r="G24" i="1"/>
  <c r="H24" i="1"/>
  <c r="I24" i="1"/>
  <c r="J24" i="1"/>
  <c r="K24" i="1"/>
  <c r="F25" i="1"/>
  <c r="G25" i="1"/>
  <c r="H25" i="1"/>
  <c r="I25" i="1"/>
  <c r="J25" i="1"/>
  <c r="K25" i="1"/>
  <c r="F26" i="1"/>
  <c r="G26" i="1"/>
  <c r="H26" i="1"/>
  <c r="I26" i="1"/>
  <c r="J26" i="1"/>
  <c r="K26" i="1"/>
  <c r="F27" i="1"/>
  <c r="G27" i="1"/>
  <c r="H27" i="1"/>
  <c r="I27" i="1"/>
  <c r="J27" i="1"/>
  <c r="K27" i="1"/>
  <c r="F28" i="1"/>
  <c r="G28" i="1"/>
  <c r="H28" i="1"/>
  <c r="I28" i="1"/>
  <c r="J28" i="1"/>
  <c r="K28" i="1"/>
  <c r="F29" i="1"/>
  <c r="G29" i="1"/>
  <c r="H29" i="1"/>
  <c r="I29" i="1"/>
  <c r="J29" i="1"/>
  <c r="K29" i="1"/>
  <c r="F30" i="1"/>
  <c r="G30" i="1"/>
  <c r="H30" i="1"/>
  <c r="I30" i="1"/>
  <c r="J30" i="1"/>
  <c r="K30" i="1"/>
  <c r="F31" i="1"/>
  <c r="G31" i="1"/>
  <c r="H31" i="1"/>
  <c r="I31" i="1"/>
  <c r="J31" i="1"/>
  <c r="K31" i="1"/>
  <c r="F32" i="1"/>
  <c r="G32" i="1"/>
  <c r="H32" i="1"/>
  <c r="I32" i="1"/>
  <c r="J32" i="1"/>
  <c r="K32" i="1"/>
  <c r="F33" i="1"/>
  <c r="G33" i="1"/>
  <c r="H33" i="1"/>
  <c r="I33" i="1"/>
  <c r="J33" i="1"/>
  <c r="K33" i="1"/>
  <c r="F34" i="1"/>
  <c r="G34" i="1"/>
  <c r="H34" i="1"/>
  <c r="I34" i="1"/>
  <c r="J34" i="1"/>
  <c r="K34" i="1"/>
  <c r="F35" i="1"/>
  <c r="G35" i="1"/>
  <c r="H35" i="1"/>
  <c r="I35" i="1"/>
  <c r="J35" i="1"/>
  <c r="K35" i="1"/>
  <c r="F36" i="1"/>
  <c r="G36" i="1"/>
  <c r="H36" i="1"/>
  <c r="I36" i="1"/>
  <c r="J36" i="1"/>
  <c r="K36" i="1"/>
  <c r="H12" i="1"/>
  <c r="F12" i="1"/>
  <c r="G12" i="1"/>
  <c r="J12" i="1"/>
  <c r="V96" i="18" l="1"/>
  <c r="Q96" i="18"/>
  <c r="U96" i="18"/>
  <c r="T96" i="18"/>
  <c r="S96" i="18"/>
  <c r="R96" i="18"/>
  <c r="V73" i="18"/>
  <c r="U73" i="18"/>
  <c r="T73" i="18"/>
  <c r="S73" i="18"/>
  <c r="R73" i="18"/>
  <c r="Q73" i="18"/>
  <c r="N7" i="15"/>
  <c r="N3" i="15"/>
  <c r="N5" i="15"/>
  <c r="N6" i="15"/>
  <c r="N2" i="15"/>
  <c r="K11" i="9"/>
  <c r="M12" i="1"/>
  <c r="N11" i="15"/>
  <c r="N15" i="15"/>
  <c r="N17" i="15"/>
  <c r="N19" i="15"/>
  <c r="N21" i="15"/>
  <c r="N23" i="15"/>
  <c r="N25" i="15"/>
  <c r="N27" i="15"/>
  <c r="N29" i="15"/>
  <c r="N31" i="15"/>
  <c r="N33" i="15"/>
  <c r="N35" i="15"/>
  <c r="N37" i="15"/>
  <c r="N39" i="15"/>
  <c r="N41" i="15"/>
  <c r="N43" i="15"/>
  <c r="N45" i="15"/>
  <c r="N47" i="15"/>
  <c r="N49" i="15"/>
  <c r="N51" i="15"/>
  <c r="N53" i="15"/>
  <c r="N55" i="15"/>
  <c r="N57" i="15"/>
  <c r="N59" i="15"/>
  <c r="N61" i="15"/>
  <c r="N63" i="15"/>
  <c r="N65" i="15"/>
  <c r="N67" i="15"/>
  <c r="N69" i="15"/>
  <c r="N71" i="15"/>
  <c r="N73" i="15"/>
  <c r="V78" i="9"/>
  <c r="R20" i="13"/>
  <c r="M62" i="15"/>
  <c r="N12" i="15"/>
  <c r="N14" i="15"/>
  <c r="N16" i="15"/>
  <c r="N18" i="15"/>
  <c r="N20" i="15"/>
  <c r="N22" i="15"/>
  <c r="N24" i="15"/>
  <c r="N26" i="15"/>
  <c r="N28" i="15"/>
  <c r="N30" i="15"/>
  <c r="N32" i="15"/>
  <c r="N34" i="15"/>
  <c r="N36" i="15"/>
  <c r="N38" i="15"/>
  <c r="N40" i="15"/>
  <c r="N42" i="15"/>
  <c r="N44" i="15"/>
  <c r="N46" i="15"/>
  <c r="N48" i="15"/>
  <c r="N50" i="15"/>
  <c r="N52" i="15"/>
  <c r="N54" i="15"/>
  <c r="N56" i="15"/>
  <c r="N58" i="15"/>
  <c r="N60" i="15"/>
  <c r="N62" i="15"/>
  <c r="N64" i="15"/>
  <c r="N66" i="15"/>
  <c r="N68" i="15"/>
  <c r="N70" i="15"/>
  <c r="N72" i="15"/>
  <c r="N74" i="15"/>
  <c r="H22" i="13"/>
  <c r="N13" i="15"/>
  <c r="M49" i="15"/>
  <c r="M37" i="15"/>
  <c r="M53" i="15"/>
  <c r="M57" i="15"/>
  <c r="M73" i="15"/>
  <c r="M61" i="15"/>
  <c r="N4" i="15"/>
  <c r="M17" i="15"/>
  <c r="M29" i="15"/>
  <c r="M12" i="15"/>
  <c r="M16" i="15"/>
  <c r="M20" i="15"/>
  <c r="M24" i="15"/>
  <c r="M28" i="15"/>
  <c r="M32" i="15"/>
  <c r="M36" i="15"/>
  <c r="M40" i="15"/>
  <c r="M44" i="15"/>
  <c r="M48" i="15"/>
  <c r="M52" i="15"/>
  <c r="M56" i="15"/>
  <c r="M60" i="15"/>
  <c r="M64" i="15"/>
  <c r="M68" i="15"/>
  <c r="M72" i="15"/>
  <c r="M65" i="15"/>
  <c r="M11" i="15"/>
  <c r="M15" i="15"/>
  <c r="M19" i="15"/>
  <c r="M23" i="15"/>
  <c r="M27" i="15"/>
  <c r="M31" i="15"/>
  <c r="M35" i="15"/>
  <c r="M39" i="15"/>
  <c r="M43" i="15"/>
  <c r="M47" i="15"/>
  <c r="M51" i="15"/>
  <c r="M55" i="15"/>
  <c r="M59" i="15"/>
  <c r="M63" i="15"/>
  <c r="M67" i="15"/>
  <c r="M71" i="15"/>
  <c r="M25" i="15"/>
  <c r="M13" i="15"/>
  <c r="M33" i="15"/>
  <c r="M45" i="15"/>
  <c r="M14" i="15"/>
  <c r="M18" i="15"/>
  <c r="M22" i="15"/>
  <c r="M26" i="15"/>
  <c r="M30" i="15"/>
  <c r="M34" i="15"/>
  <c r="M38" i="15"/>
  <c r="M42" i="15"/>
  <c r="M46" i="15"/>
  <c r="M50" i="15"/>
  <c r="M54" i="15"/>
  <c r="M58" i="15"/>
  <c r="M66" i="15"/>
  <c r="M70" i="15"/>
  <c r="O70" i="15" s="1"/>
  <c r="M74" i="15"/>
  <c r="M21" i="15"/>
  <c r="M41" i="15"/>
  <c r="M69" i="15"/>
  <c r="N5" i="1"/>
  <c r="M36" i="1"/>
  <c r="M34" i="1"/>
  <c r="M32" i="1"/>
  <c r="M30" i="1"/>
  <c r="M28" i="1"/>
  <c r="M26" i="1"/>
  <c r="M24" i="1"/>
  <c r="M22" i="1"/>
  <c r="M20" i="1"/>
  <c r="M18" i="1"/>
  <c r="M16" i="1"/>
  <c r="M14" i="1"/>
  <c r="M73" i="1"/>
  <c r="M71" i="1"/>
  <c r="M69" i="1"/>
  <c r="M67" i="1"/>
  <c r="M65" i="1"/>
  <c r="M61" i="1"/>
  <c r="M59" i="1"/>
  <c r="M57" i="1"/>
  <c r="M55" i="1"/>
  <c r="M53" i="1"/>
  <c r="M49" i="1"/>
  <c r="M47" i="1"/>
  <c r="M45" i="1"/>
  <c r="M43" i="1"/>
  <c r="M41" i="1"/>
  <c r="M37" i="1"/>
  <c r="N3" i="1"/>
  <c r="H23" i="13"/>
  <c r="R21" i="13"/>
  <c r="I14" i="3"/>
  <c r="L26" i="9"/>
  <c r="N6" i="1"/>
  <c r="M29" i="1"/>
  <c r="M19" i="1"/>
  <c r="N7" i="1"/>
  <c r="M35" i="1"/>
  <c r="M21" i="1"/>
  <c r="M13" i="1"/>
  <c r="M72" i="1"/>
  <c r="M70" i="1"/>
  <c r="M68" i="1"/>
  <c r="M66" i="1"/>
  <c r="M64" i="1"/>
  <c r="M62" i="1"/>
  <c r="M60" i="1"/>
  <c r="M58" i="1"/>
  <c r="M56" i="1"/>
  <c r="M54" i="1"/>
  <c r="M52" i="1"/>
  <c r="M50" i="1"/>
  <c r="M48" i="1"/>
  <c r="M46" i="1"/>
  <c r="M44" i="1"/>
  <c r="M42" i="1"/>
  <c r="M40" i="1"/>
  <c r="M38" i="1"/>
  <c r="M74" i="1"/>
  <c r="N2" i="1"/>
  <c r="M33" i="1"/>
  <c r="M25" i="1"/>
  <c r="M23" i="1"/>
  <c r="M31" i="1"/>
  <c r="M17" i="1"/>
  <c r="M51" i="1"/>
  <c r="N23" i="1"/>
  <c r="M15" i="1"/>
  <c r="M39" i="1"/>
  <c r="M27" i="1"/>
  <c r="M63" i="1"/>
  <c r="M11" i="1"/>
  <c r="N69" i="1"/>
  <c r="N57" i="1"/>
  <c r="N45" i="1"/>
  <c r="N33" i="1"/>
  <c r="N21" i="1"/>
  <c r="N70" i="1"/>
  <c r="N58" i="1"/>
  <c r="N46" i="1"/>
  <c r="N34" i="1"/>
  <c r="N22" i="1"/>
  <c r="N68" i="1"/>
  <c r="N56" i="1"/>
  <c r="N44" i="1"/>
  <c r="N32" i="1"/>
  <c r="N20" i="1"/>
  <c r="N67" i="1"/>
  <c r="N55" i="1"/>
  <c r="N43" i="1"/>
  <c r="N31" i="1"/>
  <c r="N19" i="1"/>
  <c r="N66" i="1"/>
  <c r="N54" i="1"/>
  <c r="N42" i="1"/>
  <c r="N30" i="1"/>
  <c r="N18" i="1"/>
  <c r="N65" i="1"/>
  <c r="N53" i="1"/>
  <c r="N41" i="1"/>
  <c r="N29" i="1"/>
  <c r="N17" i="1"/>
  <c r="N64" i="1"/>
  <c r="N52" i="1"/>
  <c r="N40" i="1"/>
  <c r="N28" i="1"/>
  <c r="N16" i="1"/>
  <c r="N11" i="1"/>
  <c r="N63" i="1"/>
  <c r="N51" i="1"/>
  <c r="N39" i="1"/>
  <c r="N27" i="1"/>
  <c r="N15" i="1"/>
  <c r="N74" i="1"/>
  <c r="N62" i="1"/>
  <c r="N50" i="1"/>
  <c r="N38" i="1"/>
  <c r="N26" i="1"/>
  <c r="N14" i="1"/>
  <c r="N73" i="1"/>
  <c r="N61" i="1"/>
  <c r="N49" i="1"/>
  <c r="N37" i="1"/>
  <c r="N25" i="1"/>
  <c r="N13" i="1"/>
  <c r="N72" i="1"/>
  <c r="N60" i="1"/>
  <c r="N48" i="1"/>
  <c r="N36" i="1"/>
  <c r="N24" i="1"/>
  <c r="N12" i="1"/>
  <c r="N4" i="1"/>
  <c r="N71" i="1"/>
  <c r="N59" i="1"/>
  <c r="N47" i="1"/>
  <c r="N35" i="1"/>
  <c r="H24" i="13"/>
  <c r="Q25" i="13"/>
  <c r="R22" i="13"/>
  <c r="H26" i="13"/>
  <c r="F24" i="13"/>
  <c r="V52" i="9"/>
  <c r="H21" i="13"/>
  <c r="G24" i="13"/>
  <c r="G23" i="13"/>
  <c r="H25" i="13"/>
  <c r="H27" i="13"/>
  <c r="R25" i="13"/>
  <c r="R23" i="13"/>
  <c r="G25" i="13"/>
  <c r="T58" i="9"/>
  <c r="F23" i="13"/>
  <c r="H20" i="13"/>
  <c r="G22" i="13"/>
  <c r="R27" i="13"/>
  <c r="Q21" i="13"/>
  <c r="Q20" i="13"/>
  <c r="P20" i="13"/>
  <c r="P22" i="13"/>
  <c r="P21" i="13"/>
  <c r="P27" i="13"/>
  <c r="P26" i="13"/>
  <c r="P25" i="13"/>
  <c r="P24" i="13"/>
  <c r="P23" i="13"/>
  <c r="Q24" i="13"/>
  <c r="Q26" i="13"/>
  <c r="F25" i="13"/>
  <c r="Q27" i="13"/>
  <c r="R26" i="13"/>
  <c r="F20" i="13"/>
  <c r="Q22" i="13"/>
  <c r="F26" i="13"/>
  <c r="G20" i="13"/>
  <c r="G26" i="13"/>
  <c r="F21" i="13"/>
  <c r="Q23" i="13"/>
  <c r="F27" i="13"/>
  <c r="G21" i="13"/>
  <c r="G27" i="13"/>
  <c r="F22" i="13"/>
  <c r="R24" i="13"/>
  <c r="P71" i="9"/>
  <c r="W33" i="9"/>
  <c r="W75" i="9"/>
  <c r="R56" i="9"/>
  <c r="Y56" i="9" s="1"/>
  <c r="I78" i="10"/>
  <c r="T62" i="9"/>
  <c r="T83" i="9"/>
  <c r="X39" i="9"/>
  <c r="W59" i="9"/>
  <c r="P50" i="9"/>
  <c r="L61" i="9"/>
  <c r="T46" i="9"/>
  <c r="W70" i="9"/>
  <c r="W24" i="9"/>
  <c r="P52" i="9"/>
  <c r="M22" i="10"/>
  <c r="M62" i="10"/>
  <c r="N20" i="10"/>
  <c r="N34" i="10"/>
  <c r="AG13" i="3"/>
  <c r="AG15" i="3"/>
  <c r="AG17" i="3"/>
  <c r="P24" i="9"/>
  <c r="W51" i="9"/>
  <c r="T21" i="9"/>
  <c r="H62" i="10"/>
  <c r="O62" i="10" s="1"/>
  <c r="I11" i="3"/>
  <c r="I11" i="6"/>
  <c r="AG12" i="3"/>
  <c r="W39" i="9"/>
  <c r="U61" i="9"/>
  <c r="P59" i="9"/>
  <c r="L72" i="10"/>
  <c r="N35" i="10"/>
  <c r="I12" i="6"/>
  <c r="P38" i="9"/>
  <c r="P65" i="9"/>
  <c r="P54" i="9"/>
  <c r="X51" i="9"/>
  <c r="S46" i="9"/>
  <c r="X52" i="9"/>
  <c r="X59" i="9"/>
  <c r="X33" i="9"/>
  <c r="X75" i="9"/>
  <c r="X56" i="9"/>
  <c r="I13" i="6"/>
  <c r="V75" i="9"/>
  <c r="W61" i="9"/>
  <c r="V61" i="9"/>
  <c r="V64" i="9"/>
  <c r="K30" i="10"/>
  <c r="I14" i="6"/>
  <c r="U75" i="9"/>
  <c r="W43" i="9"/>
  <c r="P43" i="9"/>
  <c r="L73" i="10"/>
  <c r="L62" i="10"/>
  <c r="X80" i="9"/>
  <c r="V26" i="9"/>
  <c r="T29" i="9"/>
  <c r="I15" i="6"/>
  <c r="AG14" i="3"/>
  <c r="I12" i="3"/>
  <c r="S33" i="9"/>
  <c r="R52" i="9"/>
  <c r="Y52" i="9" s="1"/>
  <c r="S75" i="9"/>
  <c r="W63" i="9"/>
  <c r="P29" i="9"/>
  <c r="P39" i="9"/>
  <c r="P74" i="9"/>
  <c r="P58" i="9"/>
  <c r="X40" i="9"/>
  <c r="X41" i="9"/>
  <c r="S51" i="9"/>
  <c r="U78" i="9"/>
  <c r="U63" i="9"/>
  <c r="W62" i="9"/>
  <c r="W53" i="9"/>
  <c r="W21" i="9"/>
  <c r="V53" i="9"/>
  <c r="T63" i="9"/>
  <c r="N62" i="10"/>
  <c r="N83" i="10"/>
  <c r="N59" i="10"/>
  <c r="N43" i="10"/>
  <c r="N27" i="10"/>
  <c r="I13" i="3"/>
  <c r="AH14" i="7"/>
  <c r="R43" i="9"/>
  <c r="Y43" i="9" s="1"/>
  <c r="R80" i="9"/>
  <c r="Y80" i="9" s="1"/>
  <c r="W64" i="9"/>
  <c r="R64" i="9"/>
  <c r="Y64" i="9" s="1"/>
  <c r="I16" i="6"/>
  <c r="AG16" i="3"/>
  <c r="R62" i="9"/>
  <c r="Y62" i="9" s="1"/>
  <c r="V29" i="9"/>
  <c r="P66" i="9"/>
  <c r="W38" i="9"/>
  <c r="X76" i="9"/>
  <c r="X60" i="9"/>
  <c r="V54" i="9"/>
  <c r="V43" i="9"/>
  <c r="V65" i="9"/>
  <c r="V22" i="9"/>
  <c r="V79" i="9"/>
  <c r="H46" i="10"/>
  <c r="O46" i="10" s="1"/>
  <c r="H77" i="10"/>
  <c r="O77" i="10" s="1"/>
  <c r="M37" i="10"/>
  <c r="F20" i="12"/>
  <c r="F24" i="12"/>
  <c r="F22" i="12"/>
  <c r="F26" i="12"/>
  <c r="F21" i="12"/>
  <c r="F25" i="12"/>
  <c r="F27" i="12"/>
  <c r="F23" i="12"/>
  <c r="Q22" i="12"/>
  <c r="Q21" i="12"/>
  <c r="Q25" i="12"/>
  <c r="P21" i="12"/>
  <c r="R24" i="12"/>
  <c r="H21" i="12"/>
  <c r="G21" i="12"/>
  <c r="Q26" i="12"/>
  <c r="P26" i="12"/>
  <c r="R21" i="12"/>
  <c r="R23" i="12"/>
  <c r="R22" i="12"/>
  <c r="R26" i="12"/>
  <c r="P24" i="12"/>
  <c r="P25" i="12"/>
  <c r="P20" i="12"/>
  <c r="P22" i="12"/>
  <c r="G25" i="12"/>
  <c r="H22" i="12"/>
  <c r="G22" i="12"/>
  <c r="P23" i="12"/>
  <c r="H25" i="12"/>
  <c r="H20" i="12"/>
  <c r="G20" i="12"/>
  <c r="Q23" i="12"/>
  <c r="R27" i="12"/>
  <c r="Q27" i="12"/>
  <c r="P27" i="12"/>
  <c r="H24" i="12"/>
  <c r="G24" i="12"/>
  <c r="G26" i="12"/>
  <c r="H26" i="12"/>
  <c r="Q20" i="12"/>
  <c r="R20" i="12"/>
  <c r="H23" i="12"/>
  <c r="G23" i="12"/>
  <c r="R25" i="12"/>
  <c r="H27" i="12"/>
  <c r="G27" i="12"/>
  <c r="Q24" i="12"/>
  <c r="S52" i="9"/>
  <c r="U65" i="9"/>
  <c r="R78" i="9"/>
  <c r="Y78" i="9" s="1"/>
  <c r="T51" i="9"/>
  <c r="S78" i="9"/>
  <c r="U70" i="9"/>
  <c r="V76" i="9"/>
  <c r="W46" i="9"/>
  <c r="X46" i="9"/>
  <c r="P42" i="9"/>
  <c r="P20" i="9"/>
  <c r="R76" i="9"/>
  <c r="Y76" i="9" s="1"/>
  <c r="T52" i="9"/>
  <c r="S63" i="9"/>
  <c r="U62" i="9"/>
  <c r="V63" i="9"/>
  <c r="W83" i="9"/>
  <c r="S31" i="9"/>
  <c r="S73" i="9"/>
  <c r="S28" i="9"/>
  <c r="N54" i="10"/>
  <c r="N40" i="10"/>
  <c r="H68" i="10"/>
  <c r="O68" i="10" s="1"/>
  <c r="K60" i="10"/>
  <c r="N52" i="10"/>
  <c r="H44" i="10"/>
  <c r="O44" i="10" s="1"/>
  <c r="H36" i="10"/>
  <c r="O36" i="10" s="1"/>
  <c r="AH15" i="7"/>
  <c r="R75" i="9"/>
  <c r="Y75" i="9" s="1"/>
  <c r="T78" i="9"/>
  <c r="S65" i="9"/>
  <c r="U60" i="9"/>
  <c r="V74" i="9"/>
  <c r="W52" i="9"/>
  <c r="X78" i="9"/>
  <c r="N35" i="9"/>
  <c r="P79" i="9"/>
  <c r="P60" i="9"/>
  <c r="R27" i="9"/>
  <c r="P33" i="9"/>
  <c r="L30" i="10"/>
  <c r="N46" i="10"/>
  <c r="R63" i="9"/>
  <c r="Y63" i="9" s="1"/>
  <c r="T75" i="9"/>
  <c r="S70" i="9"/>
  <c r="U59" i="9"/>
  <c r="W78" i="9"/>
  <c r="S35" i="9"/>
  <c r="S69" i="9"/>
  <c r="S23" i="9"/>
  <c r="P56" i="9"/>
  <c r="M65" i="10"/>
  <c r="L46" i="10"/>
  <c r="R65" i="9"/>
  <c r="Y65" i="9" s="1"/>
  <c r="S62" i="9"/>
  <c r="U53" i="9"/>
  <c r="V70" i="9"/>
  <c r="W80" i="9"/>
  <c r="P55" i="9"/>
  <c r="R70" i="9"/>
  <c r="Y70" i="9" s="1"/>
  <c r="T74" i="9"/>
  <c r="S59" i="9"/>
  <c r="U58" i="9"/>
  <c r="W76" i="9"/>
  <c r="X63" i="9"/>
  <c r="T39" i="9"/>
  <c r="X74" i="9"/>
  <c r="T26" i="9"/>
  <c r="N38" i="10"/>
  <c r="J16" i="7"/>
  <c r="R61" i="9"/>
  <c r="Y61" i="9" s="1"/>
  <c r="T70" i="9"/>
  <c r="S53" i="9"/>
  <c r="U54" i="9"/>
  <c r="V62" i="9"/>
  <c r="X70" i="9"/>
  <c r="P46" i="9"/>
  <c r="P70" i="9"/>
  <c r="P30" i="9"/>
  <c r="L77" i="9"/>
  <c r="X43" i="9"/>
  <c r="W65" i="9"/>
  <c r="R22" i="9"/>
  <c r="I41" i="10"/>
  <c r="I38" i="10"/>
  <c r="S54" i="9"/>
  <c r="X61" i="9"/>
  <c r="J60" i="10"/>
  <c r="T59" i="9"/>
  <c r="S56" i="9"/>
  <c r="U21" i="9"/>
  <c r="V60" i="9"/>
  <c r="W74" i="9"/>
  <c r="X62" i="9"/>
  <c r="L75" i="9"/>
  <c r="U56" i="9"/>
  <c r="R59" i="9"/>
  <c r="Y59" i="9" s="1"/>
  <c r="T53" i="9"/>
  <c r="S21" i="9"/>
  <c r="U22" i="9"/>
  <c r="V59" i="9"/>
  <c r="S45" i="9"/>
  <c r="S72" i="9"/>
  <c r="N30" i="10"/>
  <c r="N82" i="10"/>
  <c r="K74" i="10"/>
  <c r="N66" i="10"/>
  <c r="H58" i="10"/>
  <c r="O58" i="10" s="1"/>
  <c r="I50" i="10"/>
  <c r="I34" i="10"/>
  <c r="H26" i="10"/>
  <c r="AH13" i="7"/>
  <c r="R53" i="9"/>
  <c r="Y53" i="9" s="1"/>
  <c r="S24" i="9"/>
  <c r="U24" i="9"/>
  <c r="P76" i="9"/>
  <c r="N23" i="10"/>
  <c r="R58" i="9"/>
  <c r="Y58" i="9" s="1"/>
  <c r="T56" i="9"/>
  <c r="U40" i="9"/>
  <c r="V40" i="9"/>
  <c r="V58" i="9"/>
  <c r="X53" i="9"/>
  <c r="L62" i="9"/>
  <c r="S47" i="9"/>
  <c r="S68" i="9"/>
  <c r="H20" i="10"/>
  <c r="N22" i="10"/>
  <c r="R54" i="9"/>
  <c r="Y54" i="9" s="1"/>
  <c r="U38" i="9"/>
  <c r="V56" i="9"/>
  <c r="H24" i="10"/>
  <c r="L20" i="10"/>
  <c r="J14" i="7"/>
  <c r="R40" i="9"/>
  <c r="Y40" i="9" s="1"/>
  <c r="T24" i="9"/>
  <c r="U33" i="9"/>
  <c r="V38" i="9"/>
  <c r="V21" i="9"/>
  <c r="X21" i="9"/>
  <c r="X83" i="9"/>
  <c r="T64" i="9"/>
  <c r="I22" i="10"/>
  <c r="I15" i="3"/>
  <c r="R38" i="9"/>
  <c r="Y38" i="9" s="1"/>
  <c r="R21" i="9"/>
  <c r="T20" i="9"/>
  <c r="U41" i="9"/>
  <c r="V33" i="9"/>
  <c r="X22" i="9"/>
  <c r="P37" i="9"/>
  <c r="W79" i="9"/>
  <c r="R60" i="9"/>
  <c r="Y60" i="9" s="1"/>
  <c r="N79" i="10"/>
  <c r="R33" i="9"/>
  <c r="Y33" i="9" s="1"/>
  <c r="R26" i="9"/>
  <c r="S40" i="9"/>
  <c r="U46" i="9"/>
  <c r="V41" i="9"/>
  <c r="W56" i="9"/>
  <c r="X24" i="9"/>
  <c r="K51" i="10"/>
  <c r="N78" i="10"/>
  <c r="R41" i="9"/>
  <c r="Y41" i="9" s="1"/>
  <c r="R24" i="9"/>
  <c r="S38" i="9"/>
  <c r="U51" i="9"/>
  <c r="V24" i="9"/>
  <c r="L78" i="10"/>
  <c r="N75" i="10"/>
  <c r="J11" i="7"/>
  <c r="AH17" i="7"/>
  <c r="R39" i="9"/>
  <c r="Y39" i="9" s="1"/>
  <c r="R20" i="9"/>
  <c r="U79" i="9"/>
  <c r="V46" i="9"/>
  <c r="W40" i="9"/>
  <c r="W26" i="9"/>
  <c r="S25" i="9"/>
  <c r="S32" i="9"/>
  <c r="R48" i="9"/>
  <c r="Y48" i="9" s="1"/>
  <c r="K71" i="10"/>
  <c r="I55" i="10"/>
  <c r="H47" i="10"/>
  <c r="O47" i="10" s="1"/>
  <c r="K39" i="10"/>
  <c r="N31" i="10"/>
  <c r="H23" i="10"/>
  <c r="T40" i="9"/>
  <c r="S41" i="9"/>
  <c r="U52" i="9"/>
  <c r="V51" i="9"/>
  <c r="W29" i="9"/>
  <c r="O34" i="9"/>
  <c r="L82" i="9"/>
  <c r="L44" i="9"/>
  <c r="R57" i="9"/>
  <c r="Y57" i="9" s="1"/>
  <c r="N67" i="10"/>
  <c r="R46" i="9"/>
  <c r="Y46" i="9" s="1"/>
  <c r="V83" i="9"/>
  <c r="P40" i="9"/>
  <c r="P78" i="9"/>
  <c r="L53" i="9"/>
  <c r="S34" i="9"/>
  <c r="S44" i="9"/>
  <c r="P64" i="9"/>
  <c r="N70" i="10"/>
  <c r="R51" i="9"/>
  <c r="Y51" i="9" s="1"/>
  <c r="T33" i="9"/>
  <c r="W41" i="9"/>
  <c r="P28" i="9"/>
  <c r="N64" i="10"/>
  <c r="N51" i="10"/>
  <c r="R79" i="9"/>
  <c r="Y79" i="9" s="1"/>
  <c r="T41" i="9"/>
  <c r="S79" i="9"/>
  <c r="X29" i="9"/>
  <c r="T80" i="9"/>
  <c r="W58" i="9"/>
  <c r="V20" i="11"/>
  <c r="J20" i="11"/>
  <c r="I41" i="11"/>
  <c r="J22" i="11"/>
  <c r="X46" i="11"/>
  <c r="H48" i="11"/>
  <c r="O48" i="11" s="1"/>
  <c r="Y23" i="11"/>
  <c r="AB24" i="11"/>
  <c r="M32" i="11"/>
  <c r="Y40" i="11"/>
  <c r="J21" i="11"/>
  <c r="N79" i="11"/>
  <c r="I31" i="11"/>
  <c r="M39" i="11"/>
  <c r="I51" i="11"/>
  <c r="I34" i="11"/>
  <c r="M27" i="11"/>
  <c r="J34" i="11"/>
  <c r="I33" i="11"/>
  <c r="Z28" i="11"/>
  <c r="AA66" i="11"/>
  <c r="I22" i="11"/>
  <c r="N23" i="11"/>
  <c r="J81" i="11"/>
  <c r="K21" i="11"/>
  <c r="L47" i="11"/>
  <c r="AA50" i="11"/>
  <c r="H20" i="11"/>
  <c r="H32" i="11"/>
  <c r="O32" i="11" s="1"/>
  <c r="V37" i="11"/>
  <c r="AC37" i="11" s="1"/>
  <c r="I21" i="11"/>
  <c r="H23" i="11"/>
  <c r="X23" i="11"/>
  <c r="L32" i="11"/>
  <c r="H39" i="11"/>
  <c r="O39" i="11" s="1"/>
  <c r="Y31" i="11"/>
  <c r="M33" i="11"/>
  <c r="X45" i="11"/>
  <c r="I20" i="11"/>
  <c r="I23" i="11"/>
  <c r="H28" i="11"/>
  <c r="O28" i="11" s="1"/>
  <c r="H22" i="11"/>
  <c r="N31" i="11"/>
  <c r="X49" i="11"/>
  <c r="I37" i="11"/>
  <c r="X25" i="11"/>
  <c r="X29" i="11"/>
  <c r="X32" i="11"/>
  <c r="X33" i="11"/>
  <c r="W37" i="11"/>
  <c r="W36" i="11"/>
  <c r="K16" i="11"/>
  <c r="V34" i="11"/>
  <c r="AC34" i="11" s="1"/>
  <c r="V25" i="11"/>
  <c r="V55" i="11"/>
  <c r="AC55" i="11" s="1"/>
  <c r="V31" i="11"/>
  <c r="AC31" i="11" s="1"/>
  <c r="V27" i="11"/>
  <c r="W31" i="11"/>
  <c r="K15" i="11"/>
  <c r="W23" i="11"/>
  <c r="W34" i="11"/>
  <c r="AA37" i="11"/>
  <c r="K36" i="11"/>
  <c r="AB35" i="11"/>
  <c r="L20" i="11"/>
  <c r="Z24" i="11"/>
  <c r="Z21" i="11"/>
  <c r="L26" i="11"/>
  <c r="N29" i="11"/>
  <c r="AA32" i="11"/>
  <c r="M35" i="11"/>
  <c r="N46" i="11"/>
  <c r="AA82" i="11"/>
  <c r="Z31" i="11"/>
  <c r="AA74" i="11"/>
  <c r="L28" i="11"/>
  <c r="K13" i="11"/>
  <c r="AA22" i="11"/>
  <c r="L33" i="11"/>
  <c r="K12" i="11"/>
  <c r="N24" i="11"/>
  <c r="AA30" i="11"/>
  <c r="AA33" i="11"/>
  <c r="M36" i="11"/>
  <c r="L37" i="11"/>
  <c r="AA39" i="11"/>
  <c r="K40" i="11"/>
  <c r="M42" i="11"/>
  <c r="AA78" i="11"/>
  <c r="Y25" i="11"/>
  <c r="AA27" i="11"/>
  <c r="AA28" i="11"/>
  <c r="K29" i="11"/>
  <c r="AA38" i="11"/>
  <c r="M40" i="11"/>
  <c r="L41" i="11"/>
  <c r="L50" i="11"/>
  <c r="M51" i="11"/>
  <c r="L60" i="11"/>
  <c r="AA20" i="11"/>
  <c r="Z26" i="11"/>
  <c r="L24" i="11"/>
  <c r="M25" i="11"/>
  <c r="Z25" i="11"/>
  <c r="M29" i="11"/>
  <c r="M30" i="11"/>
  <c r="AA35" i="11"/>
  <c r="Y21" i="11"/>
  <c r="AB34" i="11"/>
  <c r="AA43" i="11"/>
  <c r="AB20" i="11"/>
  <c r="AB22" i="11"/>
  <c r="H38" i="11"/>
  <c r="O38" i="11" s="1"/>
  <c r="N38" i="11"/>
  <c r="K38" i="11"/>
  <c r="AB61" i="11"/>
  <c r="K11" i="11"/>
  <c r="V24" i="11"/>
  <c r="AB26" i="11"/>
  <c r="H24" i="11"/>
  <c r="AA21" i="11"/>
  <c r="N26" i="11"/>
  <c r="N27" i="11"/>
  <c r="L27" i="11"/>
  <c r="AB27" i="11"/>
  <c r="Y29" i="11"/>
  <c r="V30" i="11"/>
  <c r="AC30" i="11" s="1"/>
  <c r="AB30" i="11"/>
  <c r="K31" i="11"/>
  <c r="Y32" i="11"/>
  <c r="N35" i="11"/>
  <c r="L35" i="11"/>
  <c r="K37" i="11"/>
  <c r="K41" i="11"/>
  <c r="N42" i="11"/>
  <c r="Y45" i="11"/>
  <c r="K46" i="11"/>
  <c r="Y46" i="11"/>
  <c r="N67" i="11"/>
  <c r="N75" i="11"/>
  <c r="N83" i="11"/>
  <c r="H81" i="11"/>
  <c r="O81" i="11" s="1"/>
  <c r="H77" i="11"/>
  <c r="O77" i="11" s="1"/>
  <c r="H73" i="11"/>
  <c r="O73" i="11" s="1"/>
  <c r="H69" i="11"/>
  <c r="O69" i="11" s="1"/>
  <c r="H65" i="11"/>
  <c r="O65" i="11" s="1"/>
  <c r="H61" i="11"/>
  <c r="O61" i="11" s="1"/>
  <c r="H58" i="11"/>
  <c r="O58" i="11" s="1"/>
  <c r="H45" i="11"/>
  <c r="O45" i="11" s="1"/>
  <c r="H57" i="11"/>
  <c r="O57" i="11" s="1"/>
  <c r="H82" i="11"/>
  <c r="O82" i="11" s="1"/>
  <c r="H78" i="11"/>
  <c r="O78" i="11" s="1"/>
  <c r="H74" i="11"/>
  <c r="O74" i="11" s="1"/>
  <c r="H70" i="11"/>
  <c r="O70" i="11" s="1"/>
  <c r="H66" i="11"/>
  <c r="O66" i="11" s="1"/>
  <c r="H62" i="11"/>
  <c r="O62" i="11" s="1"/>
  <c r="H40" i="11"/>
  <c r="O40" i="11" s="1"/>
  <c r="H54" i="11"/>
  <c r="O54" i="11" s="1"/>
  <c r="H50" i="11"/>
  <c r="O50" i="11" s="1"/>
  <c r="V80" i="11"/>
  <c r="AC80" i="11" s="1"/>
  <c r="V76" i="11"/>
  <c r="AC76" i="11" s="1"/>
  <c r="V72" i="11"/>
  <c r="AC72" i="11" s="1"/>
  <c r="V68" i="11"/>
  <c r="AC68" i="11" s="1"/>
  <c r="V64" i="11"/>
  <c r="AC64" i="11" s="1"/>
  <c r="V60" i="11"/>
  <c r="AC60" i="11" s="1"/>
  <c r="V83" i="11"/>
  <c r="AC83" i="11" s="1"/>
  <c r="V79" i="11"/>
  <c r="AC79" i="11" s="1"/>
  <c r="V75" i="11"/>
  <c r="AC75" i="11" s="1"/>
  <c r="V71" i="11"/>
  <c r="AC71" i="11" s="1"/>
  <c r="V67" i="11"/>
  <c r="AC67" i="11" s="1"/>
  <c r="V63" i="11"/>
  <c r="AC63" i="11" s="1"/>
  <c r="V59" i="11"/>
  <c r="AC59" i="11" s="1"/>
  <c r="V47" i="11"/>
  <c r="AC47" i="11" s="1"/>
  <c r="V43" i="11"/>
  <c r="AC43" i="11" s="1"/>
  <c r="V56" i="11"/>
  <c r="AC56" i="11" s="1"/>
  <c r="V54" i="11"/>
  <c r="AC54" i="11" s="1"/>
  <c r="V52" i="11"/>
  <c r="AC52" i="11" s="1"/>
  <c r="V50" i="11"/>
  <c r="AC50" i="11" s="1"/>
  <c r="V48" i="11"/>
  <c r="AC48" i="11" s="1"/>
  <c r="V44" i="11"/>
  <c r="AC44" i="11" s="1"/>
  <c r="V38" i="11"/>
  <c r="AC38" i="11" s="1"/>
  <c r="K20" i="11"/>
  <c r="L21" i="11"/>
  <c r="W24" i="11"/>
  <c r="K22" i="11"/>
  <c r="V22" i="11"/>
  <c r="J23" i="11"/>
  <c r="I24" i="11"/>
  <c r="AB21" i="11"/>
  <c r="H25" i="11"/>
  <c r="AA25" i="11"/>
  <c r="Z23" i="11"/>
  <c r="Y27" i="11"/>
  <c r="W27" i="11"/>
  <c r="I28" i="11"/>
  <c r="W28" i="11"/>
  <c r="Z29" i="11"/>
  <c r="L31" i="11"/>
  <c r="I32" i="11"/>
  <c r="N32" i="11"/>
  <c r="K34" i="11"/>
  <c r="Y34" i="11"/>
  <c r="Y35" i="11"/>
  <c r="W35" i="11"/>
  <c r="H36" i="11"/>
  <c r="O36" i="11" s="1"/>
  <c r="Y37" i="11"/>
  <c r="N40" i="11"/>
  <c r="Z42" i="11"/>
  <c r="M46" i="11"/>
  <c r="N47" i="11"/>
  <c r="H52" i="11"/>
  <c r="O52" i="11" s="1"/>
  <c r="N52" i="11"/>
  <c r="M52" i="11"/>
  <c r="L52" i="11"/>
  <c r="K52" i="11"/>
  <c r="J52" i="11"/>
  <c r="I52" i="11"/>
  <c r="H53" i="11"/>
  <c r="O53" i="11" s="1"/>
  <c r="Y55" i="11"/>
  <c r="L59" i="11"/>
  <c r="L66" i="11"/>
  <c r="L74" i="11"/>
  <c r="L82" i="11"/>
  <c r="AB80" i="11"/>
  <c r="AB76" i="11"/>
  <c r="AB72" i="11"/>
  <c r="AB68" i="11"/>
  <c r="AB64" i="11"/>
  <c r="AB79" i="11"/>
  <c r="AB75" i="11"/>
  <c r="AB71" i="11"/>
  <c r="AB67" i="11"/>
  <c r="AB63" i="11"/>
  <c r="AB59" i="11"/>
  <c r="AB60" i="11"/>
  <c r="AB56" i="11"/>
  <c r="AB52" i="11"/>
  <c r="AB48" i="11"/>
  <c r="AB45" i="11"/>
  <c r="AB41" i="11"/>
  <c r="AB40" i="11"/>
  <c r="AB55" i="11"/>
  <c r="AB51" i="11"/>
  <c r="I81" i="11"/>
  <c r="I77" i="11"/>
  <c r="I73" i="11"/>
  <c r="I69" i="11"/>
  <c r="I65" i="11"/>
  <c r="I61" i="11"/>
  <c r="I60" i="11"/>
  <c r="I57" i="11"/>
  <c r="I53" i="11"/>
  <c r="I49" i="11"/>
  <c r="I40" i="11"/>
  <c r="I47" i="11"/>
  <c r="I43" i="11"/>
  <c r="I48" i="11"/>
  <c r="I44" i="11"/>
  <c r="I39" i="11"/>
  <c r="W83" i="11"/>
  <c r="W79" i="11"/>
  <c r="W75" i="11"/>
  <c r="W71" i="11"/>
  <c r="W67" i="11"/>
  <c r="W63" i="11"/>
  <c r="W59" i="11"/>
  <c r="W55" i="11"/>
  <c r="W51" i="11"/>
  <c r="W60" i="11"/>
  <c r="W47" i="11"/>
  <c r="W43" i="11"/>
  <c r="W56" i="11"/>
  <c r="W52" i="11"/>
  <c r="W48" i="11"/>
  <c r="W44" i="11"/>
  <c r="W20" i="11"/>
  <c r="M21" i="11"/>
  <c r="X24" i="11"/>
  <c r="L22" i="11"/>
  <c r="W22" i="11"/>
  <c r="K23" i="11"/>
  <c r="V26" i="11"/>
  <c r="J24" i="11"/>
  <c r="I25" i="11"/>
  <c r="AB25" i="11"/>
  <c r="H26" i="11"/>
  <c r="AA23" i="11"/>
  <c r="J28" i="11"/>
  <c r="Y28" i="11"/>
  <c r="L29" i="11"/>
  <c r="J29" i="11"/>
  <c r="AA29" i="11"/>
  <c r="H30" i="11"/>
  <c r="O30" i="11" s="1"/>
  <c r="M31" i="11"/>
  <c r="X31" i="11"/>
  <c r="AB32" i="11"/>
  <c r="Z32" i="11"/>
  <c r="J33" i="11"/>
  <c r="V33" i="11"/>
  <c r="AC33" i="11" s="1"/>
  <c r="L34" i="11"/>
  <c r="AA34" i="11"/>
  <c r="I36" i="11"/>
  <c r="V36" i="11"/>
  <c r="AC36" i="11" s="1"/>
  <c r="N37" i="11"/>
  <c r="Z37" i="11"/>
  <c r="Y39" i="11"/>
  <c r="W39" i="11"/>
  <c r="V39" i="11"/>
  <c r="AC39" i="11" s="1"/>
  <c r="AB39" i="11"/>
  <c r="W40" i="11"/>
  <c r="J42" i="11"/>
  <c r="I42" i="11"/>
  <c r="L42" i="11"/>
  <c r="H42" i="11"/>
  <c r="O42" i="11" s="1"/>
  <c r="AB44" i="11"/>
  <c r="I45" i="11"/>
  <c r="AA47" i="11"/>
  <c r="M53" i="11"/>
  <c r="W64" i="11"/>
  <c r="J65" i="11"/>
  <c r="W72" i="11"/>
  <c r="J73" i="11"/>
  <c r="W80" i="11"/>
  <c r="AB36" i="11"/>
  <c r="N43" i="11"/>
  <c r="K14" i="11"/>
  <c r="J57" i="11"/>
  <c r="J53" i="11"/>
  <c r="J61" i="11"/>
  <c r="J40" i="11"/>
  <c r="J36" i="11"/>
  <c r="J47" i="11"/>
  <c r="J43" i="11"/>
  <c r="J48" i="11"/>
  <c r="J44" i="11"/>
  <c r="J39" i="11"/>
  <c r="X83" i="11"/>
  <c r="X79" i="11"/>
  <c r="X75" i="11"/>
  <c r="X71" i="11"/>
  <c r="X67" i="11"/>
  <c r="X63" i="11"/>
  <c r="X59" i="11"/>
  <c r="X55" i="11"/>
  <c r="X51" i="11"/>
  <c r="X58" i="11"/>
  <c r="X54" i="11"/>
  <c r="X50" i="11"/>
  <c r="X37" i="11"/>
  <c r="M20" i="11"/>
  <c r="X20" i="11"/>
  <c r="N21" i="11"/>
  <c r="Y24" i="11"/>
  <c r="M22" i="11"/>
  <c r="X22" i="11"/>
  <c r="L23" i="11"/>
  <c r="W26" i="11"/>
  <c r="K24" i="11"/>
  <c r="V21" i="11"/>
  <c r="J25" i="11"/>
  <c r="I26" i="11"/>
  <c r="AB23" i="11"/>
  <c r="H27" i="11"/>
  <c r="W29" i="11"/>
  <c r="AB29" i="11"/>
  <c r="J30" i="11"/>
  <c r="W30" i="11"/>
  <c r="K33" i="11"/>
  <c r="W33" i="11"/>
  <c r="M34" i="11"/>
  <c r="N34" i="11"/>
  <c r="H35" i="11"/>
  <c r="O35" i="11" s="1"/>
  <c r="X36" i="11"/>
  <c r="J37" i="11"/>
  <c r="H37" i="11"/>
  <c r="O37" i="11" s="1"/>
  <c r="M37" i="11"/>
  <c r="AB37" i="11"/>
  <c r="I38" i="11"/>
  <c r="W38" i="11"/>
  <c r="N39" i="11"/>
  <c r="L40" i="11"/>
  <c r="J41" i="11"/>
  <c r="H41" i="11"/>
  <c r="O41" i="11" s="1"/>
  <c r="N41" i="11"/>
  <c r="M41" i="11"/>
  <c r="X43" i="11"/>
  <c r="J45" i="11"/>
  <c r="Z46" i="11"/>
  <c r="AB49" i="11"/>
  <c r="L54" i="11"/>
  <c r="AA54" i="11"/>
  <c r="I55" i="11"/>
  <c r="K64" i="11"/>
  <c r="J64" i="11"/>
  <c r="I64" i="11"/>
  <c r="H64" i="11"/>
  <c r="O64" i="11" s="1"/>
  <c r="N64" i="11"/>
  <c r="M64" i="11"/>
  <c r="L64" i="11"/>
  <c r="K72" i="11"/>
  <c r="J72" i="11"/>
  <c r="I72" i="11"/>
  <c r="H72" i="11"/>
  <c r="O72" i="11" s="1"/>
  <c r="N72" i="11"/>
  <c r="M72" i="11"/>
  <c r="L72" i="11"/>
  <c r="K80" i="11"/>
  <c r="J80" i="11"/>
  <c r="I80" i="11"/>
  <c r="H80" i="11"/>
  <c r="O80" i="11" s="1"/>
  <c r="N80" i="11"/>
  <c r="M80" i="11"/>
  <c r="L80" i="11"/>
  <c r="AA26" i="11"/>
  <c r="K75" i="11"/>
  <c r="K71" i="11"/>
  <c r="K67" i="11"/>
  <c r="K63" i="11"/>
  <c r="K78" i="11"/>
  <c r="K74" i="11"/>
  <c r="K70" i="11"/>
  <c r="K66" i="11"/>
  <c r="K62" i="11"/>
  <c r="K58" i="11"/>
  <c r="K59" i="11"/>
  <c r="K47" i="11"/>
  <c r="K43" i="11"/>
  <c r="K48" i="11"/>
  <c r="K44" i="11"/>
  <c r="K39" i="11"/>
  <c r="K54" i="11"/>
  <c r="K50" i="11"/>
  <c r="Y59" i="11"/>
  <c r="Y47" i="11"/>
  <c r="Y43" i="11"/>
  <c r="Y83" i="11"/>
  <c r="Y79" i="11"/>
  <c r="Y75" i="11"/>
  <c r="Y71" i="11"/>
  <c r="Y67" i="11"/>
  <c r="Y63" i="11"/>
  <c r="Y38" i="11"/>
  <c r="Y33" i="11"/>
  <c r="Y54" i="11"/>
  <c r="Y50" i="11"/>
  <c r="N20" i="11"/>
  <c r="Y20" i="11"/>
  <c r="N22" i="11"/>
  <c r="Y22" i="11"/>
  <c r="M23" i="11"/>
  <c r="X26" i="11"/>
  <c r="W21" i="11"/>
  <c r="K25" i="11"/>
  <c r="J26" i="11"/>
  <c r="I27" i="11"/>
  <c r="N28" i="11"/>
  <c r="L30" i="11"/>
  <c r="X30" i="11"/>
  <c r="J31" i="11"/>
  <c r="H31" i="11"/>
  <c r="O31" i="11" s="1"/>
  <c r="Z34" i="11"/>
  <c r="X34" i="11"/>
  <c r="I35" i="11"/>
  <c r="V35" i="11"/>
  <c r="AC35" i="11" s="1"/>
  <c r="Y36" i="11"/>
  <c r="J38" i="11"/>
  <c r="X38" i="11"/>
  <c r="V42" i="11"/>
  <c r="AC42" i="11" s="1"/>
  <c r="AB43" i="11"/>
  <c r="J46" i="11"/>
  <c r="I46" i="11"/>
  <c r="L46" i="11"/>
  <c r="H46" i="11"/>
  <c r="O46" i="11" s="1"/>
  <c r="H49" i="11"/>
  <c r="O49" i="11" s="1"/>
  <c r="V51" i="11"/>
  <c r="AC51" i="11" s="1"/>
  <c r="M55" i="11"/>
  <c r="J60" i="11"/>
  <c r="AA62" i="11"/>
  <c r="N63" i="11"/>
  <c r="AA70" i="11"/>
  <c r="N71" i="11"/>
  <c r="N82" i="11"/>
  <c r="N78" i="11"/>
  <c r="N74" i="11"/>
  <c r="N70" i="11"/>
  <c r="N66" i="11"/>
  <c r="N62" i="11"/>
  <c r="N81" i="11"/>
  <c r="N77" i="11"/>
  <c r="N73" i="11"/>
  <c r="N69" i="11"/>
  <c r="N65" i="11"/>
  <c r="N61" i="11"/>
  <c r="N57" i="11"/>
  <c r="N53" i="11"/>
  <c r="N49" i="11"/>
  <c r="N54" i="11"/>
  <c r="N50" i="11"/>
  <c r="N45" i="11"/>
  <c r="N58" i="11"/>
  <c r="N25" i="11"/>
  <c r="M26" i="11"/>
  <c r="AB53" i="11"/>
  <c r="L55" i="11"/>
  <c r="L51" i="11"/>
  <c r="Z77" i="11"/>
  <c r="Z73" i="11"/>
  <c r="Z69" i="11"/>
  <c r="Z65" i="11"/>
  <c r="Z80" i="11"/>
  <c r="Z76" i="11"/>
  <c r="Z72" i="11"/>
  <c r="Z68" i="11"/>
  <c r="Z64" i="11"/>
  <c r="Z60" i="11"/>
  <c r="Z54" i="11"/>
  <c r="Z50" i="11"/>
  <c r="Z61" i="11"/>
  <c r="Z56" i="11"/>
  <c r="Z52" i="11"/>
  <c r="Z48" i="11"/>
  <c r="Z44" i="11"/>
  <c r="Z45" i="11"/>
  <c r="Z41" i="11"/>
  <c r="Z20" i="11"/>
  <c r="H21" i="11"/>
  <c r="AA24" i="11"/>
  <c r="Z22" i="11"/>
  <c r="Y26" i="11"/>
  <c r="M24" i="11"/>
  <c r="X21" i="11"/>
  <c r="L25" i="11"/>
  <c r="W25" i="11"/>
  <c r="K26" i="11"/>
  <c r="V23" i="11"/>
  <c r="J27" i="11"/>
  <c r="X27" i="11"/>
  <c r="M28" i="11"/>
  <c r="AB28" i="11"/>
  <c r="H29" i="11"/>
  <c r="O29" i="11" s="1"/>
  <c r="Y30" i="11"/>
  <c r="AA31" i="11"/>
  <c r="AB31" i="11"/>
  <c r="J32" i="11"/>
  <c r="V32" i="11"/>
  <c r="AC32" i="11" s="1"/>
  <c r="Z33" i="11"/>
  <c r="J35" i="11"/>
  <c r="X35" i="11"/>
  <c r="L36" i="11"/>
  <c r="N36" i="11"/>
  <c r="Z36" i="11"/>
  <c r="L38" i="11"/>
  <c r="Z38" i="11"/>
  <c r="X39" i="11"/>
  <c r="V40" i="11"/>
  <c r="AC40" i="11" s="1"/>
  <c r="X41" i="11"/>
  <c r="X42" i="11"/>
  <c r="H44" i="11"/>
  <c r="O44" i="11" s="1"/>
  <c r="X47" i="11"/>
  <c r="J49" i="11"/>
  <c r="Y51" i="11"/>
  <c r="L56" i="11"/>
  <c r="N59" i="11"/>
  <c r="L62" i="11"/>
  <c r="L70" i="11"/>
  <c r="L78" i="11"/>
  <c r="K30" i="11"/>
  <c r="I30" i="11"/>
  <c r="K68" i="11"/>
  <c r="J68" i="11"/>
  <c r="I68" i="11"/>
  <c r="H68" i="11"/>
  <c r="O68" i="11" s="1"/>
  <c r="N68" i="11"/>
  <c r="M68" i="11"/>
  <c r="L68" i="11"/>
  <c r="K76" i="11"/>
  <c r="J76" i="11"/>
  <c r="I76" i="11"/>
  <c r="H76" i="11"/>
  <c r="O76" i="11" s="1"/>
  <c r="N76" i="11"/>
  <c r="M76" i="11"/>
  <c r="L76" i="11"/>
  <c r="M82" i="11"/>
  <c r="M78" i="11"/>
  <c r="M74" i="11"/>
  <c r="M70" i="11"/>
  <c r="M66" i="11"/>
  <c r="M62" i="11"/>
  <c r="M81" i="11"/>
  <c r="M77" i="11"/>
  <c r="M73" i="11"/>
  <c r="M69" i="11"/>
  <c r="M65" i="11"/>
  <c r="M61" i="11"/>
  <c r="M57" i="11"/>
  <c r="M54" i="11"/>
  <c r="M50" i="11"/>
  <c r="M45" i="11"/>
  <c r="AA58" i="11"/>
  <c r="AA53" i="11"/>
  <c r="AA49" i="11"/>
  <c r="AA57" i="11"/>
  <c r="AA44" i="11"/>
  <c r="AA45" i="11"/>
  <c r="AA41" i="11"/>
  <c r="K27" i="11"/>
  <c r="Z27" i="11"/>
  <c r="X28" i="11"/>
  <c r="V28" i="11"/>
  <c r="AC28" i="11" s="1"/>
  <c r="I29" i="11"/>
  <c r="V29" i="11"/>
  <c r="AC29" i="11" s="1"/>
  <c r="N30" i="11"/>
  <c r="Z30" i="11"/>
  <c r="K32" i="11"/>
  <c r="W32" i="11"/>
  <c r="H33" i="11"/>
  <c r="O33" i="11" s="1"/>
  <c r="N33" i="11"/>
  <c r="AB33" i="11"/>
  <c r="H34" i="11"/>
  <c r="O34" i="11" s="1"/>
  <c r="K35" i="11"/>
  <c r="Z35" i="11"/>
  <c r="AA36" i="11"/>
  <c r="M38" i="11"/>
  <c r="AB38" i="11"/>
  <c r="Z39" i="11"/>
  <c r="X40" i="11"/>
  <c r="Y41" i="11"/>
  <c r="K42" i="11"/>
  <c r="Y42" i="11"/>
  <c r="L43" i="11"/>
  <c r="V46" i="11"/>
  <c r="AC46" i="11" s="1"/>
  <c r="AB47" i="11"/>
  <c r="M49" i="11"/>
  <c r="X53" i="11"/>
  <c r="M58" i="11"/>
  <c r="W68" i="11"/>
  <c r="J69" i="11"/>
  <c r="W76" i="11"/>
  <c r="J77" i="11"/>
  <c r="Z40" i="11"/>
  <c r="L49" i="11"/>
  <c r="J51" i="11"/>
  <c r="H51" i="11"/>
  <c r="O51" i="11" s="1"/>
  <c r="N51" i="11"/>
  <c r="L53" i="11"/>
  <c r="J55" i="11"/>
  <c r="H55" i="11"/>
  <c r="O55" i="11" s="1"/>
  <c r="N55" i="11"/>
  <c r="I56" i="11"/>
  <c r="L57" i="11"/>
  <c r="Y57" i="11"/>
  <c r="X57" i="11"/>
  <c r="W57" i="11"/>
  <c r="V57" i="11"/>
  <c r="AC57" i="11" s="1"/>
  <c r="AA63" i="11"/>
  <c r="AB65" i="11"/>
  <c r="AA67" i="11"/>
  <c r="AB69" i="11"/>
  <c r="AA71" i="11"/>
  <c r="AB73" i="11"/>
  <c r="AA75" i="11"/>
  <c r="AB77" i="11"/>
  <c r="AA79" i="11"/>
  <c r="AB81" i="11"/>
  <c r="AB83" i="11"/>
  <c r="AA40" i="11"/>
  <c r="AB42" i="11"/>
  <c r="AA42" i="11"/>
  <c r="L45" i="11"/>
  <c r="AB46" i="11"/>
  <c r="AA46" i="11"/>
  <c r="Y49" i="11"/>
  <c r="W49" i="11"/>
  <c r="V49" i="11"/>
  <c r="AC49" i="11" s="1"/>
  <c r="AA51" i="11"/>
  <c r="Y53" i="11"/>
  <c r="W53" i="11"/>
  <c r="V53" i="11"/>
  <c r="AC53" i="11" s="1"/>
  <c r="AA55" i="11"/>
  <c r="J56" i="11"/>
  <c r="Z58" i="11"/>
  <c r="W58" i="11"/>
  <c r="V58" i="11"/>
  <c r="AC58" i="11" s="1"/>
  <c r="AB58" i="11"/>
  <c r="AA59" i="11"/>
  <c r="AA60" i="11"/>
  <c r="L61" i="11"/>
  <c r="K56" i="11"/>
  <c r="L58" i="11"/>
  <c r="M59" i="11"/>
  <c r="J59" i="11"/>
  <c r="I59" i="11"/>
  <c r="H59" i="11"/>
  <c r="O59" i="11" s="1"/>
  <c r="K60" i="11"/>
  <c r="H60" i="11"/>
  <c r="O60" i="11" s="1"/>
  <c r="N60" i="11"/>
  <c r="M60" i="11"/>
  <c r="K28" i="11"/>
  <c r="L39" i="11"/>
  <c r="W41" i="11"/>
  <c r="V41" i="11"/>
  <c r="AC41" i="11" s="1"/>
  <c r="N44" i="11"/>
  <c r="M44" i="11"/>
  <c r="L44" i="11"/>
  <c r="W45" i="11"/>
  <c r="V45" i="11"/>
  <c r="AC45" i="11" s="1"/>
  <c r="N48" i="11"/>
  <c r="M48" i="11"/>
  <c r="L48" i="11"/>
  <c r="Z57" i="11"/>
  <c r="M63" i="11"/>
  <c r="L65" i="11"/>
  <c r="M67" i="11"/>
  <c r="L69" i="11"/>
  <c r="M71" i="11"/>
  <c r="L73" i="11"/>
  <c r="M75" i="11"/>
  <c r="L77" i="11"/>
  <c r="M79" i="11"/>
  <c r="L81" i="11"/>
  <c r="M83" i="11"/>
  <c r="H56" i="11"/>
  <c r="O56" i="11" s="1"/>
  <c r="N56" i="11"/>
  <c r="M56" i="11"/>
  <c r="Z62" i="11"/>
  <c r="Y62" i="11"/>
  <c r="X62" i="11"/>
  <c r="W62" i="11"/>
  <c r="V62" i="11"/>
  <c r="AC62" i="11" s="1"/>
  <c r="AB62" i="11"/>
  <c r="AA64" i="11"/>
  <c r="Z66" i="11"/>
  <c r="Y66" i="11"/>
  <c r="X66" i="11"/>
  <c r="W66" i="11"/>
  <c r="V66" i="11"/>
  <c r="AC66" i="11" s="1"/>
  <c r="AB66" i="11"/>
  <c r="AA68" i="11"/>
  <c r="Z70" i="11"/>
  <c r="Y70" i="11"/>
  <c r="X70" i="11"/>
  <c r="W70" i="11"/>
  <c r="V70" i="11"/>
  <c r="AC70" i="11" s="1"/>
  <c r="AB70" i="11"/>
  <c r="AA72" i="11"/>
  <c r="Z74" i="11"/>
  <c r="Y74" i="11"/>
  <c r="X74" i="11"/>
  <c r="W74" i="11"/>
  <c r="V74" i="11"/>
  <c r="AC74" i="11" s="1"/>
  <c r="AB74" i="11"/>
  <c r="AA76" i="11"/>
  <c r="Z78" i="11"/>
  <c r="Y78" i="11"/>
  <c r="X78" i="11"/>
  <c r="W78" i="11"/>
  <c r="V78" i="11"/>
  <c r="AC78" i="11" s="1"/>
  <c r="AB78" i="11"/>
  <c r="AA80" i="11"/>
  <c r="Z82" i="11"/>
  <c r="Y82" i="11"/>
  <c r="X82" i="11"/>
  <c r="W82" i="11"/>
  <c r="V82" i="11"/>
  <c r="AC82" i="11" s="1"/>
  <c r="AB82" i="11"/>
  <c r="W42" i="11"/>
  <c r="H43" i="11"/>
  <c r="O43" i="11" s="1"/>
  <c r="M43" i="11"/>
  <c r="Y44" i="11"/>
  <c r="X44" i="11"/>
  <c r="W46" i="11"/>
  <c r="H47" i="11"/>
  <c r="O47" i="11" s="1"/>
  <c r="M47" i="11"/>
  <c r="AA48" i="11"/>
  <c r="Y48" i="11"/>
  <c r="X48" i="11"/>
  <c r="Z49" i="11"/>
  <c r="W50" i="11"/>
  <c r="AB50" i="11"/>
  <c r="K51" i="11"/>
  <c r="AA52" i="11"/>
  <c r="Z53" i="11"/>
  <c r="W54" i="11"/>
  <c r="AB54" i="11"/>
  <c r="K55" i="11"/>
  <c r="AA56" i="11"/>
  <c r="AB57" i="11"/>
  <c r="Y58" i="11"/>
  <c r="Z43" i="11"/>
  <c r="K45" i="11"/>
  <c r="Z47" i="11"/>
  <c r="K49" i="11"/>
  <c r="I50" i="11"/>
  <c r="Z51" i="11"/>
  <c r="X52" i="11"/>
  <c r="K53" i="11"/>
  <c r="I54" i="11"/>
  <c r="Z55" i="11"/>
  <c r="X56" i="11"/>
  <c r="K57" i="11"/>
  <c r="I58" i="11"/>
  <c r="Z59" i="11"/>
  <c r="X60" i="11"/>
  <c r="K61" i="11"/>
  <c r="V61" i="11"/>
  <c r="AC61" i="11" s="1"/>
  <c r="I62" i="11"/>
  <c r="Z63" i="11"/>
  <c r="X64" i="11"/>
  <c r="K65" i="11"/>
  <c r="V65" i="11"/>
  <c r="AC65" i="11" s="1"/>
  <c r="I66" i="11"/>
  <c r="Z67" i="11"/>
  <c r="X68" i="11"/>
  <c r="K69" i="11"/>
  <c r="V69" i="11"/>
  <c r="AC69" i="11" s="1"/>
  <c r="I70" i="11"/>
  <c r="Z71" i="11"/>
  <c r="X72" i="11"/>
  <c r="K73" i="11"/>
  <c r="V73" i="11"/>
  <c r="AC73" i="11" s="1"/>
  <c r="I74" i="11"/>
  <c r="Z75" i="11"/>
  <c r="X76" i="11"/>
  <c r="K77" i="11"/>
  <c r="V77" i="11"/>
  <c r="AC77" i="11" s="1"/>
  <c r="I78" i="11"/>
  <c r="Z79" i="11"/>
  <c r="X80" i="11"/>
  <c r="K81" i="11"/>
  <c r="V81" i="11"/>
  <c r="AC81" i="11" s="1"/>
  <c r="I82" i="11"/>
  <c r="Z83" i="11"/>
  <c r="J50" i="11"/>
  <c r="Y52" i="11"/>
  <c r="J54" i="11"/>
  <c r="Y56" i="11"/>
  <c r="J58" i="11"/>
  <c r="Y60" i="11"/>
  <c r="W61" i="11"/>
  <c r="J62" i="11"/>
  <c r="H63" i="11"/>
  <c r="O63" i="11" s="1"/>
  <c r="Y64" i="11"/>
  <c r="W65" i="11"/>
  <c r="J66" i="11"/>
  <c r="H67" i="11"/>
  <c r="O67" i="11" s="1"/>
  <c r="Y68" i="11"/>
  <c r="W69" i="11"/>
  <c r="J70" i="11"/>
  <c r="H71" i="11"/>
  <c r="O71" i="11" s="1"/>
  <c r="Y72" i="11"/>
  <c r="W73" i="11"/>
  <c r="J74" i="11"/>
  <c r="H75" i="11"/>
  <c r="O75" i="11" s="1"/>
  <c r="Y76" i="11"/>
  <c r="W77" i="11"/>
  <c r="J78" i="11"/>
  <c r="H79" i="11"/>
  <c r="O79" i="11" s="1"/>
  <c r="Y80" i="11"/>
  <c r="W81" i="11"/>
  <c r="J82" i="11"/>
  <c r="H83" i="11"/>
  <c r="O83" i="11" s="1"/>
  <c r="AA83" i="11"/>
  <c r="X61" i="11"/>
  <c r="I63" i="11"/>
  <c r="X65" i="11"/>
  <c r="I67" i="11"/>
  <c r="X69" i="11"/>
  <c r="I71" i="11"/>
  <c r="X73" i="11"/>
  <c r="I75" i="11"/>
  <c r="X77" i="11"/>
  <c r="I79" i="11"/>
  <c r="X81" i="11"/>
  <c r="K82" i="11"/>
  <c r="I83" i="11"/>
  <c r="Y61" i="11"/>
  <c r="J63" i="11"/>
  <c r="Y65" i="11"/>
  <c r="J67" i="11"/>
  <c r="Y69" i="11"/>
  <c r="J71" i="11"/>
  <c r="Y73" i="11"/>
  <c r="J75" i="11"/>
  <c r="Y77" i="11"/>
  <c r="J79" i="11"/>
  <c r="Y81" i="11"/>
  <c r="J83" i="11"/>
  <c r="K79" i="11"/>
  <c r="Z81" i="11"/>
  <c r="K83" i="11"/>
  <c r="AA61" i="11"/>
  <c r="L63" i="11"/>
  <c r="AA65" i="11"/>
  <c r="L67" i="11"/>
  <c r="AA69" i="11"/>
  <c r="L71" i="11"/>
  <c r="AA73" i="11"/>
  <c r="L75" i="11"/>
  <c r="AA77" i="11"/>
  <c r="L79" i="11"/>
  <c r="AA81" i="11"/>
  <c r="L83" i="11"/>
  <c r="I26" i="10"/>
  <c r="I71" i="10"/>
  <c r="I48" i="10"/>
  <c r="I81" i="10"/>
  <c r="I30" i="10"/>
  <c r="I73" i="10"/>
  <c r="I49" i="10"/>
  <c r="I45" i="10"/>
  <c r="H72" i="10"/>
  <c r="O72" i="10" s="1"/>
  <c r="H70" i="10"/>
  <c r="O70" i="10" s="1"/>
  <c r="H54" i="10"/>
  <c r="O54" i="10" s="1"/>
  <c r="H69" i="10"/>
  <c r="O69" i="10" s="1"/>
  <c r="H37" i="10"/>
  <c r="O37" i="10" s="1"/>
  <c r="H45" i="10"/>
  <c r="O45" i="10" s="1"/>
  <c r="H50" i="10"/>
  <c r="O50" i="10" s="1"/>
  <c r="H38" i="10"/>
  <c r="O38" i="10" s="1"/>
  <c r="H61" i="10"/>
  <c r="O61" i="10" s="1"/>
  <c r="H29" i="10"/>
  <c r="H30" i="10"/>
  <c r="H22" i="10"/>
  <c r="H32" i="10"/>
  <c r="H56" i="10"/>
  <c r="O56" i="10" s="1"/>
  <c r="H78" i="10"/>
  <c r="O78" i="10" s="1"/>
  <c r="H53" i="10"/>
  <c r="O53" i="10" s="1"/>
  <c r="H21" i="10"/>
  <c r="K67" i="10"/>
  <c r="K72" i="10"/>
  <c r="J54" i="10"/>
  <c r="J47" i="10"/>
  <c r="J79" i="10"/>
  <c r="J76" i="10"/>
  <c r="J28" i="10"/>
  <c r="J74" i="10"/>
  <c r="J22" i="10"/>
  <c r="J48" i="10"/>
  <c r="J30" i="10"/>
  <c r="J80" i="10"/>
  <c r="J40" i="10"/>
  <c r="J62" i="10"/>
  <c r="J38" i="10"/>
  <c r="J78" i="10"/>
  <c r="J70" i="10"/>
  <c r="J20" i="10"/>
  <c r="J46" i="10"/>
  <c r="K38" i="10"/>
  <c r="K54" i="10"/>
  <c r="K46" i="10"/>
  <c r="K59" i="10"/>
  <c r="K27" i="10"/>
  <c r="K78" i="10"/>
  <c r="K62" i="10"/>
  <c r="K56" i="10"/>
  <c r="K25" i="10"/>
  <c r="K20" i="10"/>
  <c r="K70" i="10"/>
  <c r="K42" i="10"/>
  <c r="K43" i="10"/>
  <c r="K57" i="10"/>
  <c r="K40" i="10"/>
  <c r="K75" i="10"/>
  <c r="K83" i="10"/>
  <c r="K32" i="10"/>
  <c r="K22" i="10"/>
  <c r="K35" i="10"/>
  <c r="I37" i="10"/>
  <c r="I29" i="10"/>
  <c r="I80" i="10"/>
  <c r="I77" i="10"/>
  <c r="I70" i="10"/>
  <c r="I62" i="10"/>
  <c r="I54" i="10"/>
  <c r="I39" i="10"/>
  <c r="I28" i="10"/>
  <c r="I21" i="10"/>
  <c r="I64" i="10"/>
  <c r="I69" i="10"/>
  <c r="I33" i="10"/>
  <c r="I61" i="10"/>
  <c r="I20" i="10"/>
  <c r="I60" i="10"/>
  <c r="I53" i="10"/>
  <c r="I46" i="10"/>
  <c r="I57" i="10"/>
  <c r="M42" i="10"/>
  <c r="M78" i="10"/>
  <c r="M76" i="10"/>
  <c r="M52" i="10"/>
  <c r="M63" i="10"/>
  <c r="M29" i="10"/>
  <c r="M80" i="10"/>
  <c r="M64" i="10"/>
  <c r="M20" i="10"/>
  <c r="M54" i="10"/>
  <c r="M38" i="10"/>
  <c r="M69" i="10"/>
  <c r="M45" i="10"/>
  <c r="M66" i="10"/>
  <c r="M30" i="10"/>
  <c r="M24" i="10"/>
  <c r="M21" i="10"/>
  <c r="M48" i="10"/>
  <c r="M59" i="10"/>
  <c r="M61" i="10"/>
  <c r="M46" i="10"/>
  <c r="M53" i="10"/>
  <c r="M77" i="10"/>
  <c r="M70" i="10"/>
  <c r="L54" i="10"/>
  <c r="L65" i="10"/>
  <c r="L41" i="10"/>
  <c r="L38" i="10"/>
  <c r="L32" i="10"/>
  <c r="L70" i="10"/>
  <c r="L63" i="10"/>
  <c r="L22" i="10"/>
  <c r="L81" i="10"/>
  <c r="L31" i="10"/>
  <c r="L33" i="10"/>
  <c r="L49" i="10"/>
  <c r="M82" i="10"/>
  <c r="M79" i="10"/>
  <c r="L76" i="10"/>
  <c r="H74" i="10"/>
  <c r="O74" i="10" s="1"/>
  <c r="H71" i="10"/>
  <c r="O71" i="10" s="1"/>
  <c r="L66" i="10"/>
  <c r="K63" i="10"/>
  <c r="H60" i="10"/>
  <c r="O60" i="10" s="1"/>
  <c r="L52" i="10"/>
  <c r="N44" i="10"/>
  <c r="J42" i="10"/>
  <c r="H39" i="10"/>
  <c r="O39" i="10" s="1"/>
  <c r="M34" i="10"/>
  <c r="K31" i="10"/>
  <c r="H28" i="10"/>
  <c r="M23" i="10"/>
  <c r="J71" i="10"/>
  <c r="J44" i="10"/>
  <c r="I23" i="10"/>
  <c r="L82" i="10"/>
  <c r="L79" i="10"/>
  <c r="K76" i="10"/>
  <c r="N68" i="10"/>
  <c r="K66" i="10"/>
  <c r="I63" i="10"/>
  <c r="N58" i="10"/>
  <c r="N55" i="10"/>
  <c r="J52" i="10"/>
  <c r="L44" i="10"/>
  <c r="H42" i="10"/>
  <c r="O42" i="10" s="1"/>
  <c r="K34" i="10"/>
  <c r="I31" i="10"/>
  <c r="N26" i="10"/>
  <c r="K23" i="10"/>
  <c r="J58" i="10"/>
  <c r="I42" i="10"/>
  <c r="N74" i="10"/>
  <c r="K82" i="10"/>
  <c r="K79" i="10"/>
  <c r="I76" i="10"/>
  <c r="M68" i="10"/>
  <c r="J66" i="10"/>
  <c r="H63" i="10"/>
  <c r="M58" i="10"/>
  <c r="M55" i="10"/>
  <c r="I52" i="10"/>
  <c r="N47" i="10"/>
  <c r="K44" i="10"/>
  <c r="N36" i="10"/>
  <c r="J34" i="10"/>
  <c r="H31" i="10"/>
  <c r="M26" i="10"/>
  <c r="J23" i="10"/>
  <c r="J68" i="10"/>
  <c r="H55" i="10"/>
  <c r="O55" i="10" s="1"/>
  <c r="J39" i="10"/>
  <c r="J82" i="10"/>
  <c r="I79" i="10"/>
  <c r="H76" i="10"/>
  <c r="O76" i="10" s="1"/>
  <c r="N71" i="10"/>
  <c r="L68" i="10"/>
  <c r="H66" i="10"/>
  <c r="O66" i="10" s="1"/>
  <c r="N60" i="10"/>
  <c r="L58" i="10"/>
  <c r="L55" i="10"/>
  <c r="N50" i="10"/>
  <c r="L47" i="10"/>
  <c r="I44" i="10"/>
  <c r="L36" i="10"/>
  <c r="H34" i="10"/>
  <c r="K26" i="10"/>
  <c r="J36" i="10"/>
  <c r="H82" i="10"/>
  <c r="O82" i="10" s="1"/>
  <c r="H79" i="10"/>
  <c r="O79" i="10" s="1"/>
  <c r="M74" i="10"/>
  <c r="M71" i="10"/>
  <c r="K68" i="10"/>
  <c r="M60" i="10"/>
  <c r="K58" i="10"/>
  <c r="J55" i="10"/>
  <c r="M50" i="10"/>
  <c r="K47" i="10"/>
  <c r="N39" i="10"/>
  <c r="K36" i="10"/>
  <c r="N28" i="10"/>
  <c r="J26" i="10"/>
  <c r="H52" i="10"/>
  <c r="O52" i="10" s="1"/>
  <c r="L74" i="10"/>
  <c r="L71" i="10"/>
  <c r="I68" i="10"/>
  <c r="N63" i="10"/>
  <c r="L60" i="10"/>
  <c r="I58" i="10"/>
  <c r="K50" i="10"/>
  <c r="I47" i="10"/>
  <c r="N42" i="10"/>
  <c r="L39" i="10"/>
  <c r="I36" i="10"/>
  <c r="L28" i="10"/>
  <c r="J63" i="10"/>
  <c r="J31" i="10"/>
  <c r="N76" i="10"/>
  <c r="J50" i="10"/>
  <c r="K28" i="10"/>
  <c r="I82" i="10"/>
  <c r="I74" i="10"/>
  <c r="I66" i="10"/>
  <c r="K55" i="10"/>
  <c r="K52" i="10"/>
  <c r="L50" i="10"/>
  <c r="M47" i="10"/>
  <c r="M44" i="10"/>
  <c r="L42" i="10"/>
  <c r="M39" i="10"/>
  <c r="M36" i="10"/>
  <c r="L34" i="10"/>
  <c r="M31" i="10"/>
  <c r="M28" i="10"/>
  <c r="L26" i="10"/>
  <c r="L23" i="10"/>
  <c r="M83" i="10"/>
  <c r="M51" i="10"/>
  <c r="L80" i="10"/>
  <c r="N72" i="10"/>
  <c r="K65" i="10"/>
  <c r="H64" i="10"/>
  <c r="O64" i="10" s="1"/>
  <c r="J56" i="10"/>
  <c r="L48" i="10"/>
  <c r="M40" i="10"/>
  <c r="N32" i="10"/>
  <c r="I25" i="10"/>
  <c r="L57" i="10"/>
  <c r="K80" i="10"/>
  <c r="M72" i="10"/>
  <c r="I65" i="10"/>
  <c r="M57" i="10"/>
  <c r="I56" i="10"/>
  <c r="K48" i="10"/>
  <c r="L40" i="10"/>
  <c r="M32" i="10"/>
  <c r="N24" i="10"/>
  <c r="L25" i="10"/>
  <c r="M81" i="10"/>
  <c r="L24" i="10"/>
  <c r="K81" i="10"/>
  <c r="H80" i="10"/>
  <c r="O80" i="10" s="1"/>
  <c r="M75" i="10"/>
  <c r="J72" i="10"/>
  <c r="L64" i="10"/>
  <c r="N56" i="10"/>
  <c r="K49" i="10"/>
  <c r="H48" i="10"/>
  <c r="O48" i="10" s="1"/>
  <c r="M43" i="10"/>
  <c r="I40" i="10"/>
  <c r="J32" i="10"/>
  <c r="K24" i="10"/>
  <c r="M49" i="10"/>
  <c r="M73" i="10"/>
  <c r="I72" i="10"/>
  <c r="K64" i="10"/>
  <c r="M56" i="10"/>
  <c r="K41" i="10"/>
  <c r="H40" i="10"/>
  <c r="O40" i="10" s="1"/>
  <c r="M35" i="10"/>
  <c r="I32" i="10"/>
  <c r="J24" i="10"/>
  <c r="N80" i="10"/>
  <c r="K73" i="10"/>
  <c r="M67" i="10"/>
  <c r="J64" i="10"/>
  <c r="L56" i="10"/>
  <c r="N48" i="10"/>
  <c r="K33" i="10"/>
  <c r="M27" i="10"/>
  <c r="I24" i="10"/>
  <c r="L83" i="10"/>
  <c r="J81" i="10"/>
  <c r="N77" i="10"/>
  <c r="L75" i="10"/>
  <c r="J73" i="10"/>
  <c r="N69" i="10"/>
  <c r="L67" i="10"/>
  <c r="J65" i="10"/>
  <c r="N61" i="10"/>
  <c r="L59" i="10"/>
  <c r="J57" i="10"/>
  <c r="N53" i="10"/>
  <c r="L51" i="10"/>
  <c r="J49" i="10"/>
  <c r="N45" i="10"/>
  <c r="L43" i="10"/>
  <c r="J41" i="10"/>
  <c r="N37" i="10"/>
  <c r="L35" i="10"/>
  <c r="J33" i="10"/>
  <c r="N29" i="10"/>
  <c r="L27" i="10"/>
  <c r="J25" i="10"/>
  <c r="N21" i="10"/>
  <c r="J83" i="10"/>
  <c r="H81" i="10"/>
  <c r="O81" i="10" s="1"/>
  <c r="L77" i="10"/>
  <c r="J75" i="10"/>
  <c r="H73" i="10"/>
  <c r="O73" i="10" s="1"/>
  <c r="L69" i="10"/>
  <c r="J67" i="10"/>
  <c r="H65" i="10"/>
  <c r="O65" i="10" s="1"/>
  <c r="L61" i="10"/>
  <c r="J59" i="10"/>
  <c r="H57" i="10"/>
  <c r="O57" i="10" s="1"/>
  <c r="L53" i="10"/>
  <c r="J51" i="10"/>
  <c r="H49" i="10"/>
  <c r="O49" i="10" s="1"/>
  <c r="L45" i="10"/>
  <c r="J43" i="10"/>
  <c r="H41" i="10"/>
  <c r="O41" i="10" s="1"/>
  <c r="L37" i="10"/>
  <c r="J35" i="10"/>
  <c r="H33" i="10"/>
  <c r="L29" i="10"/>
  <c r="J27" i="10"/>
  <c r="H25" i="10"/>
  <c r="L21" i="10"/>
  <c r="I83" i="10"/>
  <c r="K77" i="10"/>
  <c r="I75" i="10"/>
  <c r="K69" i="10"/>
  <c r="I67" i="10"/>
  <c r="K61" i="10"/>
  <c r="I59" i="10"/>
  <c r="K53" i="10"/>
  <c r="I51" i="10"/>
  <c r="K45" i="10"/>
  <c r="I43" i="10"/>
  <c r="K37" i="10"/>
  <c r="I35" i="10"/>
  <c r="K29" i="10"/>
  <c r="I27" i="10"/>
  <c r="K21" i="10"/>
  <c r="H83" i="10"/>
  <c r="O83" i="10" s="1"/>
  <c r="N81" i="10"/>
  <c r="J77" i="10"/>
  <c r="H75" i="10"/>
  <c r="O75" i="10" s="1"/>
  <c r="N73" i="10"/>
  <c r="J69" i="10"/>
  <c r="H67" i="10"/>
  <c r="O67" i="10" s="1"/>
  <c r="N65" i="10"/>
  <c r="J61" i="10"/>
  <c r="H59" i="10"/>
  <c r="O59" i="10" s="1"/>
  <c r="N57" i="10"/>
  <c r="J53" i="10"/>
  <c r="H51" i="10"/>
  <c r="O51" i="10" s="1"/>
  <c r="N49" i="10"/>
  <c r="J45" i="10"/>
  <c r="H43" i="10"/>
  <c r="O43" i="10" s="1"/>
  <c r="N41" i="10"/>
  <c r="J37" i="10"/>
  <c r="H35" i="10"/>
  <c r="N33" i="10"/>
  <c r="J29" i="10"/>
  <c r="H27" i="10"/>
  <c r="N25" i="10"/>
  <c r="J21" i="10"/>
  <c r="M33" i="10"/>
  <c r="M25" i="10"/>
  <c r="M41" i="10"/>
  <c r="O63" i="10"/>
  <c r="W31" i="10"/>
  <c r="K12" i="10"/>
  <c r="Z23" i="10"/>
  <c r="K14" i="10"/>
  <c r="K13" i="10"/>
  <c r="W38" i="10"/>
  <c r="V40" i="10"/>
  <c r="X41" i="10"/>
  <c r="Y43" i="10"/>
  <c r="T46" i="10"/>
  <c r="AA46" i="10" s="1"/>
  <c r="V47" i="10"/>
  <c r="V49" i="10"/>
  <c r="T51" i="10"/>
  <c r="AA51" i="10" s="1"/>
  <c r="Z54" i="10"/>
  <c r="K11" i="10"/>
  <c r="Z21" i="10"/>
  <c r="Y25" i="10"/>
  <c r="K16" i="10"/>
  <c r="K15" i="10"/>
  <c r="Y28" i="10"/>
  <c r="Z35" i="10"/>
  <c r="Y36" i="10"/>
  <c r="T27" i="10"/>
  <c r="V31" i="10"/>
  <c r="X43" i="10"/>
  <c r="T21" i="10"/>
  <c r="Y70" i="10"/>
  <c r="X29" i="10"/>
  <c r="Y31" i="10"/>
  <c r="T67" i="10"/>
  <c r="AA67" i="10" s="1"/>
  <c r="Y23" i="10"/>
  <c r="Z24" i="10"/>
  <c r="X25" i="10"/>
  <c r="V27" i="10"/>
  <c r="X33" i="10"/>
  <c r="X35" i="10"/>
  <c r="Z44" i="10"/>
  <c r="U52" i="10"/>
  <c r="Y22" i="10"/>
  <c r="X27" i="10"/>
  <c r="W28" i="10"/>
  <c r="W36" i="10"/>
  <c r="Y37" i="10"/>
  <c r="U40" i="10"/>
  <c r="W21" i="10"/>
  <c r="Y20" i="10"/>
  <c r="X28" i="10"/>
  <c r="X36" i="10"/>
  <c r="W27" i="10"/>
  <c r="Y34" i="10"/>
  <c r="X21" i="10"/>
  <c r="W30" i="10"/>
  <c r="X39" i="10"/>
  <c r="Y40" i="10"/>
  <c r="Y29" i="10"/>
  <c r="Z69" i="10"/>
  <c r="V21" i="10"/>
  <c r="Y26" i="10"/>
  <c r="Y32" i="10"/>
  <c r="X38" i="10"/>
  <c r="Z42" i="10"/>
  <c r="V76" i="10"/>
  <c r="V74" i="10"/>
  <c r="V82" i="10"/>
  <c r="V78" i="10"/>
  <c r="V68" i="10"/>
  <c r="V41" i="10"/>
  <c r="V33" i="10"/>
  <c r="V60" i="10"/>
  <c r="V20" i="10"/>
  <c r="V22" i="10"/>
  <c r="U23" i="10"/>
  <c r="T24" i="10"/>
  <c r="Z26" i="10"/>
  <c r="Y27" i="10"/>
  <c r="Z28" i="10"/>
  <c r="U29" i="10"/>
  <c r="Z29" i="10"/>
  <c r="X30" i="10"/>
  <c r="U32" i="10"/>
  <c r="Z33" i="10"/>
  <c r="X34" i="10"/>
  <c r="U34" i="10"/>
  <c r="Y35" i="10"/>
  <c r="V37" i="10"/>
  <c r="T39" i="10"/>
  <c r="AA39" i="10" s="1"/>
  <c r="X40" i="10"/>
  <c r="V42" i="10"/>
  <c r="U44" i="10"/>
  <c r="X57" i="10"/>
  <c r="U57" i="10"/>
  <c r="T57" i="10"/>
  <c r="AA57" i="10" s="1"/>
  <c r="Z57" i="10"/>
  <c r="Y57" i="10"/>
  <c r="V58" i="10"/>
  <c r="Y63" i="10"/>
  <c r="X68" i="10"/>
  <c r="V73" i="10"/>
  <c r="W82" i="10"/>
  <c r="W74" i="10"/>
  <c r="W66" i="10"/>
  <c r="W58" i="10"/>
  <c r="W80" i="10"/>
  <c r="W81" i="10"/>
  <c r="W72" i="10"/>
  <c r="W77" i="10"/>
  <c r="W69" i="10"/>
  <c r="W50" i="10"/>
  <c r="W83" i="10"/>
  <c r="W61" i="10"/>
  <c r="W20" i="10"/>
  <c r="W22" i="10"/>
  <c r="V23" i="10"/>
  <c r="U24" i="10"/>
  <c r="T25" i="10"/>
  <c r="Z27" i="10"/>
  <c r="V28" i="10"/>
  <c r="T29" i="10"/>
  <c r="AA29" i="10" s="1"/>
  <c r="Z30" i="10"/>
  <c r="X31" i="10"/>
  <c r="V32" i="10"/>
  <c r="T34" i="10"/>
  <c r="AA34" i="10" s="1"/>
  <c r="V36" i="10"/>
  <c r="W37" i="10"/>
  <c r="U39" i="10"/>
  <c r="Y41" i="10"/>
  <c r="W42" i="10"/>
  <c r="V44" i="10"/>
  <c r="V54" i="10"/>
  <c r="Z55" i="10"/>
  <c r="W55" i="10"/>
  <c r="V55" i="10"/>
  <c r="T55" i="10"/>
  <c r="AA55" i="10" s="1"/>
  <c r="U55" i="10"/>
  <c r="T56" i="10"/>
  <c r="AA56" i="10" s="1"/>
  <c r="Y71" i="10"/>
  <c r="Y79" i="10"/>
  <c r="X77" i="10"/>
  <c r="X61" i="10"/>
  <c r="X74" i="10"/>
  <c r="X72" i="10"/>
  <c r="X58" i="10"/>
  <c r="X56" i="10"/>
  <c r="X82" i="10"/>
  <c r="X53" i="10"/>
  <c r="X66" i="10"/>
  <c r="X64" i="10"/>
  <c r="X80" i="10"/>
  <c r="X60" i="10"/>
  <c r="X76" i="10"/>
  <c r="X20" i="10"/>
  <c r="Y21" i="10"/>
  <c r="X22" i="10"/>
  <c r="W23" i="10"/>
  <c r="V24" i="10"/>
  <c r="U25" i="10"/>
  <c r="T26" i="10"/>
  <c r="V29" i="10"/>
  <c r="T31" i="10"/>
  <c r="AA31" i="10" s="1"/>
  <c r="X32" i="10"/>
  <c r="V34" i="10"/>
  <c r="T36" i="10"/>
  <c r="AA36" i="10" s="1"/>
  <c r="X37" i="10"/>
  <c r="T38" i="10"/>
  <c r="AA38" i="10" s="1"/>
  <c r="V39" i="10"/>
  <c r="T41" i="10"/>
  <c r="AA41" i="10" s="1"/>
  <c r="Y42" i="10"/>
  <c r="W43" i="10"/>
  <c r="T43" i="10"/>
  <c r="AA43" i="10" s="1"/>
  <c r="Y44" i="10"/>
  <c r="V45" i="10"/>
  <c r="Y45" i="10"/>
  <c r="U45" i="10"/>
  <c r="T45" i="10"/>
  <c r="AA45" i="10" s="1"/>
  <c r="U50" i="10"/>
  <c r="Y54" i="10"/>
  <c r="W56" i="10"/>
  <c r="X65" i="10"/>
  <c r="U65" i="10"/>
  <c r="T65" i="10"/>
  <c r="AA65" i="10" s="1"/>
  <c r="Z65" i="10"/>
  <c r="Y65" i="10"/>
  <c r="V65" i="10"/>
  <c r="V66" i="10"/>
  <c r="X70" i="10"/>
  <c r="W70" i="10"/>
  <c r="U70" i="10"/>
  <c r="Z70" i="10"/>
  <c r="T70" i="10"/>
  <c r="AA70" i="10" s="1"/>
  <c r="Z80" i="10"/>
  <c r="X23" i="10"/>
  <c r="W24" i="10"/>
  <c r="V25" i="10"/>
  <c r="U26" i="10"/>
  <c r="T28" i="10"/>
  <c r="AA28" i="10" s="1"/>
  <c r="W29" i="10"/>
  <c r="U31" i="10"/>
  <c r="Y33" i="10"/>
  <c r="W34" i="10"/>
  <c r="U36" i="10"/>
  <c r="U38" i="10"/>
  <c r="W39" i="10"/>
  <c r="U41" i="10"/>
  <c r="U43" i="10"/>
  <c r="W45" i="10"/>
  <c r="T49" i="10"/>
  <c r="AA49" i="10" s="1"/>
  <c r="V50" i="10"/>
  <c r="U53" i="10"/>
  <c r="Y58" i="10"/>
  <c r="Y75" i="10"/>
  <c r="Z77" i="10"/>
  <c r="Z82" i="10"/>
  <c r="Z78" i="10"/>
  <c r="Z66" i="10"/>
  <c r="Z64" i="10"/>
  <c r="Z62" i="10"/>
  <c r="Z61" i="10"/>
  <c r="Z74" i="10"/>
  <c r="Z72" i="10"/>
  <c r="Z58" i="10"/>
  <c r="Z56" i="10"/>
  <c r="Z20" i="10"/>
  <c r="Z22" i="10"/>
  <c r="X24" i="10"/>
  <c r="W25" i="10"/>
  <c r="V26" i="10"/>
  <c r="U27" i="10"/>
  <c r="U28" i="10"/>
  <c r="T30" i="10"/>
  <c r="AA30" i="10" s="1"/>
  <c r="T33" i="10"/>
  <c r="AA33" i="10" s="1"/>
  <c r="W35" i="10"/>
  <c r="T35" i="10"/>
  <c r="AA35" i="10" s="1"/>
  <c r="V38" i="10"/>
  <c r="Y39" i="10"/>
  <c r="Z40" i="10"/>
  <c r="W40" i="10"/>
  <c r="W41" i="10"/>
  <c r="V43" i="10"/>
  <c r="X45" i="10"/>
  <c r="U48" i="10"/>
  <c r="X50" i="10"/>
  <c r="X51" i="10"/>
  <c r="Z51" i="10"/>
  <c r="V51" i="10"/>
  <c r="U51" i="10"/>
  <c r="W51" i="10"/>
  <c r="Z52" i="10"/>
  <c r="W52" i="10"/>
  <c r="T52" i="10"/>
  <c r="AA52" i="10" s="1"/>
  <c r="Y52" i="10"/>
  <c r="V52" i="10"/>
  <c r="W53" i="10"/>
  <c r="X54" i="10"/>
  <c r="W54" i="10"/>
  <c r="U54" i="10"/>
  <c r="T54" i="10"/>
  <c r="AA54" i="10" s="1"/>
  <c r="V57" i="10"/>
  <c r="T59" i="10"/>
  <c r="AA59" i="10" s="1"/>
  <c r="W64" i="10"/>
  <c r="U83" i="10"/>
  <c r="Y24" i="10"/>
  <c r="W26" i="10"/>
  <c r="U30" i="10"/>
  <c r="U33" i="10"/>
  <c r="Z34" i="10"/>
  <c r="U35" i="10"/>
  <c r="Z39" i="10"/>
  <c r="T40" i="10"/>
  <c r="AA40" i="10" s="1"/>
  <c r="Z45" i="10"/>
  <c r="U46" i="10"/>
  <c r="Z46" i="10"/>
  <c r="W46" i="10"/>
  <c r="V46" i="10"/>
  <c r="X46" i="10"/>
  <c r="W47" i="10"/>
  <c r="T47" i="10"/>
  <c r="AA47" i="10" s="1"/>
  <c r="U47" i="10"/>
  <c r="Z47" i="10"/>
  <c r="X47" i="10"/>
  <c r="W48" i="10"/>
  <c r="U49" i="10"/>
  <c r="Z49" i="10"/>
  <c r="X49" i="10"/>
  <c r="W49" i="10"/>
  <c r="Y49" i="10"/>
  <c r="Z50" i="10"/>
  <c r="Y51" i="10"/>
  <c r="X52" i="10"/>
  <c r="Z53" i="10"/>
  <c r="Y56" i="10"/>
  <c r="W57" i="10"/>
  <c r="Y62" i="10"/>
  <c r="Y66" i="10"/>
  <c r="U71" i="10"/>
  <c r="T77" i="10"/>
  <c r="AA77" i="10" s="1"/>
  <c r="T69" i="10"/>
  <c r="AA69" i="10" s="1"/>
  <c r="T61" i="10"/>
  <c r="AA61" i="10" s="1"/>
  <c r="T74" i="10"/>
  <c r="AA74" i="10" s="1"/>
  <c r="T66" i="10"/>
  <c r="AA66" i="10" s="1"/>
  <c r="T58" i="10"/>
  <c r="AA58" i="10" s="1"/>
  <c r="T50" i="10"/>
  <c r="AA50" i="10" s="1"/>
  <c r="T60" i="10"/>
  <c r="AA60" i="10" s="1"/>
  <c r="T76" i="10"/>
  <c r="AA76" i="10" s="1"/>
  <c r="T75" i="10"/>
  <c r="AA75" i="10" s="1"/>
  <c r="T72" i="10"/>
  <c r="AA72" i="10" s="1"/>
  <c r="T78" i="10"/>
  <c r="AA78" i="10" s="1"/>
  <c r="T68" i="10"/>
  <c r="AA68" i="10" s="1"/>
  <c r="T64" i="10"/>
  <c r="AA64" i="10" s="1"/>
  <c r="T53" i="10"/>
  <c r="AA53" i="10" s="1"/>
  <c r="T80" i="10"/>
  <c r="AA80" i="10" s="1"/>
  <c r="T62" i="10"/>
  <c r="AA62" i="10" s="1"/>
  <c r="T20" i="10"/>
  <c r="U21" i="10"/>
  <c r="T22" i="10"/>
  <c r="X26" i="10"/>
  <c r="V30" i="10"/>
  <c r="Z32" i="10"/>
  <c r="W32" i="10"/>
  <c r="W33" i="10"/>
  <c r="V35" i="10"/>
  <c r="U37" i="10"/>
  <c r="Z37" i="10"/>
  <c r="Z41" i="10"/>
  <c r="X42" i="10"/>
  <c r="U42" i="10"/>
  <c r="Y46" i="10"/>
  <c r="Y47" i="10"/>
  <c r="Y48" i="10"/>
  <c r="X55" i="10"/>
  <c r="Y67" i="10"/>
  <c r="V70" i="10"/>
  <c r="U79" i="10"/>
  <c r="U82" i="10"/>
  <c r="U61" i="10"/>
  <c r="U74" i="10"/>
  <c r="U77" i="10"/>
  <c r="U69" i="10"/>
  <c r="U66" i="10"/>
  <c r="U63" i="10"/>
  <c r="U20" i="10"/>
  <c r="U22" i="10"/>
  <c r="T23" i="10"/>
  <c r="Z25" i="10"/>
  <c r="Z31" i="10"/>
  <c r="T32" i="10"/>
  <c r="AA32" i="10" s="1"/>
  <c r="Z36" i="10"/>
  <c r="T37" i="10"/>
  <c r="AA37" i="10" s="1"/>
  <c r="Z38" i="10"/>
  <c r="T42" i="10"/>
  <c r="AA42" i="10" s="1"/>
  <c r="Z43" i="10"/>
  <c r="W44" i="10"/>
  <c r="X44" i="10"/>
  <c r="T44" i="10"/>
  <c r="AA44" i="10" s="1"/>
  <c r="Z48" i="10"/>
  <c r="Y55" i="10"/>
  <c r="U58" i="10"/>
  <c r="Y59" i="10"/>
  <c r="Y64" i="10"/>
  <c r="W65" i="10"/>
  <c r="Y80" i="10"/>
  <c r="V48" i="10"/>
  <c r="Y53" i="10"/>
  <c r="W59" i="10"/>
  <c r="U60" i="10"/>
  <c r="Y61" i="10"/>
  <c r="W75" i="10"/>
  <c r="U76" i="10"/>
  <c r="X81" i="10"/>
  <c r="V81" i="10"/>
  <c r="U81" i="10"/>
  <c r="T81" i="10"/>
  <c r="AA81" i="10" s="1"/>
  <c r="Z81" i="10"/>
  <c r="Y30" i="10"/>
  <c r="Y38" i="10"/>
  <c r="T48" i="10"/>
  <c r="AA48" i="10" s="1"/>
  <c r="Y50" i="10"/>
  <c r="X62" i="10"/>
  <c r="W62" i="10"/>
  <c r="U62" i="10"/>
  <c r="V62" i="10"/>
  <c r="Z63" i="10"/>
  <c r="W63" i="10"/>
  <c r="V63" i="10"/>
  <c r="T63" i="10"/>
  <c r="AA63" i="10" s="1"/>
  <c r="X63" i="10"/>
  <c r="V67" i="10"/>
  <c r="Z67" i="10"/>
  <c r="X67" i="10"/>
  <c r="U67" i="10"/>
  <c r="Z79" i="10"/>
  <c r="X79" i="10"/>
  <c r="W79" i="10"/>
  <c r="V79" i="10"/>
  <c r="T79" i="10"/>
  <c r="AA79" i="10" s="1"/>
  <c r="X48" i="10"/>
  <c r="W67" i="10"/>
  <c r="U68" i="10"/>
  <c r="Y69" i="10"/>
  <c r="V83" i="10"/>
  <c r="T83" i="10"/>
  <c r="AA83" i="10" s="1"/>
  <c r="Z83" i="10"/>
  <c r="X83" i="10"/>
  <c r="Y83" i="10"/>
  <c r="Z71" i="10"/>
  <c r="W71" i="10"/>
  <c r="V71" i="10"/>
  <c r="T71" i="10"/>
  <c r="AA71" i="10" s="1"/>
  <c r="X71" i="10"/>
  <c r="Y78" i="10"/>
  <c r="Y72" i="10"/>
  <c r="X73" i="10"/>
  <c r="U73" i="10"/>
  <c r="T73" i="10"/>
  <c r="AA73" i="10" s="1"/>
  <c r="Z73" i="10"/>
  <c r="W73" i="10"/>
  <c r="Y74" i="10"/>
  <c r="Y77" i="10"/>
  <c r="T82" i="10"/>
  <c r="AA82" i="10" s="1"/>
  <c r="V59" i="10"/>
  <c r="Z59" i="10"/>
  <c r="X59" i="10"/>
  <c r="U59" i="10"/>
  <c r="Y73" i="10"/>
  <c r="V75" i="10"/>
  <c r="Z75" i="10"/>
  <c r="X75" i="10"/>
  <c r="U75" i="10"/>
  <c r="Y81" i="10"/>
  <c r="V53" i="10"/>
  <c r="W60" i="10"/>
  <c r="V61" i="10"/>
  <c r="W68" i="10"/>
  <c r="V69" i="10"/>
  <c r="W76" i="10"/>
  <c r="V77" i="10"/>
  <c r="U78" i="10"/>
  <c r="Y82" i="10"/>
  <c r="U56" i="10"/>
  <c r="Y60" i="10"/>
  <c r="U64" i="10"/>
  <c r="Y68" i="10"/>
  <c r="X69" i="10"/>
  <c r="U72" i="10"/>
  <c r="Y76" i="10"/>
  <c r="W78" i="10"/>
  <c r="U80" i="10"/>
  <c r="V56" i="10"/>
  <c r="Z60" i="10"/>
  <c r="V64" i="10"/>
  <c r="Z68" i="10"/>
  <c r="V72" i="10"/>
  <c r="Z76" i="10"/>
  <c r="X78" i="10"/>
  <c r="V80" i="10"/>
  <c r="L83" i="9"/>
  <c r="P80" i="9"/>
  <c r="P41" i="9"/>
  <c r="P49" i="9"/>
  <c r="L67" i="9"/>
  <c r="P57" i="9"/>
  <c r="P81" i="9"/>
  <c r="T43" i="9"/>
  <c r="T76" i="9"/>
  <c r="T60" i="9"/>
  <c r="T22" i="9"/>
  <c r="S39" i="9"/>
  <c r="S80" i="9"/>
  <c r="S64" i="9"/>
  <c r="S26" i="9"/>
  <c r="U39" i="9"/>
  <c r="U80" i="9"/>
  <c r="W54" i="9"/>
  <c r="X38" i="9"/>
  <c r="X79" i="9"/>
  <c r="X65" i="9"/>
  <c r="X58" i="9"/>
  <c r="P21" i="9"/>
  <c r="S42" i="9"/>
  <c r="V50" i="9"/>
  <c r="S81" i="9"/>
  <c r="S71" i="9"/>
  <c r="T61" i="9"/>
  <c r="S55" i="9"/>
  <c r="S36" i="9"/>
  <c r="X20" i="9"/>
  <c r="R29" i="9"/>
  <c r="Y29" i="9" s="1"/>
  <c r="R83" i="9"/>
  <c r="Y83" i="9" s="1"/>
  <c r="R74" i="9"/>
  <c r="Y74" i="9" s="1"/>
  <c r="S43" i="9"/>
  <c r="S76" i="9"/>
  <c r="S60" i="9"/>
  <c r="S22" i="9"/>
  <c r="U43" i="9"/>
  <c r="U76" i="9"/>
  <c r="U64" i="9"/>
  <c r="U26" i="9"/>
  <c r="V39" i="9"/>
  <c r="V80" i="9"/>
  <c r="X54" i="9"/>
  <c r="P36" i="9"/>
  <c r="R30" i="9"/>
  <c r="Y30" i="9" s="1"/>
  <c r="R37" i="9"/>
  <c r="Y37" i="9" s="1"/>
  <c r="T38" i="9"/>
  <c r="T79" i="9"/>
  <c r="T65" i="9"/>
  <c r="T54" i="9"/>
  <c r="S29" i="9"/>
  <c r="S83" i="9"/>
  <c r="S74" i="9"/>
  <c r="S58" i="9"/>
  <c r="U29" i="9"/>
  <c r="U83" i="9"/>
  <c r="U74" i="9"/>
  <c r="W60" i="9"/>
  <c r="W22" i="9"/>
  <c r="X64" i="9"/>
  <c r="X26" i="9"/>
  <c r="P34" i="9"/>
  <c r="N32" i="9"/>
  <c r="O73" i="9"/>
  <c r="N48" i="9"/>
  <c r="P51" i="9"/>
  <c r="O25" i="9"/>
  <c r="N31" i="9"/>
  <c r="N45" i="9"/>
  <c r="O32" i="9"/>
  <c r="P22" i="9"/>
  <c r="P27" i="9"/>
  <c r="R25" i="9"/>
  <c r="U77" i="9"/>
  <c r="S82" i="9"/>
  <c r="U50" i="9"/>
  <c r="W50" i="9"/>
  <c r="X50" i="9"/>
  <c r="R50" i="9"/>
  <c r="Y50" i="9" s="1"/>
  <c r="R36" i="9"/>
  <c r="Y36" i="9" s="1"/>
  <c r="T50" i="9"/>
  <c r="S50" i="9"/>
  <c r="U36" i="9"/>
  <c r="V36" i="9"/>
  <c r="W36" i="9"/>
  <c r="X36" i="9"/>
  <c r="S61" i="9"/>
  <c r="R42" i="9"/>
  <c r="Y42" i="9" s="1"/>
  <c r="R71" i="9"/>
  <c r="Y71" i="9" s="1"/>
  <c r="T36" i="9"/>
  <c r="U71" i="9"/>
  <c r="V71" i="9"/>
  <c r="W71" i="9"/>
  <c r="X71" i="9"/>
  <c r="T71" i="9"/>
  <c r="U42" i="9"/>
  <c r="V42" i="9"/>
  <c r="W42" i="9"/>
  <c r="X42" i="9"/>
  <c r="R55" i="9"/>
  <c r="Y55" i="9" s="1"/>
  <c r="T42" i="9"/>
  <c r="U55" i="9"/>
  <c r="V55" i="9"/>
  <c r="W55" i="9"/>
  <c r="X55" i="9"/>
  <c r="R81" i="9"/>
  <c r="Y81" i="9" s="1"/>
  <c r="T55" i="9"/>
  <c r="U81" i="9"/>
  <c r="V81" i="9"/>
  <c r="W81" i="9"/>
  <c r="X81" i="9"/>
  <c r="S20" i="9"/>
  <c r="T81" i="9"/>
  <c r="U20" i="9"/>
  <c r="V20" i="9"/>
  <c r="W20" i="9"/>
  <c r="X66" i="9"/>
  <c r="S66" i="9"/>
  <c r="T66" i="9"/>
  <c r="W66" i="9"/>
  <c r="V66" i="9"/>
  <c r="U66" i="9"/>
  <c r="U32" i="9"/>
  <c r="S48" i="9"/>
  <c r="T48" i="9"/>
  <c r="U73" i="9"/>
  <c r="W25" i="9"/>
  <c r="X25" i="9"/>
  <c r="X30" i="9"/>
  <c r="W30" i="9"/>
  <c r="V30" i="9"/>
  <c r="U30" i="9"/>
  <c r="S30" i="9"/>
  <c r="T30" i="9"/>
  <c r="X49" i="9"/>
  <c r="W49" i="9"/>
  <c r="V49" i="9"/>
  <c r="S49" i="9"/>
  <c r="T49" i="9"/>
  <c r="X27" i="9"/>
  <c r="S27" i="9"/>
  <c r="T27" i="9"/>
  <c r="W27" i="9"/>
  <c r="V27" i="9"/>
  <c r="U27" i="9"/>
  <c r="T28" i="9"/>
  <c r="R72" i="9"/>
  <c r="Y72" i="9" s="1"/>
  <c r="T32" i="9"/>
  <c r="U45" i="9"/>
  <c r="U28" i="9"/>
  <c r="V32" i="9"/>
  <c r="V28" i="9"/>
  <c r="W32" i="9"/>
  <c r="W28" i="9"/>
  <c r="X32" i="9"/>
  <c r="X28" i="9"/>
  <c r="R28" i="9"/>
  <c r="Y28" i="9" s="1"/>
  <c r="T25" i="9"/>
  <c r="T73" i="9"/>
  <c r="V25" i="9"/>
  <c r="V73" i="9"/>
  <c r="W73" i="9"/>
  <c r="X73" i="9"/>
  <c r="S37" i="9"/>
  <c r="T37" i="9"/>
  <c r="X37" i="9"/>
  <c r="W37" i="9"/>
  <c r="V37" i="9"/>
  <c r="U37" i="9"/>
  <c r="X77" i="9"/>
  <c r="S77" i="9"/>
  <c r="T77" i="9"/>
  <c r="W77" i="9"/>
  <c r="V77" i="9"/>
  <c r="W67" i="9"/>
  <c r="V67" i="9"/>
  <c r="U67" i="9"/>
  <c r="S67" i="9"/>
  <c r="T67" i="9"/>
  <c r="X67" i="9"/>
  <c r="X57" i="9"/>
  <c r="W57" i="9"/>
  <c r="V57" i="9"/>
  <c r="U57" i="9"/>
  <c r="S57" i="9"/>
  <c r="T57" i="9"/>
  <c r="R73" i="9"/>
  <c r="Y73" i="9" s="1"/>
  <c r="R66" i="9"/>
  <c r="Y66" i="9" s="1"/>
  <c r="U49" i="9"/>
  <c r="R32" i="9"/>
  <c r="Y32" i="9" s="1"/>
  <c r="R67" i="9"/>
  <c r="Y67" i="9" s="1"/>
  <c r="T45" i="9"/>
  <c r="U31" i="9"/>
  <c r="U48" i="9"/>
  <c r="V45" i="9"/>
  <c r="V48" i="9"/>
  <c r="W45" i="9"/>
  <c r="W48" i="9"/>
  <c r="X45" i="9"/>
  <c r="X48" i="9"/>
  <c r="R45" i="9"/>
  <c r="Y45" i="9" s="1"/>
  <c r="R77" i="9"/>
  <c r="Y77" i="9" s="1"/>
  <c r="R31" i="9"/>
  <c r="Y31" i="9" s="1"/>
  <c r="R49" i="9"/>
  <c r="Y49" i="9" s="1"/>
  <c r="T31" i="9"/>
  <c r="T72" i="9"/>
  <c r="U25" i="9"/>
  <c r="U72" i="9"/>
  <c r="V31" i="9"/>
  <c r="V72" i="9"/>
  <c r="W31" i="9"/>
  <c r="W72" i="9"/>
  <c r="X31" i="9"/>
  <c r="X72" i="9"/>
  <c r="R34" i="9"/>
  <c r="Y34" i="9" s="1"/>
  <c r="R35" i="9"/>
  <c r="Y35" i="9" s="1"/>
  <c r="R47" i="9"/>
  <c r="Y47" i="9" s="1"/>
  <c r="R82" i="9"/>
  <c r="Y82" i="9" s="1"/>
  <c r="R69" i="9"/>
  <c r="Y69" i="9" s="1"/>
  <c r="R68" i="9"/>
  <c r="Y68" i="9" s="1"/>
  <c r="R44" i="9"/>
  <c r="Y44" i="9" s="1"/>
  <c r="R23" i="9"/>
  <c r="U34" i="9"/>
  <c r="U35" i="9"/>
  <c r="U47" i="9"/>
  <c r="U82" i="9"/>
  <c r="U69" i="9"/>
  <c r="U68" i="9"/>
  <c r="U44" i="9"/>
  <c r="U23" i="9"/>
  <c r="V34" i="9"/>
  <c r="V35" i="9"/>
  <c r="V47" i="9"/>
  <c r="V82" i="9"/>
  <c r="V69" i="9"/>
  <c r="V68" i="9"/>
  <c r="V44" i="9"/>
  <c r="V23" i="9"/>
  <c r="W34" i="9"/>
  <c r="W35" i="9"/>
  <c r="W47" i="9"/>
  <c r="W82" i="9"/>
  <c r="W69" i="9"/>
  <c r="W68" i="9"/>
  <c r="W44" i="9"/>
  <c r="W23" i="9"/>
  <c r="X34" i="9"/>
  <c r="X35" i="9"/>
  <c r="X47" i="9"/>
  <c r="X82" i="9"/>
  <c r="X69" i="9"/>
  <c r="X68" i="9"/>
  <c r="X44" i="9"/>
  <c r="X23" i="9"/>
  <c r="T34" i="9"/>
  <c r="T35" i="9"/>
  <c r="T47" i="9"/>
  <c r="T82" i="9"/>
  <c r="T69" i="9"/>
  <c r="T68" i="9"/>
  <c r="T44" i="9"/>
  <c r="T23" i="9"/>
  <c r="L69" i="9"/>
  <c r="P68" i="9"/>
  <c r="P63" i="9"/>
  <c r="M32" i="9"/>
  <c r="M48" i="9"/>
  <c r="P73" i="9"/>
  <c r="N23" i="9"/>
  <c r="M73" i="9"/>
  <c r="N73" i="9"/>
  <c r="P25" i="9"/>
  <c r="N25" i="9"/>
  <c r="P35" i="9"/>
  <c r="P31" i="9"/>
  <c r="M34" i="9"/>
  <c r="N34" i="9"/>
  <c r="P45" i="9"/>
  <c r="M25" i="9"/>
  <c r="P72" i="9"/>
  <c r="M31" i="9"/>
  <c r="O35" i="9"/>
  <c r="P32" i="9"/>
  <c r="P47" i="9"/>
  <c r="M35" i="9"/>
  <c r="O45" i="9"/>
  <c r="P48" i="9"/>
  <c r="M45" i="9"/>
  <c r="M72" i="9"/>
  <c r="M28" i="9"/>
  <c r="N72" i="9"/>
  <c r="N28" i="9"/>
  <c r="O31" i="9"/>
  <c r="O72" i="9"/>
  <c r="O48" i="9"/>
  <c r="O28" i="9"/>
  <c r="M30" i="9"/>
  <c r="M37" i="9"/>
  <c r="M49" i="9"/>
  <c r="M77" i="9"/>
  <c r="M67" i="9"/>
  <c r="M66" i="9"/>
  <c r="M57" i="9"/>
  <c r="M27" i="9"/>
  <c r="N30" i="9"/>
  <c r="N37" i="9"/>
  <c r="N49" i="9"/>
  <c r="N77" i="9"/>
  <c r="N67" i="9"/>
  <c r="N66" i="9"/>
  <c r="N57" i="9"/>
  <c r="N27" i="9"/>
  <c r="O30" i="9"/>
  <c r="O37" i="9"/>
  <c r="O49" i="9"/>
  <c r="O77" i="9"/>
  <c r="O67" i="9"/>
  <c r="O66" i="9"/>
  <c r="O57" i="9"/>
  <c r="O27" i="9"/>
  <c r="P77" i="9"/>
  <c r="P67" i="9"/>
  <c r="P23" i="9"/>
  <c r="M40" i="9"/>
  <c r="M41" i="9"/>
  <c r="M51" i="9"/>
  <c r="M78" i="9"/>
  <c r="M63" i="9"/>
  <c r="M62" i="9"/>
  <c r="M53" i="9"/>
  <c r="M21" i="9"/>
  <c r="N40" i="9"/>
  <c r="N41" i="9"/>
  <c r="N51" i="9"/>
  <c r="N78" i="9"/>
  <c r="N63" i="9"/>
  <c r="N62" i="9"/>
  <c r="N53" i="9"/>
  <c r="N21" i="9"/>
  <c r="O40" i="9"/>
  <c r="O41" i="9"/>
  <c r="O51" i="9"/>
  <c r="O78" i="9"/>
  <c r="O63" i="9"/>
  <c r="O62" i="9"/>
  <c r="O53" i="9"/>
  <c r="O21" i="9"/>
  <c r="P62" i="9"/>
  <c r="P53" i="9"/>
  <c r="L57" i="9"/>
  <c r="L37" i="9"/>
  <c r="M82" i="9"/>
  <c r="M44" i="9"/>
  <c r="N47" i="9"/>
  <c r="N82" i="9"/>
  <c r="N68" i="9"/>
  <c r="N44" i="9"/>
  <c r="O23" i="9"/>
  <c r="P44" i="9"/>
  <c r="L66" i="9"/>
  <c r="M29" i="9"/>
  <c r="M39" i="9"/>
  <c r="M83" i="9"/>
  <c r="M80" i="9"/>
  <c r="M74" i="9"/>
  <c r="M64" i="9"/>
  <c r="M58" i="9"/>
  <c r="M26" i="9"/>
  <c r="N29" i="9"/>
  <c r="N39" i="9"/>
  <c r="N83" i="9"/>
  <c r="N80" i="9"/>
  <c r="N74" i="9"/>
  <c r="N64" i="9"/>
  <c r="N58" i="9"/>
  <c r="N26" i="9"/>
  <c r="O29" i="9"/>
  <c r="O39" i="9"/>
  <c r="O83" i="9"/>
  <c r="O80" i="9"/>
  <c r="O74" i="9"/>
  <c r="O64" i="9"/>
  <c r="O58" i="9"/>
  <c r="O26" i="9"/>
  <c r="P83" i="9"/>
  <c r="P26" i="9"/>
  <c r="M47" i="9"/>
  <c r="M23" i="9"/>
  <c r="N69" i="9"/>
  <c r="O47" i="9"/>
  <c r="O68" i="9"/>
  <c r="P82" i="9"/>
  <c r="J49" i="9"/>
  <c r="Q49" i="9" s="1"/>
  <c r="M38" i="9"/>
  <c r="M43" i="9"/>
  <c r="M79" i="9"/>
  <c r="M76" i="9"/>
  <c r="M65" i="9"/>
  <c r="M60" i="9"/>
  <c r="M54" i="9"/>
  <c r="M22" i="9"/>
  <c r="N38" i="9"/>
  <c r="N43" i="9"/>
  <c r="N79" i="9"/>
  <c r="N76" i="9"/>
  <c r="N65" i="9"/>
  <c r="N60" i="9"/>
  <c r="N54" i="9"/>
  <c r="N22" i="9"/>
  <c r="O38" i="9"/>
  <c r="O43" i="9"/>
  <c r="O79" i="9"/>
  <c r="O76" i="9"/>
  <c r="O65" i="9"/>
  <c r="O60" i="9"/>
  <c r="O54" i="9"/>
  <c r="O22" i="9"/>
  <c r="M69" i="9"/>
  <c r="O82" i="9"/>
  <c r="O44" i="9"/>
  <c r="P69" i="9"/>
  <c r="M33" i="9"/>
  <c r="M46" i="9"/>
  <c r="M52" i="9"/>
  <c r="M75" i="9"/>
  <c r="M70" i="9"/>
  <c r="M59" i="9"/>
  <c r="M56" i="9"/>
  <c r="M24" i="9"/>
  <c r="N33" i="9"/>
  <c r="N46" i="9"/>
  <c r="N52" i="9"/>
  <c r="N75" i="9"/>
  <c r="N70" i="9"/>
  <c r="N59" i="9"/>
  <c r="N56" i="9"/>
  <c r="N24" i="9"/>
  <c r="O33" i="9"/>
  <c r="O46" i="9"/>
  <c r="O52" i="9"/>
  <c r="O75" i="9"/>
  <c r="O70" i="9"/>
  <c r="O59" i="9"/>
  <c r="O56" i="9"/>
  <c r="O24" i="9"/>
  <c r="P75" i="9"/>
  <c r="M68" i="9"/>
  <c r="O69" i="9"/>
  <c r="J20" i="9"/>
  <c r="M42" i="9"/>
  <c r="M50" i="9"/>
  <c r="M81" i="9"/>
  <c r="M71" i="9"/>
  <c r="M61" i="9"/>
  <c r="M55" i="9"/>
  <c r="M36" i="9"/>
  <c r="M20" i="9"/>
  <c r="N42" i="9"/>
  <c r="N50" i="9"/>
  <c r="N81" i="9"/>
  <c r="N71" i="9"/>
  <c r="N61" i="9"/>
  <c r="N55" i="9"/>
  <c r="N36" i="9"/>
  <c r="N20" i="9"/>
  <c r="O42" i="9"/>
  <c r="O50" i="9"/>
  <c r="O81" i="9"/>
  <c r="O71" i="9"/>
  <c r="O61" i="9"/>
  <c r="O55" i="9"/>
  <c r="O36" i="9"/>
  <c r="O20" i="9"/>
  <c r="P61" i="9"/>
  <c r="J37" i="9"/>
  <c r="Q37" i="9" s="1"/>
  <c r="J77" i="9"/>
  <c r="Q77" i="9" s="1"/>
  <c r="L52" i="9"/>
  <c r="L51" i="9"/>
  <c r="L50" i="9"/>
  <c r="L43" i="9"/>
  <c r="L31" i="9"/>
  <c r="K30" i="9"/>
  <c r="L48" i="9"/>
  <c r="K57" i="9"/>
  <c r="J67" i="9"/>
  <c r="Q67" i="9" s="1"/>
  <c r="L28" i="9"/>
  <c r="L76" i="9"/>
  <c r="L70" i="9"/>
  <c r="L68" i="9"/>
  <c r="L56" i="9"/>
  <c r="L65" i="9"/>
  <c r="L45" i="9"/>
  <c r="L55" i="9"/>
  <c r="L35" i="9"/>
  <c r="L34" i="9"/>
  <c r="L25" i="9"/>
  <c r="L49" i="9"/>
  <c r="K27" i="9"/>
  <c r="L32" i="9"/>
  <c r="L81" i="9"/>
  <c r="L80" i="9"/>
  <c r="L73" i="9"/>
  <c r="L74" i="9"/>
  <c r="L59" i="9"/>
  <c r="L54" i="9"/>
  <c r="L40" i="9"/>
  <c r="L21" i="9"/>
  <c r="L60" i="9"/>
  <c r="L41" i="9"/>
  <c r="L29" i="9"/>
  <c r="L42" i="9"/>
  <c r="L22" i="9"/>
  <c r="L79" i="9"/>
  <c r="L78" i="9"/>
  <c r="L71" i="9"/>
  <c r="L63" i="9"/>
  <c r="L72" i="9"/>
  <c r="L46" i="9"/>
  <c r="L58" i="9"/>
  <c r="L38" i="9"/>
  <c r="L23" i="9"/>
  <c r="L24" i="9"/>
  <c r="L47" i="9"/>
  <c r="L64" i="9"/>
  <c r="L39" i="9"/>
  <c r="L33" i="9"/>
  <c r="L36" i="9"/>
  <c r="J30" i="9"/>
  <c r="Q30" i="9" s="1"/>
  <c r="K37" i="9"/>
  <c r="K67" i="9"/>
  <c r="L30" i="9"/>
  <c r="L27" i="9"/>
  <c r="J34" i="9"/>
  <c r="Q34" i="9" s="1"/>
  <c r="J35" i="9"/>
  <c r="Q35" i="9" s="1"/>
  <c r="J47" i="9"/>
  <c r="Q47" i="9" s="1"/>
  <c r="J82" i="9"/>
  <c r="Q82" i="9" s="1"/>
  <c r="J69" i="9"/>
  <c r="Q69" i="9" s="1"/>
  <c r="J68" i="9"/>
  <c r="Q68" i="9" s="1"/>
  <c r="J44" i="9"/>
  <c r="Q44" i="9" s="1"/>
  <c r="J23" i="9"/>
  <c r="K34" i="9"/>
  <c r="K35" i="9"/>
  <c r="K47" i="9"/>
  <c r="K82" i="9"/>
  <c r="K69" i="9"/>
  <c r="K68" i="9"/>
  <c r="K44" i="9"/>
  <c r="K23" i="9"/>
  <c r="J57" i="9"/>
  <c r="Q57" i="9" s="1"/>
  <c r="K66" i="9"/>
  <c r="J40" i="9"/>
  <c r="Q40" i="9" s="1"/>
  <c r="J41" i="9"/>
  <c r="Q41" i="9" s="1"/>
  <c r="J51" i="9"/>
  <c r="Q51" i="9" s="1"/>
  <c r="J78" i="9"/>
  <c r="Q78" i="9" s="1"/>
  <c r="J63" i="9"/>
  <c r="Q63" i="9" s="1"/>
  <c r="J62" i="9"/>
  <c r="Q62" i="9" s="1"/>
  <c r="J53" i="9"/>
  <c r="Q53" i="9" s="1"/>
  <c r="J21" i="9"/>
  <c r="K40" i="9"/>
  <c r="K41" i="9"/>
  <c r="K51" i="9"/>
  <c r="K78" i="9"/>
  <c r="K63" i="9"/>
  <c r="K62" i="9"/>
  <c r="K53" i="9"/>
  <c r="K21" i="9"/>
  <c r="J29" i="9"/>
  <c r="Q29" i="9" s="1"/>
  <c r="J39" i="9"/>
  <c r="Q39" i="9" s="1"/>
  <c r="J83" i="9"/>
  <c r="Q83" i="9" s="1"/>
  <c r="J80" i="9"/>
  <c r="Q80" i="9" s="1"/>
  <c r="J74" i="9"/>
  <c r="Q74" i="9" s="1"/>
  <c r="J64" i="9"/>
  <c r="Q64" i="9" s="1"/>
  <c r="J58" i="9"/>
  <c r="Q58" i="9" s="1"/>
  <c r="J26" i="9"/>
  <c r="K29" i="9"/>
  <c r="K39" i="9"/>
  <c r="K83" i="9"/>
  <c r="K80" i="9"/>
  <c r="K74" i="9"/>
  <c r="K64" i="9"/>
  <c r="K58" i="9"/>
  <c r="K26" i="9"/>
  <c r="J66" i="9"/>
  <c r="Q66" i="9" s="1"/>
  <c r="J27" i="9"/>
  <c r="K77" i="9"/>
  <c r="J38" i="9"/>
  <c r="Q38" i="9" s="1"/>
  <c r="J43" i="9"/>
  <c r="Q43" i="9" s="1"/>
  <c r="J79" i="9"/>
  <c r="Q79" i="9" s="1"/>
  <c r="J76" i="9"/>
  <c r="Q76" i="9" s="1"/>
  <c r="J65" i="9"/>
  <c r="Q65" i="9" s="1"/>
  <c r="J60" i="9"/>
  <c r="Q60" i="9" s="1"/>
  <c r="J54" i="9"/>
  <c r="Q54" i="9" s="1"/>
  <c r="J22" i="9"/>
  <c r="K38" i="9"/>
  <c r="K43" i="9"/>
  <c r="K79" i="9"/>
  <c r="K76" i="9"/>
  <c r="K65" i="9"/>
  <c r="K60" i="9"/>
  <c r="K54" i="9"/>
  <c r="K22" i="9"/>
  <c r="J33" i="9"/>
  <c r="Q33" i="9" s="1"/>
  <c r="J46" i="9"/>
  <c r="Q46" i="9" s="1"/>
  <c r="J52" i="9"/>
  <c r="Q52" i="9" s="1"/>
  <c r="J75" i="9"/>
  <c r="Q75" i="9" s="1"/>
  <c r="J70" i="9"/>
  <c r="Q70" i="9" s="1"/>
  <c r="J59" i="9"/>
  <c r="Q59" i="9" s="1"/>
  <c r="J56" i="9"/>
  <c r="Q56" i="9" s="1"/>
  <c r="J24" i="9"/>
  <c r="K33" i="9"/>
  <c r="K46" i="9"/>
  <c r="K52" i="9"/>
  <c r="K75" i="9"/>
  <c r="K70" i="9"/>
  <c r="K59" i="9"/>
  <c r="K56" i="9"/>
  <c r="K24" i="9"/>
  <c r="J42" i="9"/>
  <c r="Q42" i="9" s="1"/>
  <c r="J50" i="9"/>
  <c r="Q50" i="9" s="1"/>
  <c r="J81" i="9"/>
  <c r="Q81" i="9" s="1"/>
  <c r="J71" i="9"/>
  <c r="Q71" i="9" s="1"/>
  <c r="J61" i="9"/>
  <c r="Q61" i="9" s="1"/>
  <c r="J55" i="9"/>
  <c r="Q55" i="9" s="1"/>
  <c r="J36" i="9"/>
  <c r="Q36" i="9" s="1"/>
  <c r="K42" i="9"/>
  <c r="K50" i="9"/>
  <c r="K81" i="9"/>
  <c r="K71" i="9"/>
  <c r="K61" i="9"/>
  <c r="K55" i="9"/>
  <c r="K36" i="9"/>
  <c r="K20" i="9"/>
  <c r="L20" i="9"/>
  <c r="K49" i="9"/>
  <c r="J25" i="9"/>
  <c r="J31" i="9"/>
  <c r="Q31" i="9" s="1"/>
  <c r="J45" i="9"/>
  <c r="Q45" i="9" s="1"/>
  <c r="J32" i="9"/>
  <c r="Q32" i="9" s="1"/>
  <c r="J73" i="9"/>
  <c r="Q73" i="9" s="1"/>
  <c r="J72" i="9"/>
  <c r="Q72" i="9" s="1"/>
  <c r="J48" i="9"/>
  <c r="Q48" i="9" s="1"/>
  <c r="J28" i="9"/>
  <c r="Q28" i="9" s="1"/>
  <c r="K25" i="9"/>
  <c r="K31" i="9"/>
  <c r="K45" i="9"/>
  <c r="K32" i="9"/>
  <c r="K73" i="9"/>
  <c r="K72" i="9"/>
  <c r="K48" i="9"/>
  <c r="K28" i="9"/>
  <c r="J11" i="4"/>
  <c r="K16" i="9"/>
  <c r="K14" i="9"/>
  <c r="K15" i="9"/>
  <c r="K13" i="9"/>
  <c r="K12" i="9"/>
  <c r="J15" i="7"/>
  <c r="J13" i="4"/>
  <c r="J15" i="4"/>
  <c r="J12" i="4"/>
  <c r="J14" i="4"/>
  <c r="J16" i="4"/>
  <c r="J79" i="7"/>
  <c r="N56" i="7"/>
  <c r="N64" i="7"/>
  <c r="N72" i="7"/>
  <c r="N44" i="7"/>
  <c r="N21" i="7"/>
  <c r="N30" i="7"/>
  <c r="N53" i="7"/>
  <c r="N61" i="7"/>
  <c r="N69" i="7"/>
  <c r="N77" i="7"/>
  <c r="N50" i="7"/>
  <c r="N49" i="7"/>
  <c r="N57" i="7"/>
  <c r="N65" i="7"/>
  <c r="N73" i="7"/>
  <c r="N24" i="7"/>
  <c r="N34" i="7"/>
  <c r="N52" i="7"/>
  <c r="N55" i="7"/>
  <c r="N58" i="7"/>
  <c r="N59" i="7"/>
  <c r="N60" i="7"/>
  <c r="N63" i="7"/>
  <c r="N66" i="7"/>
  <c r="N67" i="7"/>
  <c r="N68" i="7"/>
  <c r="N71" i="7"/>
  <c r="N74" i="7"/>
  <c r="N75" i="7"/>
  <c r="N76" i="7"/>
  <c r="N48" i="7"/>
  <c r="N23" i="7"/>
  <c r="N31" i="7"/>
  <c r="N38" i="7"/>
  <c r="N46" i="7"/>
  <c r="N54" i="7"/>
  <c r="N62" i="7"/>
  <c r="N70" i="7"/>
  <c r="N78" i="7"/>
  <c r="N80" i="7"/>
  <c r="N81" i="7"/>
  <c r="N82" i="7"/>
  <c r="N83" i="7"/>
  <c r="N27" i="7"/>
  <c r="N28" i="7"/>
  <c r="N32" i="7"/>
  <c r="N39" i="7"/>
  <c r="N43" i="7"/>
  <c r="N22" i="7"/>
  <c r="N47" i="7"/>
  <c r="N37" i="7"/>
  <c r="N45" i="7"/>
  <c r="N36" i="7"/>
  <c r="N25" i="7"/>
  <c r="N29" i="7"/>
  <c r="N51" i="7"/>
  <c r="N42" i="7"/>
  <c r="N33" i="7"/>
  <c r="N41" i="7"/>
  <c r="N20" i="7"/>
  <c r="N35" i="7"/>
  <c r="N40" i="7"/>
  <c r="N26" i="7"/>
  <c r="J55" i="7"/>
  <c r="L22" i="7"/>
  <c r="J43" i="7"/>
  <c r="J23" i="7"/>
  <c r="J67" i="7"/>
  <c r="N79" i="7"/>
  <c r="J24" i="7"/>
  <c r="J48" i="7"/>
  <c r="J34" i="7"/>
  <c r="J59" i="7"/>
  <c r="J13" i="7"/>
  <c r="J47" i="7"/>
  <c r="J75" i="7"/>
  <c r="J12" i="7"/>
  <c r="J39" i="7"/>
  <c r="J31" i="7"/>
  <c r="AH12" i="7"/>
  <c r="J28" i="7"/>
  <c r="J71" i="7"/>
  <c r="J63" i="7"/>
  <c r="J83" i="7"/>
  <c r="AH16" i="7"/>
  <c r="L60" i="7"/>
  <c r="L48" i="7"/>
  <c r="K82" i="7"/>
  <c r="L35" i="7"/>
  <c r="L26" i="7"/>
  <c r="L64" i="7"/>
  <c r="L80" i="7"/>
  <c r="L27" i="7"/>
  <c r="L40" i="7"/>
  <c r="L56" i="7"/>
  <c r="L74" i="7"/>
  <c r="L32" i="7"/>
  <c r="L52" i="7"/>
  <c r="L68" i="7"/>
  <c r="L44" i="7"/>
  <c r="M73" i="7"/>
  <c r="L24" i="7"/>
  <c r="L36" i="7"/>
  <c r="L29" i="7"/>
  <c r="L30" i="7"/>
  <c r="L31" i="7"/>
  <c r="K35" i="7"/>
  <c r="J35" i="7"/>
  <c r="M35" i="7"/>
  <c r="L33" i="7"/>
  <c r="L51" i="7"/>
  <c r="L28" i="7"/>
  <c r="K32" i="7"/>
  <c r="J32" i="7"/>
  <c r="M32" i="7"/>
  <c r="L37" i="7"/>
  <c r="L38" i="7"/>
  <c r="L39" i="7"/>
  <c r="K40" i="7"/>
  <c r="J40" i="7"/>
  <c r="M40" i="7"/>
  <c r="L41" i="7"/>
  <c r="L42" i="7"/>
  <c r="L43" i="7"/>
  <c r="K22" i="7"/>
  <c r="J22" i="7"/>
  <c r="M22" i="7"/>
  <c r="L45" i="7"/>
  <c r="L46" i="7"/>
  <c r="L47" i="7"/>
  <c r="K26" i="7"/>
  <c r="M26" i="7"/>
  <c r="J26" i="7"/>
  <c r="L49" i="7"/>
  <c r="L50" i="7"/>
  <c r="L34" i="7"/>
  <c r="K52" i="7"/>
  <c r="J52" i="7"/>
  <c r="M52" i="7"/>
  <c r="L53" i="7"/>
  <c r="L54" i="7"/>
  <c r="L55" i="7"/>
  <c r="K56" i="7"/>
  <c r="J56" i="7"/>
  <c r="M56" i="7"/>
  <c r="L57" i="7"/>
  <c r="L58" i="7"/>
  <c r="L59" i="7"/>
  <c r="K60" i="7"/>
  <c r="J60" i="7"/>
  <c r="M60" i="7"/>
  <c r="L61" i="7"/>
  <c r="L62" i="7"/>
  <c r="L63" i="7"/>
  <c r="K64" i="7"/>
  <c r="J64" i="7"/>
  <c r="M64" i="7"/>
  <c r="L65" i="7"/>
  <c r="L66" i="7"/>
  <c r="L67" i="7"/>
  <c r="K68" i="7"/>
  <c r="J68" i="7"/>
  <c r="M68" i="7"/>
  <c r="L69" i="7"/>
  <c r="L70" i="7"/>
  <c r="L71" i="7"/>
  <c r="K72" i="7"/>
  <c r="J72" i="7"/>
  <c r="M72" i="7"/>
  <c r="L72" i="7"/>
  <c r="M69" i="7"/>
  <c r="L23" i="7"/>
  <c r="K27" i="7"/>
  <c r="J27" i="7"/>
  <c r="M27" i="7"/>
  <c r="L20" i="7"/>
  <c r="L21" i="7"/>
  <c r="L78" i="7"/>
  <c r="L79" i="7"/>
  <c r="M77" i="7"/>
  <c r="K80" i="7"/>
  <c r="M81" i="7"/>
  <c r="M82" i="7"/>
  <c r="L83" i="7"/>
  <c r="K71" i="7"/>
  <c r="K34" i="7"/>
  <c r="K47" i="7"/>
  <c r="K28" i="7"/>
  <c r="K31" i="7"/>
  <c r="K44" i="7"/>
  <c r="K67" i="7"/>
  <c r="K59" i="7"/>
  <c r="K55" i="7"/>
  <c r="K43" i="7"/>
  <c r="K23" i="7"/>
  <c r="K24" i="7"/>
  <c r="K21" i="7"/>
  <c r="K48" i="7"/>
  <c r="K83" i="7"/>
  <c r="K79" i="7"/>
  <c r="K75" i="7"/>
  <c r="K63" i="7"/>
  <c r="K39" i="7"/>
  <c r="L25" i="7"/>
  <c r="K20" i="7"/>
  <c r="J20" i="7"/>
  <c r="M20" i="7"/>
  <c r="L75" i="7"/>
  <c r="K76" i="7"/>
  <c r="M76" i="7"/>
  <c r="M80" i="7"/>
  <c r="J44" i="7"/>
  <c r="J21" i="7"/>
  <c r="J30" i="7"/>
  <c r="J51" i="7"/>
  <c r="J38" i="7"/>
  <c r="J42" i="7"/>
  <c r="J46" i="7"/>
  <c r="J50" i="7"/>
  <c r="J54" i="7"/>
  <c r="J58" i="7"/>
  <c r="J62" i="7"/>
  <c r="J66" i="7"/>
  <c r="J70" i="7"/>
  <c r="J74" i="7"/>
  <c r="J78" i="7"/>
  <c r="J82" i="7"/>
  <c r="M48" i="7"/>
  <c r="M23" i="7"/>
  <c r="K30" i="7"/>
  <c r="M31" i="7"/>
  <c r="K51" i="7"/>
  <c r="M28" i="7"/>
  <c r="K38" i="7"/>
  <c r="M39" i="7"/>
  <c r="K42" i="7"/>
  <c r="M43" i="7"/>
  <c r="K46" i="7"/>
  <c r="M47" i="7"/>
  <c r="K50" i="7"/>
  <c r="M34" i="7"/>
  <c r="K54" i="7"/>
  <c r="M55" i="7"/>
  <c r="K58" i="7"/>
  <c r="M59" i="7"/>
  <c r="K62" i="7"/>
  <c r="M63" i="7"/>
  <c r="K66" i="7"/>
  <c r="M67" i="7"/>
  <c r="K70" i="7"/>
  <c r="M71" i="7"/>
  <c r="K74" i="7"/>
  <c r="M75" i="7"/>
  <c r="K78" i="7"/>
  <c r="M79" i="7"/>
  <c r="M83" i="7"/>
  <c r="J36" i="7"/>
  <c r="J25" i="7"/>
  <c r="J29" i="7"/>
  <c r="J33" i="7"/>
  <c r="J37" i="7"/>
  <c r="J41" i="7"/>
  <c r="J45" i="7"/>
  <c r="J49" i="7"/>
  <c r="J53" i="7"/>
  <c r="J57" i="7"/>
  <c r="J61" i="7"/>
  <c r="J65" i="7"/>
  <c r="J69" i="7"/>
  <c r="J73" i="7"/>
  <c r="J77" i="7"/>
  <c r="J81" i="7"/>
  <c r="L82" i="7"/>
  <c r="K36" i="7"/>
  <c r="M44" i="7"/>
  <c r="K25" i="7"/>
  <c r="M21" i="7"/>
  <c r="K29" i="7"/>
  <c r="M30" i="7"/>
  <c r="K33" i="7"/>
  <c r="M51" i="7"/>
  <c r="K37" i="7"/>
  <c r="M38" i="7"/>
  <c r="K41" i="7"/>
  <c r="M42" i="7"/>
  <c r="K45" i="7"/>
  <c r="M46" i="7"/>
  <c r="K49" i="7"/>
  <c r="M50" i="7"/>
  <c r="K53" i="7"/>
  <c r="M54" i="7"/>
  <c r="K57" i="7"/>
  <c r="M58" i="7"/>
  <c r="K61" i="7"/>
  <c r="M62" i="7"/>
  <c r="K65" i="7"/>
  <c r="M66" i="7"/>
  <c r="K69" i="7"/>
  <c r="M70" i="7"/>
  <c r="K73" i="7"/>
  <c r="M74" i="7"/>
  <c r="K77" i="7"/>
  <c r="M78" i="7"/>
  <c r="K81" i="7"/>
  <c r="L76" i="7"/>
  <c r="M24" i="7"/>
  <c r="L73" i="7"/>
  <c r="J76" i="7"/>
  <c r="L77" i="7"/>
  <c r="J80" i="7"/>
  <c r="L81" i="7"/>
  <c r="M36" i="7"/>
  <c r="M25" i="7"/>
  <c r="M29" i="7"/>
  <c r="M33" i="7"/>
  <c r="M37" i="7"/>
  <c r="M41" i="7"/>
  <c r="M45" i="7"/>
  <c r="M49" i="7"/>
  <c r="M53" i="7"/>
  <c r="M57" i="7"/>
  <c r="M61" i="7"/>
  <c r="M65" i="7"/>
  <c r="I16" i="3"/>
  <c r="J20" i="3"/>
  <c r="L50" i="6"/>
  <c r="L37" i="6"/>
  <c r="L51" i="6"/>
  <c r="M45" i="6"/>
  <c r="K46" i="6"/>
  <c r="L53" i="6"/>
  <c r="L54" i="6"/>
  <c r="K59" i="6"/>
  <c r="L60" i="6"/>
  <c r="K61" i="6"/>
  <c r="L62" i="6"/>
  <c r="K67" i="6"/>
  <c r="M68" i="6"/>
  <c r="M69" i="6"/>
  <c r="L70" i="6"/>
  <c r="M75" i="6"/>
  <c r="M76" i="6"/>
  <c r="M77" i="6"/>
  <c r="L78" i="6"/>
  <c r="M81" i="6"/>
  <c r="L82" i="6"/>
  <c r="L83" i="6"/>
  <c r="M20" i="6"/>
  <c r="L25" i="6"/>
  <c r="L26" i="6"/>
  <c r="L24" i="6"/>
  <c r="L30" i="6"/>
  <c r="K49" i="6"/>
  <c r="L36" i="6"/>
  <c r="M41" i="6"/>
  <c r="L31" i="6"/>
  <c r="L29" i="6"/>
  <c r="L34" i="6"/>
  <c r="L35" i="6"/>
  <c r="L40" i="6"/>
  <c r="M25" i="6"/>
  <c r="L23" i="6"/>
  <c r="M28" i="6"/>
  <c r="K33" i="6"/>
  <c r="M50" i="6"/>
  <c r="K39" i="6"/>
  <c r="M51" i="6"/>
  <c r="L42" i="6"/>
  <c r="L43" i="6"/>
  <c r="L44" i="6"/>
  <c r="L52" i="6"/>
  <c r="L45" i="6"/>
  <c r="M54" i="6"/>
  <c r="L55" i="6"/>
  <c r="L56" i="6"/>
  <c r="L57" i="6"/>
  <c r="L58" i="6"/>
  <c r="L59" i="6"/>
  <c r="M62" i="6"/>
  <c r="L63" i="6"/>
  <c r="L64" i="6"/>
  <c r="L65" i="6"/>
  <c r="L66" i="6"/>
  <c r="L67" i="6"/>
  <c r="M70" i="6"/>
  <c r="L71" i="6"/>
  <c r="L72" i="6"/>
  <c r="L73" i="6"/>
  <c r="L74" i="6"/>
  <c r="L75" i="6"/>
  <c r="M78" i="6"/>
  <c r="L79" i="6"/>
  <c r="L47" i="6"/>
  <c r="L48" i="6"/>
  <c r="L80" i="6"/>
  <c r="L81" i="6"/>
  <c r="L22" i="6"/>
  <c r="L33" i="6"/>
  <c r="L39" i="6"/>
  <c r="L21" i="6"/>
  <c r="L27" i="6"/>
  <c r="L28" i="6"/>
  <c r="L32" i="6"/>
  <c r="L38" i="6"/>
  <c r="K69" i="6"/>
  <c r="K27" i="6"/>
  <c r="M83" i="6"/>
  <c r="M53" i="6"/>
  <c r="M27" i="6"/>
  <c r="K76" i="6"/>
  <c r="K34" i="6"/>
  <c r="L61" i="6"/>
  <c r="M82" i="6"/>
  <c r="M46" i="6"/>
  <c r="M34" i="6"/>
  <c r="K81" i="6"/>
  <c r="K45" i="6"/>
  <c r="K25" i="6"/>
  <c r="L46" i="6"/>
  <c r="M59" i="6"/>
  <c r="K80" i="6"/>
  <c r="K74" i="6"/>
  <c r="K66" i="6"/>
  <c r="K58" i="6"/>
  <c r="K52" i="6"/>
  <c r="K38" i="6"/>
  <c r="K32" i="6"/>
  <c r="K24" i="6"/>
  <c r="M80" i="6"/>
  <c r="M74" i="6"/>
  <c r="M66" i="6"/>
  <c r="M58" i="6"/>
  <c r="M52" i="6"/>
  <c r="M38" i="6"/>
  <c r="M32" i="6"/>
  <c r="M24" i="6"/>
  <c r="K53" i="6"/>
  <c r="M61" i="6"/>
  <c r="L77" i="6"/>
  <c r="L49" i="6"/>
  <c r="M60" i="6"/>
  <c r="L76" i="6"/>
  <c r="M39" i="6"/>
  <c r="K48" i="6"/>
  <c r="K73" i="6"/>
  <c r="K65" i="6"/>
  <c r="K57" i="6"/>
  <c r="K44" i="6"/>
  <c r="K37" i="6"/>
  <c r="K31" i="6"/>
  <c r="K23" i="6"/>
  <c r="M48" i="6"/>
  <c r="M73" i="6"/>
  <c r="M65" i="6"/>
  <c r="M57" i="6"/>
  <c r="M44" i="6"/>
  <c r="M37" i="6"/>
  <c r="M31" i="6"/>
  <c r="M23" i="6"/>
  <c r="K83" i="6"/>
  <c r="K41" i="6"/>
  <c r="K68" i="6"/>
  <c r="L69" i="6"/>
  <c r="L68" i="6"/>
  <c r="M67" i="6"/>
  <c r="K47" i="6"/>
  <c r="K72" i="6"/>
  <c r="K64" i="6"/>
  <c r="K56" i="6"/>
  <c r="K43" i="6"/>
  <c r="K36" i="6"/>
  <c r="K30" i="6"/>
  <c r="K22" i="6"/>
  <c r="M47" i="6"/>
  <c r="M72" i="6"/>
  <c r="M64" i="6"/>
  <c r="M56" i="6"/>
  <c r="M43" i="6"/>
  <c r="M36" i="6"/>
  <c r="M30" i="6"/>
  <c r="M22" i="6"/>
  <c r="M49" i="6"/>
  <c r="K82" i="6"/>
  <c r="K40" i="6"/>
  <c r="L41" i="6"/>
  <c r="M40" i="6"/>
  <c r="M26" i="6"/>
  <c r="K75" i="6"/>
  <c r="M33" i="6"/>
  <c r="K79" i="6"/>
  <c r="K71" i="6"/>
  <c r="K63" i="6"/>
  <c r="K55" i="6"/>
  <c r="K42" i="6"/>
  <c r="K35" i="6"/>
  <c r="K29" i="6"/>
  <c r="K21" i="6"/>
  <c r="M79" i="6"/>
  <c r="M71" i="6"/>
  <c r="M63" i="6"/>
  <c r="M55" i="6"/>
  <c r="M42" i="6"/>
  <c r="M35" i="6"/>
  <c r="M29" i="6"/>
  <c r="M21" i="6"/>
  <c r="K77" i="6"/>
  <c r="L20" i="6"/>
  <c r="K60" i="6"/>
  <c r="K26" i="6"/>
  <c r="K78" i="6"/>
  <c r="K70" i="6"/>
  <c r="K62" i="6"/>
  <c r="K54" i="6"/>
  <c r="K51" i="6"/>
  <c r="K50" i="6"/>
  <c r="K28" i="6"/>
  <c r="K20" i="6"/>
  <c r="J81" i="6"/>
  <c r="J64" i="6"/>
  <c r="J20" i="6"/>
  <c r="J72" i="6"/>
  <c r="J27" i="6"/>
  <c r="J49" i="6"/>
  <c r="J41" i="6"/>
  <c r="J53" i="6"/>
  <c r="J61" i="6"/>
  <c r="J69" i="6"/>
  <c r="J77" i="6"/>
  <c r="J83" i="6"/>
  <c r="J30" i="6"/>
  <c r="J24" i="6"/>
  <c r="J32" i="6"/>
  <c r="J38" i="6"/>
  <c r="J52" i="6"/>
  <c r="J58" i="6"/>
  <c r="J66" i="6"/>
  <c r="J74" i="6"/>
  <c r="J80" i="6"/>
  <c r="J22" i="6"/>
  <c r="J47" i="6"/>
  <c r="J21" i="6"/>
  <c r="J29" i="6"/>
  <c r="J35" i="6"/>
  <c r="J42" i="6"/>
  <c r="J55" i="6"/>
  <c r="J63" i="6"/>
  <c r="J71" i="6"/>
  <c r="J79" i="6"/>
  <c r="J36" i="6"/>
  <c r="J43" i="6"/>
  <c r="J26" i="6"/>
  <c r="J34" i="6"/>
  <c r="J40" i="6"/>
  <c r="J46" i="6"/>
  <c r="J60" i="6"/>
  <c r="J68" i="6"/>
  <c r="J76" i="6"/>
  <c r="J82" i="6"/>
  <c r="J23" i="6"/>
  <c r="J31" i="6"/>
  <c r="J37" i="6"/>
  <c r="J44" i="6"/>
  <c r="J57" i="6"/>
  <c r="J65" i="6"/>
  <c r="J73" i="6"/>
  <c r="J48" i="6"/>
  <c r="J56" i="6"/>
  <c r="J28" i="6"/>
  <c r="J50" i="6"/>
  <c r="J51" i="6"/>
  <c r="J54" i="6"/>
  <c r="J62" i="6"/>
  <c r="J70" i="6"/>
  <c r="J78" i="6"/>
  <c r="J25" i="6"/>
  <c r="J33" i="6"/>
  <c r="J39" i="6"/>
  <c r="J45" i="6"/>
  <c r="J59" i="6"/>
  <c r="J67" i="6"/>
  <c r="J75" i="6"/>
  <c r="L80" i="5"/>
  <c r="L81" i="5"/>
  <c r="L30" i="5"/>
  <c r="L82" i="5"/>
  <c r="L39" i="5"/>
  <c r="L47" i="5"/>
  <c r="L48" i="5"/>
  <c r="L58" i="5"/>
  <c r="L66" i="5"/>
  <c r="L74" i="5"/>
  <c r="L73" i="5"/>
  <c r="L38" i="5"/>
  <c r="L46" i="5"/>
  <c r="L44" i="5"/>
  <c r="L57" i="5"/>
  <c r="L65" i="5"/>
  <c r="L26" i="5"/>
  <c r="L29" i="5"/>
  <c r="L37" i="5"/>
  <c r="L45" i="5"/>
  <c r="L36" i="5"/>
  <c r="L56" i="5"/>
  <c r="L64" i="5"/>
  <c r="L72" i="5"/>
  <c r="L20" i="5"/>
  <c r="L79" i="5"/>
  <c r="L34" i="5"/>
  <c r="L54" i="5"/>
  <c r="L62" i="5"/>
  <c r="L70" i="5"/>
  <c r="L24" i="5"/>
  <c r="L43" i="5"/>
  <c r="L42" i="5"/>
  <c r="L50" i="5"/>
  <c r="L53" i="5"/>
  <c r="L61" i="5"/>
  <c r="L69" i="5"/>
  <c r="L27" i="5"/>
  <c r="L28" i="5"/>
  <c r="L31" i="5"/>
  <c r="L32" i="5"/>
  <c r="L40" i="5"/>
  <c r="L23" i="5"/>
  <c r="L51" i="5"/>
  <c r="L59" i="5"/>
  <c r="L67" i="5"/>
  <c r="L75" i="5"/>
  <c r="L77" i="5"/>
  <c r="L83" i="5"/>
  <c r="K62" i="5"/>
  <c r="K78" i="5"/>
  <c r="K21" i="5"/>
  <c r="K52" i="5"/>
  <c r="K22" i="5"/>
  <c r="K35" i="5"/>
  <c r="K55" i="5"/>
  <c r="K63" i="5"/>
  <c r="K71" i="5"/>
  <c r="J41" i="5"/>
  <c r="J49" i="5"/>
  <c r="J52" i="5"/>
  <c r="J60" i="5"/>
  <c r="J51" i="5"/>
  <c r="J25" i="5"/>
  <c r="J33" i="5"/>
  <c r="J68" i="5"/>
  <c r="J76" i="5"/>
  <c r="J80" i="5"/>
  <c r="J65" i="5"/>
  <c r="K80" i="5"/>
  <c r="J28" i="5"/>
  <c r="K44" i="5"/>
  <c r="L52" i="5"/>
  <c r="J54" i="5"/>
  <c r="K57" i="5"/>
  <c r="J62" i="5"/>
  <c r="K65" i="5"/>
  <c r="L68" i="5"/>
  <c r="J70" i="5"/>
  <c r="K73" i="5"/>
  <c r="L76" i="5"/>
  <c r="J83" i="5"/>
  <c r="J24" i="5"/>
  <c r="L21" i="5"/>
  <c r="L35" i="5"/>
  <c r="L55" i="5"/>
  <c r="J57" i="5"/>
  <c r="K30" i="5"/>
  <c r="K46" i="5"/>
  <c r="L49" i="5"/>
  <c r="J34" i="5"/>
  <c r="J40" i="5"/>
  <c r="J67" i="5"/>
  <c r="J30" i="5"/>
  <c r="K33" i="5"/>
  <c r="J46" i="5"/>
  <c r="K60" i="5"/>
  <c r="K76" i="5"/>
  <c r="L25" i="5"/>
  <c r="L33" i="5"/>
  <c r="K38" i="5"/>
  <c r="L60" i="5"/>
  <c r="J23" i="5"/>
  <c r="K34" i="5"/>
  <c r="K54" i="5"/>
  <c r="J59" i="5"/>
  <c r="K70" i="5"/>
  <c r="J75" i="5"/>
  <c r="K83" i="5"/>
  <c r="J26" i="5"/>
  <c r="K20" i="5"/>
  <c r="J29" i="5"/>
  <c r="K79" i="5"/>
  <c r="J37" i="5"/>
  <c r="K40" i="5"/>
  <c r="J45" i="5"/>
  <c r="K23" i="5"/>
  <c r="J36" i="5"/>
  <c r="K51" i="5"/>
  <c r="J56" i="5"/>
  <c r="K59" i="5"/>
  <c r="J64" i="5"/>
  <c r="K67" i="5"/>
  <c r="J72" i="5"/>
  <c r="K75" i="5"/>
  <c r="L78" i="5"/>
  <c r="L71" i="5"/>
  <c r="J73" i="5"/>
  <c r="M73" i="5" s="1"/>
  <c r="J32" i="5"/>
  <c r="K26" i="5"/>
  <c r="K29" i="5"/>
  <c r="J82" i="5"/>
  <c r="K37" i="5"/>
  <c r="J42" i="5"/>
  <c r="K45" i="5"/>
  <c r="J50" i="5"/>
  <c r="K36" i="5"/>
  <c r="J53" i="5"/>
  <c r="K56" i="5"/>
  <c r="J61" i="5"/>
  <c r="K64" i="5"/>
  <c r="J69" i="5"/>
  <c r="K72" i="5"/>
  <c r="J77" i="5"/>
  <c r="J38" i="5"/>
  <c r="K68" i="5"/>
  <c r="L41" i="5"/>
  <c r="J43" i="5"/>
  <c r="J20" i="5"/>
  <c r="J79" i="5"/>
  <c r="J81" i="5"/>
  <c r="J27" i="5"/>
  <c r="K81" i="5"/>
  <c r="J31" i="5"/>
  <c r="K82" i="5"/>
  <c r="J39" i="5"/>
  <c r="K42" i="5"/>
  <c r="J47" i="5"/>
  <c r="K50" i="5"/>
  <c r="J48" i="5"/>
  <c r="K53" i="5"/>
  <c r="J58" i="5"/>
  <c r="K61" i="5"/>
  <c r="J66" i="5"/>
  <c r="K69" i="5"/>
  <c r="J74" i="5"/>
  <c r="K77" i="5"/>
  <c r="K25" i="5"/>
  <c r="L22" i="5"/>
  <c r="K49" i="5"/>
  <c r="J44" i="5"/>
  <c r="L63" i="5"/>
  <c r="K24" i="5"/>
  <c r="K27" i="5"/>
  <c r="J78" i="5"/>
  <c r="K31" i="5"/>
  <c r="J21" i="5"/>
  <c r="K39" i="5"/>
  <c r="J22" i="5"/>
  <c r="K47" i="5"/>
  <c r="J35" i="5"/>
  <c r="K48" i="5"/>
  <c r="J55" i="5"/>
  <c r="K58" i="5"/>
  <c r="J63" i="5"/>
  <c r="K66" i="5"/>
  <c r="J71" i="5"/>
  <c r="K74" i="5"/>
  <c r="K41" i="5"/>
  <c r="K28" i="5"/>
  <c r="K32" i="5"/>
  <c r="K43" i="5"/>
  <c r="J31" i="2"/>
  <c r="K43" i="3"/>
  <c r="K31" i="3"/>
  <c r="K52" i="3"/>
  <c r="K30" i="3"/>
  <c r="J55" i="3"/>
  <c r="O74" i="4"/>
  <c r="N42" i="4"/>
  <c r="N34" i="4"/>
  <c r="O76" i="4"/>
  <c r="O77" i="4"/>
  <c r="O62" i="4"/>
  <c r="O60" i="4"/>
  <c r="O54" i="4"/>
  <c r="O53" i="4"/>
  <c r="O52" i="4"/>
  <c r="O50" i="4"/>
  <c r="O42" i="4"/>
  <c r="O30" i="4"/>
  <c r="O31" i="4"/>
  <c r="O29" i="4"/>
  <c r="O28" i="4"/>
  <c r="O75" i="4"/>
  <c r="O48" i="4"/>
  <c r="O72" i="4"/>
  <c r="O41" i="4"/>
  <c r="O66" i="4"/>
  <c r="O40" i="4"/>
  <c r="O65" i="4"/>
  <c r="O38" i="4"/>
  <c r="O64" i="4"/>
  <c r="O36" i="4"/>
  <c r="O78" i="4"/>
  <c r="O63" i="4"/>
  <c r="O51" i="4"/>
  <c r="O39" i="4"/>
  <c r="O27" i="4"/>
  <c r="O23" i="4"/>
  <c r="O73" i="4"/>
  <c r="O61" i="4"/>
  <c r="O49" i="4"/>
  <c r="O37" i="4"/>
  <c r="O25" i="4"/>
  <c r="O21" i="4"/>
  <c r="O83" i="4"/>
  <c r="O71" i="4"/>
  <c r="O59" i="4"/>
  <c r="O47" i="4"/>
  <c r="O35" i="4"/>
  <c r="O26" i="4"/>
  <c r="O82" i="4"/>
  <c r="O70" i="4"/>
  <c r="O58" i="4"/>
  <c r="O46" i="4"/>
  <c r="O34" i="4"/>
  <c r="O22" i="4"/>
  <c r="O81" i="4"/>
  <c r="O69" i="4"/>
  <c r="O57" i="4"/>
  <c r="O45" i="4"/>
  <c r="O33" i="4"/>
  <c r="O24" i="4"/>
  <c r="O80" i="4"/>
  <c r="O68" i="4"/>
  <c r="O56" i="4"/>
  <c r="O44" i="4"/>
  <c r="O32" i="4"/>
  <c r="O20" i="4"/>
  <c r="O79" i="4"/>
  <c r="O67" i="4"/>
  <c r="O55" i="4"/>
  <c r="O43" i="4"/>
  <c r="N71" i="4"/>
  <c r="N66" i="4"/>
  <c r="N28" i="4"/>
  <c r="N65" i="4"/>
  <c r="N26" i="4"/>
  <c r="N64" i="4"/>
  <c r="N22" i="4"/>
  <c r="N24" i="4"/>
  <c r="N58" i="4"/>
  <c r="N20" i="4"/>
  <c r="N55" i="4"/>
  <c r="N31" i="4"/>
  <c r="N21" i="4"/>
  <c r="N52" i="4"/>
  <c r="N82" i="4"/>
  <c r="N46" i="4"/>
  <c r="N68" i="4"/>
  <c r="N81" i="4"/>
  <c r="N45" i="4"/>
  <c r="N80" i="4"/>
  <c r="N44" i="4"/>
  <c r="N78" i="4"/>
  <c r="N77" i="4"/>
  <c r="N57" i="4"/>
  <c r="N40" i="4"/>
  <c r="N76" i="4"/>
  <c r="N56" i="4"/>
  <c r="N35" i="4"/>
  <c r="N70" i="4"/>
  <c r="N54" i="4"/>
  <c r="N33" i="4"/>
  <c r="N69" i="4"/>
  <c r="N53" i="4"/>
  <c r="N32" i="4"/>
  <c r="N83" i="4"/>
  <c r="N67" i="4"/>
  <c r="N47" i="4"/>
  <c r="N30" i="4"/>
  <c r="N79" i="4"/>
  <c r="N59" i="4"/>
  <c r="N43" i="4"/>
  <c r="N41" i="4"/>
  <c r="N29" i="4"/>
  <c r="N75" i="4"/>
  <c r="N63" i="4"/>
  <c r="N51" i="4"/>
  <c r="N39" i="4"/>
  <c r="N27" i="4"/>
  <c r="N74" i="4"/>
  <c r="N62" i="4"/>
  <c r="N50" i="4"/>
  <c r="N38" i="4"/>
  <c r="N23" i="4"/>
  <c r="N73" i="4"/>
  <c r="N61" i="4"/>
  <c r="N49" i="4"/>
  <c r="N37" i="4"/>
  <c r="N25" i="4"/>
  <c r="N72" i="4"/>
  <c r="N60" i="4"/>
  <c r="N48" i="4"/>
  <c r="N36" i="4"/>
  <c r="J75" i="4"/>
  <c r="K74" i="4"/>
  <c r="K80" i="4"/>
  <c r="M62" i="4"/>
  <c r="J57" i="4"/>
  <c r="J26" i="4"/>
  <c r="L53" i="4"/>
  <c r="L71" i="4"/>
  <c r="K32" i="4"/>
  <c r="K50" i="4"/>
  <c r="K68" i="4"/>
  <c r="L35" i="4"/>
  <c r="L26" i="4"/>
  <c r="M25" i="4"/>
  <c r="J33" i="4"/>
  <c r="J35" i="4"/>
  <c r="M37" i="4"/>
  <c r="J51" i="4"/>
  <c r="M55" i="4"/>
  <c r="J69" i="4"/>
  <c r="M77" i="4"/>
  <c r="K33" i="4"/>
  <c r="M42" i="4"/>
  <c r="K51" i="4"/>
  <c r="M60" i="4"/>
  <c r="K69" i="4"/>
  <c r="K75" i="4"/>
  <c r="M83" i="4"/>
  <c r="L29" i="4"/>
  <c r="L47" i="4"/>
  <c r="L65" i="4"/>
  <c r="M73" i="4"/>
  <c r="J81" i="4"/>
  <c r="K44" i="4"/>
  <c r="K62" i="4"/>
  <c r="M70" i="4"/>
  <c r="J80" i="4"/>
  <c r="L20" i="4"/>
  <c r="J24" i="4"/>
  <c r="J29" i="4"/>
  <c r="M31" i="4"/>
  <c r="J45" i="4"/>
  <c r="M49" i="4"/>
  <c r="J63" i="4"/>
  <c r="M67" i="4"/>
  <c r="M76" i="4"/>
  <c r="M79" i="4"/>
  <c r="K24" i="4"/>
  <c r="M36" i="4"/>
  <c r="K45" i="4"/>
  <c r="M54" i="4"/>
  <c r="K63" i="4"/>
  <c r="M82" i="4"/>
  <c r="L74" i="4"/>
  <c r="J20" i="4"/>
  <c r="M21" i="4"/>
  <c r="K23" i="4"/>
  <c r="J27" i="4"/>
  <c r="L41" i="4"/>
  <c r="L59" i="4"/>
  <c r="M72" i="4"/>
  <c r="K22" i="4"/>
  <c r="K27" i="4"/>
  <c r="K38" i="4"/>
  <c r="K56" i="4"/>
  <c r="M64" i="4"/>
  <c r="J39" i="4"/>
  <c r="M43" i="4"/>
  <c r="M61" i="4"/>
  <c r="M78" i="4"/>
  <c r="K25" i="4"/>
  <c r="K81" i="4"/>
  <c r="M30" i="4"/>
  <c r="K39" i="4"/>
  <c r="M48" i="4"/>
  <c r="K57" i="4"/>
  <c r="M66" i="4"/>
  <c r="L38" i="4"/>
  <c r="M38" i="4"/>
  <c r="M68" i="4"/>
  <c r="M80" i="4"/>
  <c r="L24" i="4"/>
  <c r="J22" i="4"/>
  <c r="L27" i="4"/>
  <c r="J28" i="4"/>
  <c r="L33" i="4"/>
  <c r="J34" i="4"/>
  <c r="L39" i="4"/>
  <c r="J40" i="4"/>
  <c r="L45" i="4"/>
  <c r="J46" i="4"/>
  <c r="L51" i="4"/>
  <c r="J52" i="4"/>
  <c r="L57" i="4"/>
  <c r="J58" i="4"/>
  <c r="L63" i="4"/>
  <c r="J64" i="4"/>
  <c r="L69" i="4"/>
  <c r="J70" i="4"/>
  <c r="L75" i="4"/>
  <c r="J76" i="4"/>
  <c r="L81" i="4"/>
  <c r="J82" i="4"/>
  <c r="L56" i="4"/>
  <c r="L62" i="4"/>
  <c r="M24" i="4"/>
  <c r="M27" i="4"/>
  <c r="K28" i="4"/>
  <c r="M33" i="4"/>
  <c r="K34" i="4"/>
  <c r="M39" i="4"/>
  <c r="K40" i="4"/>
  <c r="M45" i="4"/>
  <c r="K46" i="4"/>
  <c r="M51" i="4"/>
  <c r="K52" i="4"/>
  <c r="M57" i="4"/>
  <c r="K58" i="4"/>
  <c r="M63" i="4"/>
  <c r="K64" i="4"/>
  <c r="M69" i="4"/>
  <c r="K70" i="4"/>
  <c r="M75" i="4"/>
  <c r="K76" i="4"/>
  <c r="M81" i="4"/>
  <c r="K82" i="4"/>
  <c r="L28" i="4"/>
  <c r="L34" i="4"/>
  <c r="L40" i="4"/>
  <c r="J41" i="4"/>
  <c r="L46" i="4"/>
  <c r="J47" i="4"/>
  <c r="L52" i="4"/>
  <c r="J53" i="4"/>
  <c r="L58" i="4"/>
  <c r="J59" i="4"/>
  <c r="L64" i="4"/>
  <c r="J65" i="4"/>
  <c r="L70" i="4"/>
  <c r="J71" i="4"/>
  <c r="L76" i="4"/>
  <c r="J77" i="4"/>
  <c r="L82" i="4"/>
  <c r="J83" i="4"/>
  <c r="M74" i="4"/>
  <c r="L22" i="4"/>
  <c r="K20" i="4"/>
  <c r="M22" i="4"/>
  <c r="K26" i="4"/>
  <c r="M28" i="4"/>
  <c r="K29" i="4"/>
  <c r="M34" i="4"/>
  <c r="K35" i="4"/>
  <c r="M40" i="4"/>
  <c r="K41" i="4"/>
  <c r="M46" i="4"/>
  <c r="K47" i="4"/>
  <c r="M52" i="4"/>
  <c r="K53" i="4"/>
  <c r="M58" i="4"/>
  <c r="K59" i="4"/>
  <c r="K65" i="4"/>
  <c r="K71" i="4"/>
  <c r="K77" i="4"/>
  <c r="K83" i="4"/>
  <c r="J21" i="4"/>
  <c r="J30" i="4"/>
  <c r="J36" i="4"/>
  <c r="J42" i="4"/>
  <c r="J48" i="4"/>
  <c r="J54" i="4"/>
  <c r="J60" i="4"/>
  <c r="J66" i="4"/>
  <c r="J72" i="4"/>
  <c r="L77" i="4"/>
  <c r="J78" i="4"/>
  <c r="L83" i="4"/>
  <c r="M20" i="4"/>
  <c r="M26" i="4"/>
  <c r="K21" i="4"/>
  <c r="M29" i="4"/>
  <c r="K30" i="4"/>
  <c r="M35" i="4"/>
  <c r="K36" i="4"/>
  <c r="M41" i="4"/>
  <c r="K42" i="4"/>
  <c r="M47" i="4"/>
  <c r="K48" i="4"/>
  <c r="M53" i="4"/>
  <c r="K54" i="4"/>
  <c r="M59" i="4"/>
  <c r="K60" i="4"/>
  <c r="M65" i="4"/>
  <c r="K66" i="4"/>
  <c r="M71" i="4"/>
  <c r="K72" i="4"/>
  <c r="K78" i="4"/>
  <c r="M23" i="4"/>
  <c r="L21" i="4"/>
  <c r="J25" i="4"/>
  <c r="L30" i="4"/>
  <c r="J31" i="4"/>
  <c r="L36" i="4"/>
  <c r="J37" i="4"/>
  <c r="L42" i="4"/>
  <c r="J43" i="4"/>
  <c r="L48" i="4"/>
  <c r="J49" i="4"/>
  <c r="L54" i="4"/>
  <c r="J55" i="4"/>
  <c r="L60" i="4"/>
  <c r="J61" i="4"/>
  <c r="L66" i="4"/>
  <c r="J67" i="4"/>
  <c r="L72" i="4"/>
  <c r="J73" i="4"/>
  <c r="L78" i="4"/>
  <c r="J79" i="4"/>
  <c r="L32" i="4"/>
  <c r="L50" i="4"/>
  <c r="L68" i="4"/>
  <c r="M32" i="4"/>
  <c r="K31" i="4"/>
  <c r="K37" i="4"/>
  <c r="K43" i="4"/>
  <c r="K49" i="4"/>
  <c r="K55" i="4"/>
  <c r="K61" i="4"/>
  <c r="K67" i="4"/>
  <c r="K73" i="4"/>
  <c r="K79" i="4"/>
  <c r="L44" i="4"/>
  <c r="L80" i="4"/>
  <c r="M50" i="4"/>
  <c r="L25" i="4"/>
  <c r="J23" i="4"/>
  <c r="L31" i="4"/>
  <c r="J32" i="4"/>
  <c r="L37" i="4"/>
  <c r="J38" i="4"/>
  <c r="L43" i="4"/>
  <c r="J44" i="4"/>
  <c r="L49" i="4"/>
  <c r="J50" i="4"/>
  <c r="L55" i="4"/>
  <c r="J56" i="4"/>
  <c r="L61" i="4"/>
  <c r="J62" i="4"/>
  <c r="L67" i="4"/>
  <c r="J68" i="4"/>
  <c r="L73" i="4"/>
  <c r="J74" i="4"/>
  <c r="L79" i="4"/>
  <c r="L23" i="4"/>
  <c r="M44" i="4"/>
  <c r="M56" i="4"/>
  <c r="J43" i="3"/>
  <c r="K70" i="3"/>
  <c r="K55" i="3"/>
  <c r="K67" i="3"/>
  <c r="K79" i="3"/>
  <c r="K42" i="3"/>
  <c r="K54" i="3"/>
  <c r="K66" i="3"/>
  <c r="K78" i="3"/>
  <c r="M26" i="3"/>
  <c r="M27" i="3"/>
  <c r="M38" i="3"/>
  <c r="M51" i="3"/>
  <c r="M75" i="3"/>
  <c r="M63" i="3"/>
  <c r="M28" i="3"/>
  <c r="M50" i="3"/>
  <c r="M39" i="3"/>
  <c r="M20" i="3"/>
  <c r="M73" i="3"/>
  <c r="M61" i="3"/>
  <c r="M49" i="3"/>
  <c r="M37" i="3"/>
  <c r="M25" i="3"/>
  <c r="M72" i="3"/>
  <c r="M60" i="3"/>
  <c r="M48" i="3"/>
  <c r="M36" i="3"/>
  <c r="M24" i="3"/>
  <c r="M83" i="3"/>
  <c r="M71" i="3"/>
  <c r="M59" i="3"/>
  <c r="M47" i="3"/>
  <c r="M35" i="3"/>
  <c r="M23" i="3"/>
  <c r="M82" i="3"/>
  <c r="M70" i="3"/>
  <c r="M58" i="3"/>
  <c r="M46" i="3"/>
  <c r="M34" i="3"/>
  <c r="M22" i="3"/>
  <c r="M81" i="3"/>
  <c r="M69" i="3"/>
  <c r="M57" i="3"/>
  <c r="M45" i="3"/>
  <c r="M33" i="3"/>
  <c r="M21" i="3"/>
  <c r="M62" i="3"/>
  <c r="M80" i="3"/>
  <c r="M68" i="3"/>
  <c r="M56" i="3"/>
  <c r="M44" i="3"/>
  <c r="M32" i="3"/>
  <c r="M79" i="3"/>
  <c r="M67" i="3"/>
  <c r="M55" i="3"/>
  <c r="M43" i="3"/>
  <c r="M31" i="3"/>
  <c r="M78" i="3"/>
  <c r="M66" i="3"/>
  <c r="M54" i="3"/>
  <c r="M42" i="3"/>
  <c r="M30" i="3"/>
  <c r="M74" i="3"/>
  <c r="M77" i="3"/>
  <c r="M65" i="3"/>
  <c r="M53" i="3"/>
  <c r="M41" i="3"/>
  <c r="M29" i="3"/>
  <c r="M76" i="3"/>
  <c r="M64" i="3"/>
  <c r="M52" i="3"/>
  <c r="M40" i="3"/>
  <c r="L37" i="3"/>
  <c r="L57" i="3"/>
  <c r="L72" i="3"/>
  <c r="L49" i="3"/>
  <c r="K64" i="3"/>
  <c r="L82" i="3"/>
  <c r="L25" i="3"/>
  <c r="J59" i="3"/>
  <c r="L74" i="3"/>
  <c r="L21" i="3"/>
  <c r="K75" i="3"/>
  <c r="L23" i="3"/>
  <c r="L31" i="3"/>
  <c r="L36" i="3"/>
  <c r="L69" i="3"/>
  <c r="J77" i="3"/>
  <c r="L75" i="3"/>
  <c r="K46" i="3"/>
  <c r="L61" i="3"/>
  <c r="K76" i="3"/>
  <c r="J47" i="3"/>
  <c r="L38" i="3"/>
  <c r="L43" i="3"/>
  <c r="J67" i="3"/>
  <c r="L71" i="3"/>
  <c r="K21" i="3"/>
  <c r="L33" i="3"/>
  <c r="L48" i="3"/>
  <c r="L81" i="3"/>
  <c r="L54" i="3"/>
  <c r="K40" i="3"/>
  <c r="K58" i="3"/>
  <c r="L73" i="3"/>
  <c r="J27" i="3"/>
  <c r="L20" i="3"/>
  <c r="L24" i="3"/>
  <c r="L26" i="3"/>
  <c r="K28" i="3"/>
  <c r="L35" i="3"/>
  <c r="L50" i="3"/>
  <c r="J79" i="3"/>
  <c r="L83" i="3"/>
  <c r="L62" i="3"/>
  <c r="J31" i="3"/>
  <c r="J42" i="3"/>
  <c r="L45" i="3"/>
  <c r="L60" i="3"/>
  <c r="L29" i="3"/>
  <c r="L30" i="3"/>
  <c r="J32" i="3"/>
  <c r="L42" i="3"/>
  <c r="J56" i="3"/>
  <c r="L28" i="3"/>
  <c r="K29" i="3"/>
  <c r="J30" i="3"/>
  <c r="L40" i="3"/>
  <c r="K41" i="3"/>
  <c r="L52" i="3"/>
  <c r="K53" i="3"/>
  <c r="J54" i="3"/>
  <c r="L64" i="3"/>
  <c r="K65" i="3"/>
  <c r="J66" i="3"/>
  <c r="L76" i="3"/>
  <c r="K77" i="3"/>
  <c r="J78" i="3"/>
  <c r="L41" i="3"/>
  <c r="L53" i="3"/>
  <c r="L77" i="3"/>
  <c r="L66" i="3"/>
  <c r="J21" i="3"/>
  <c r="K32" i="3"/>
  <c r="J33" i="3"/>
  <c r="K44" i="3"/>
  <c r="J45" i="3"/>
  <c r="L55" i="3"/>
  <c r="K56" i="3"/>
  <c r="J57" i="3"/>
  <c r="L67" i="3"/>
  <c r="K68" i="3"/>
  <c r="J69" i="3"/>
  <c r="L79" i="3"/>
  <c r="K80" i="3"/>
  <c r="J81" i="3"/>
  <c r="J22" i="3"/>
  <c r="L32" i="3"/>
  <c r="K33" i="3"/>
  <c r="J34" i="3"/>
  <c r="L44" i="3"/>
  <c r="K45" i="3"/>
  <c r="J46" i="3"/>
  <c r="L56" i="3"/>
  <c r="K57" i="3"/>
  <c r="J58" i="3"/>
  <c r="L68" i="3"/>
  <c r="K69" i="3"/>
  <c r="J70" i="3"/>
  <c r="L80" i="3"/>
  <c r="K81" i="3"/>
  <c r="J82" i="3"/>
  <c r="L65" i="3"/>
  <c r="J80" i="3"/>
  <c r="K22" i="3"/>
  <c r="J23" i="3"/>
  <c r="K34" i="3"/>
  <c r="J35" i="3"/>
  <c r="J71" i="3"/>
  <c r="K82" i="3"/>
  <c r="J83" i="3"/>
  <c r="L22" i="3"/>
  <c r="K23" i="3"/>
  <c r="J24" i="3"/>
  <c r="L34" i="3"/>
  <c r="K35" i="3"/>
  <c r="J36" i="3"/>
  <c r="L46" i="3"/>
  <c r="K47" i="3"/>
  <c r="J48" i="3"/>
  <c r="L58" i="3"/>
  <c r="K59" i="3"/>
  <c r="J60" i="3"/>
  <c r="L70" i="3"/>
  <c r="K71" i="3"/>
  <c r="J72" i="3"/>
  <c r="K83" i="3"/>
  <c r="K24" i="3"/>
  <c r="J25" i="3"/>
  <c r="K36" i="3"/>
  <c r="J37" i="3"/>
  <c r="L47" i="3"/>
  <c r="K48" i="3"/>
  <c r="J49" i="3"/>
  <c r="L59" i="3"/>
  <c r="K60" i="3"/>
  <c r="J61" i="3"/>
  <c r="K72" i="3"/>
  <c r="J73" i="3"/>
  <c r="J68" i="3"/>
  <c r="K25" i="3"/>
  <c r="J26" i="3"/>
  <c r="K37" i="3"/>
  <c r="J38" i="3"/>
  <c r="K49" i="3"/>
  <c r="J50" i="3"/>
  <c r="K61" i="3"/>
  <c r="J62" i="3"/>
  <c r="K73" i="3"/>
  <c r="J74" i="3"/>
  <c r="J44" i="3"/>
  <c r="K20" i="3"/>
  <c r="K26" i="3"/>
  <c r="K38" i="3"/>
  <c r="J39" i="3"/>
  <c r="K50" i="3"/>
  <c r="J51" i="3"/>
  <c r="K62" i="3"/>
  <c r="J63" i="3"/>
  <c r="K74" i="3"/>
  <c r="J75" i="3"/>
  <c r="L78" i="3"/>
  <c r="K27" i="3"/>
  <c r="J28" i="3"/>
  <c r="K39" i="3"/>
  <c r="J40" i="3"/>
  <c r="K51" i="3"/>
  <c r="J52" i="3"/>
  <c r="K63" i="3"/>
  <c r="J64" i="3"/>
  <c r="J76" i="3"/>
  <c r="L27" i="3"/>
  <c r="J29" i="3"/>
  <c r="L39" i="3"/>
  <c r="J41" i="3"/>
  <c r="L51" i="3"/>
  <c r="J53" i="3"/>
  <c r="L63" i="3"/>
  <c r="J65" i="3"/>
  <c r="L74" i="2"/>
  <c r="L58" i="2"/>
  <c r="J38" i="2"/>
  <c r="K59" i="2"/>
  <c r="L42" i="2"/>
  <c r="K58" i="2"/>
  <c r="J34" i="2"/>
  <c r="L82" i="2"/>
  <c r="K82" i="2"/>
  <c r="K50" i="2"/>
  <c r="K75" i="2"/>
  <c r="K43" i="2"/>
  <c r="L41" i="2"/>
  <c r="K74" i="2"/>
  <c r="K42" i="2"/>
  <c r="K62" i="2"/>
  <c r="J78" i="2"/>
  <c r="K67" i="2"/>
  <c r="K32" i="2"/>
  <c r="J48" i="2"/>
  <c r="K83" i="2"/>
  <c r="J65" i="2"/>
  <c r="K66" i="2"/>
  <c r="K28" i="2"/>
  <c r="K26" i="2"/>
  <c r="K34" i="2"/>
  <c r="K48" i="2"/>
  <c r="L66" i="2"/>
  <c r="L35" i="2"/>
  <c r="L50" i="2"/>
  <c r="L51" i="2"/>
  <c r="L48" i="2"/>
  <c r="K51" i="2"/>
  <c r="J63" i="2"/>
  <c r="J70" i="2"/>
  <c r="J79" i="2"/>
  <c r="J66" i="2"/>
  <c r="J54" i="2"/>
  <c r="J41" i="2"/>
  <c r="J25" i="2"/>
  <c r="K76" i="2"/>
  <c r="K68" i="2"/>
  <c r="K60" i="2"/>
  <c r="K52" i="2"/>
  <c r="K21" i="2"/>
  <c r="K20" i="2"/>
  <c r="K35" i="2"/>
  <c r="L83" i="2"/>
  <c r="L75" i="2"/>
  <c r="L67" i="2"/>
  <c r="L59" i="2"/>
  <c r="L34" i="2"/>
  <c r="L43" i="2"/>
  <c r="L32" i="2"/>
  <c r="L28" i="2"/>
  <c r="J35" i="2"/>
  <c r="J50" i="2"/>
  <c r="J49" i="2"/>
  <c r="K81" i="2"/>
  <c r="K65" i="2"/>
  <c r="K57" i="2"/>
  <c r="K49" i="2"/>
  <c r="K41" i="2"/>
  <c r="K33" i="2"/>
  <c r="K25" i="2"/>
  <c r="L80" i="2"/>
  <c r="L72" i="2"/>
  <c r="L64" i="2"/>
  <c r="L56" i="2"/>
  <c r="L22" i="2"/>
  <c r="L40" i="2"/>
  <c r="L36" i="2"/>
  <c r="L24" i="2"/>
  <c r="J23" i="2"/>
  <c r="J32" i="2"/>
  <c r="L65" i="2"/>
  <c r="L25" i="2"/>
  <c r="K23" i="2"/>
  <c r="J51" i="2"/>
  <c r="L23" i="2"/>
  <c r="J73" i="2"/>
  <c r="J59" i="2"/>
  <c r="J47" i="2"/>
  <c r="J33" i="2"/>
  <c r="K80" i="2"/>
  <c r="K72" i="2"/>
  <c r="K64" i="2"/>
  <c r="K56" i="2"/>
  <c r="K22" i="2"/>
  <c r="K40" i="2"/>
  <c r="K36" i="2"/>
  <c r="K24" i="2"/>
  <c r="L79" i="2"/>
  <c r="L71" i="2"/>
  <c r="L63" i="2"/>
  <c r="L55" i="2"/>
  <c r="L47" i="2"/>
  <c r="L39" i="2"/>
  <c r="L31" i="2"/>
  <c r="L27" i="2"/>
  <c r="L81" i="2"/>
  <c r="L57" i="2"/>
  <c r="L33" i="2"/>
  <c r="J74" i="2"/>
  <c r="J62" i="2"/>
  <c r="K73" i="2"/>
  <c r="J83" i="2"/>
  <c r="J71" i="2"/>
  <c r="J58" i="2"/>
  <c r="J46" i="2"/>
  <c r="J30" i="2"/>
  <c r="K79" i="2"/>
  <c r="K71" i="2"/>
  <c r="K63" i="2"/>
  <c r="K55" i="2"/>
  <c r="K47" i="2"/>
  <c r="K39" i="2"/>
  <c r="K31" i="2"/>
  <c r="K27" i="2"/>
  <c r="L78" i="2"/>
  <c r="L70" i="2"/>
  <c r="L62" i="2"/>
  <c r="L54" i="2"/>
  <c r="L46" i="2"/>
  <c r="L38" i="2"/>
  <c r="L30" i="2"/>
  <c r="L44" i="2"/>
  <c r="J57" i="2"/>
  <c r="K78" i="2"/>
  <c r="K70" i="2"/>
  <c r="K54" i="2"/>
  <c r="K46" i="2"/>
  <c r="K38" i="2"/>
  <c r="K30" i="2"/>
  <c r="K44" i="2"/>
  <c r="L77" i="2"/>
  <c r="L69" i="2"/>
  <c r="L61" i="2"/>
  <c r="L53" i="2"/>
  <c r="L45" i="2"/>
  <c r="L37" i="2"/>
  <c r="L29" i="2"/>
  <c r="L26" i="2"/>
  <c r="J75" i="2"/>
  <c r="L73" i="2"/>
  <c r="L49" i="2"/>
  <c r="J82" i="2"/>
  <c r="J43" i="2"/>
  <c r="J28" i="2"/>
  <c r="J81" i="2"/>
  <c r="J67" i="2"/>
  <c r="J55" i="2"/>
  <c r="J42" i="2"/>
  <c r="K77" i="2"/>
  <c r="K69" i="2"/>
  <c r="K61" i="2"/>
  <c r="K53" i="2"/>
  <c r="K45" i="2"/>
  <c r="K37" i="2"/>
  <c r="K29" i="2"/>
  <c r="L76" i="2"/>
  <c r="L68" i="2"/>
  <c r="L60" i="2"/>
  <c r="L52" i="2"/>
  <c r="L21" i="2"/>
  <c r="L20" i="2"/>
  <c r="J80" i="2"/>
  <c r="J72" i="2"/>
  <c r="J64" i="2"/>
  <c r="J56" i="2"/>
  <c r="J22" i="2"/>
  <c r="J40" i="2"/>
  <c r="J36" i="2"/>
  <c r="J44" i="2"/>
  <c r="J27" i="2"/>
  <c r="J39" i="2"/>
  <c r="J26" i="2"/>
  <c r="J77" i="2"/>
  <c r="J69" i="2"/>
  <c r="J61" i="2"/>
  <c r="J53" i="2"/>
  <c r="J45" i="2"/>
  <c r="J37" i="2"/>
  <c r="J29" i="2"/>
  <c r="J76" i="2"/>
  <c r="J68" i="2"/>
  <c r="J60" i="2"/>
  <c r="J52" i="2"/>
  <c r="J21" i="2"/>
  <c r="J20" i="2"/>
  <c r="J24" i="2"/>
  <c r="O52" i="15" l="1"/>
  <c r="O57" i="15"/>
  <c r="O41" i="15"/>
  <c r="O59" i="15"/>
  <c r="O67" i="15"/>
  <c r="O44" i="15"/>
  <c r="O36" i="15"/>
  <c r="O68" i="15"/>
  <c r="O17" i="15"/>
  <c r="O46" i="15"/>
  <c r="O38" i="15"/>
  <c r="O73" i="15"/>
  <c r="O43" i="15"/>
  <c r="O51" i="15"/>
  <c r="O30" i="15"/>
  <c r="O14" i="15"/>
  <c r="O19" i="15"/>
  <c r="O13" i="15"/>
  <c r="O65" i="15"/>
  <c r="O12" i="15"/>
  <c r="O54" i="15"/>
  <c r="O29" i="15"/>
  <c r="O22" i="15"/>
  <c r="O35" i="15"/>
  <c r="O49" i="15"/>
  <c r="O69" i="15"/>
  <c r="O27" i="15"/>
  <c r="O60" i="15"/>
  <c r="O28" i="15"/>
  <c r="O62" i="15"/>
  <c r="O33" i="15"/>
  <c r="M52" i="5"/>
  <c r="O20" i="15"/>
  <c r="O25" i="15"/>
  <c r="O50" i="15"/>
  <c r="O18" i="15"/>
  <c r="O63" i="15"/>
  <c r="O31" i="15"/>
  <c r="O74" i="15"/>
  <c r="O34" i="15"/>
  <c r="O47" i="15"/>
  <c r="O15" i="15"/>
  <c r="O12" i="1"/>
  <c r="O66" i="15"/>
  <c r="O11" i="15"/>
  <c r="O64" i="15"/>
  <c r="O48" i="15"/>
  <c r="O32" i="15"/>
  <c r="O16" i="15"/>
  <c r="O53" i="15"/>
  <c r="I25" i="13"/>
  <c r="I23" i="13"/>
  <c r="O21" i="15"/>
  <c r="O58" i="15"/>
  <c r="O42" i="15"/>
  <c r="O26" i="15"/>
  <c r="O45" i="15"/>
  <c r="O71" i="15"/>
  <c r="O55" i="15"/>
  <c r="O39" i="15"/>
  <c r="O23" i="15"/>
  <c r="O61" i="15"/>
  <c r="O37" i="15"/>
  <c r="O72" i="15"/>
  <c r="O56" i="15"/>
  <c r="O40" i="15"/>
  <c r="O24" i="15"/>
  <c r="O27" i="1"/>
  <c r="O29" i="1"/>
  <c r="O49" i="1"/>
  <c r="O38" i="1"/>
  <c r="O62" i="1"/>
  <c r="O39" i="1"/>
  <c r="O40" i="1"/>
  <c r="O64" i="1"/>
  <c r="O53" i="1"/>
  <c r="O18" i="1"/>
  <c r="O15" i="1"/>
  <c r="O55" i="1"/>
  <c r="O20" i="1"/>
  <c r="O63" i="1"/>
  <c r="O74" i="1"/>
  <c r="O60" i="1"/>
  <c r="O19" i="1"/>
  <c r="O47" i="1"/>
  <c r="O51" i="1"/>
  <c r="O59" i="1"/>
  <c r="O14" i="1"/>
  <c r="O42" i="1"/>
  <c r="O66" i="1"/>
  <c r="O44" i="1"/>
  <c r="O68" i="1"/>
  <c r="O57" i="1"/>
  <c r="O22" i="1"/>
  <c r="O46" i="1"/>
  <c r="O70" i="1"/>
  <c r="O24" i="1"/>
  <c r="O17" i="1"/>
  <c r="O48" i="1"/>
  <c r="O72" i="1"/>
  <c r="O61" i="1"/>
  <c r="O26" i="1"/>
  <c r="O31" i="1"/>
  <c r="O50" i="1"/>
  <c r="O13" i="1"/>
  <c r="O65" i="1"/>
  <c r="O28" i="1"/>
  <c r="O23" i="1"/>
  <c r="O52" i="1"/>
  <c r="O21" i="1"/>
  <c r="O37" i="1"/>
  <c r="O67" i="1"/>
  <c r="O30" i="1"/>
  <c r="O25" i="1"/>
  <c r="O54" i="1"/>
  <c r="O35" i="1"/>
  <c r="O41" i="1"/>
  <c r="O69" i="1"/>
  <c r="O32" i="1"/>
  <c r="O33" i="1"/>
  <c r="O56" i="1"/>
  <c r="O43" i="1"/>
  <c r="O71" i="1"/>
  <c r="O34" i="1"/>
  <c r="O16" i="1"/>
  <c r="O11" i="1"/>
  <c r="O58" i="1"/>
  <c r="O45" i="1"/>
  <c r="O73" i="1"/>
  <c r="O36" i="1"/>
  <c r="I24" i="13"/>
  <c r="S23" i="12"/>
  <c r="S26" i="12"/>
  <c r="S25" i="13"/>
  <c r="I20" i="13"/>
  <c r="I22" i="13"/>
  <c r="S24" i="12"/>
  <c r="I27" i="13"/>
  <c r="I21" i="13"/>
  <c r="I26" i="13"/>
  <c r="S20" i="13"/>
  <c r="S21" i="13"/>
  <c r="S23" i="13"/>
  <c r="S27" i="13"/>
  <c r="S24" i="13"/>
  <c r="S26" i="13"/>
  <c r="S22" i="13"/>
  <c r="M63" i="5"/>
  <c r="S22" i="12"/>
  <c r="S27" i="12"/>
  <c r="S20" i="12"/>
  <c r="S21" i="12"/>
  <c r="S25" i="12"/>
  <c r="M48" i="5"/>
  <c r="M77" i="5"/>
  <c r="M50" i="5"/>
  <c r="M46" i="5"/>
  <c r="M21" i="5"/>
  <c r="M56" i="5"/>
  <c r="M29" i="5"/>
  <c r="Y22" i="9"/>
  <c r="Y21" i="9"/>
  <c r="Y26" i="9"/>
  <c r="Y24" i="9"/>
  <c r="I26" i="12"/>
  <c r="I22" i="12"/>
  <c r="I21" i="12"/>
  <c r="I20" i="12"/>
  <c r="I24" i="12"/>
  <c r="I25" i="12"/>
  <c r="I27" i="12"/>
  <c r="I23" i="12"/>
  <c r="O58" i="7"/>
  <c r="M57" i="5"/>
  <c r="O51" i="7"/>
  <c r="M27" i="5"/>
  <c r="M78" i="5"/>
  <c r="M81" i="5"/>
  <c r="M79" i="5"/>
  <c r="M62" i="5"/>
  <c r="AC27" i="11"/>
  <c r="AC20" i="11"/>
  <c r="AC23" i="11"/>
  <c r="AC21" i="11"/>
  <c r="AC24" i="11"/>
  <c r="AC25" i="11"/>
  <c r="AC26" i="11"/>
  <c r="AC22" i="11"/>
  <c r="O21" i="11"/>
  <c r="O22" i="11"/>
  <c r="L17" i="11"/>
  <c r="K17" i="11"/>
  <c r="O24" i="11"/>
  <c r="O23" i="11"/>
  <c r="O26" i="11"/>
  <c r="O25" i="11"/>
  <c r="O27" i="11"/>
  <c r="O20" i="11"/>
  <c r="O27" i="10"/>
  <c r="O20" i="10"/>
  <c r="O23" i="10"/>
  <c r="AA20" i="10"/>
  <c r="AA23" i="10"/>
  <c r="O34" i="10"/>
  <c r="AA21" i="10"/>
  <c r="AA22" i="10"/>
  <c r="AA26" i="10"/>
  <c r="AA27" i="10"/>
  <c r="AA25" i="10"/>
  <c r="AA24" i="10"/>
  <c r="O29" i="10"/>
  <c r="O25" i="10"/>
  <c r="O33" i="10"/>
  <c r="O24" i="10"/>
  <c r="O26" i="10"/>
  <c r="O28" i="10"/>
  <c r="O21" i="10"/>
  <c r="O22" i="10"/>
  <c r="O30" i="10"/>
  <c r="O31" i="10"/>
  <c r="O32" i="10"/>
  <c r="O35" i="10"/>
  <c r="K17" i="10"/>
  <c r="L17" i="10"/>
  <c r="Y27" i="9"/>
  <c r="Y20" i="9"/>
  <c r="Y25" i="9"/>
  <c r="Y23" i="9"/>
  <c r="Q25" i="9"/>
  <c r="Q24" i="9"/>
  <c r="Q22" i="9"/>
  <c r="Q27" i="9"/>
  <c r="Q20" i="9"/>
  <c r="Q26" i="9"/>
  <c r="Q21" i="9"/>
  <c r="Q23" i="9"/>
  <c r="N21" i="6"/>
  <c r="P72" i="4"/>
  <c r="P77" i="4"/>
  <c r="P78" i="4"/>
  <c r="P52" i="4"/>
  <c r="P80" i="4"/>
  <c r="P53" i="4"/>
  <c r="P69" i="4"/>
  <c r="P55" i="4"/>
  <c r="P32" i="4"/>
  <c r="P44" i="4"/>
  <c r="P58" i="4"/>
  <c r="P49" i="4"/>
  <c r="P75" i="4"/>
  <c r="P24" i="4"/>
  <c r="P42" i="4"/>
  <c r="P39" i="4"/>
  <c r="P20" i="4"/>
  <c r="P63" i="4"/>
  <c r="P48" i="4"/>
  <c r="P74" i="4"/>
  <c r="P47" i="4"/>
  <c r="P40" i="4"/>
  <c r="P21" i="4"/>
  <c r="P71" i="4"/>
  <c r="P60" i="4"/>
  <c r="P27" i="4"/>
  <c r="P67" i="4"/>
  <c r="P57" i="4"/>
  <c r="P31" i="4"/>
  <c r="P83" i="4"/>
  <c r="P25" i="4"/>
  <c r="P51" i="4"/>
  <c r="P34" i="4"/>
  <c r="P61" i="4"/>
  <c r="P29" i="4"/>
  <c r="P33" i="4"/>
  <c r="P45" i="4"/>
  <c r="P22" i="4"/>
  <c r="P37" i="4"/>
  <c r="P73" i="4"/>
  <c r="P41" i="4"/>
  <c r="P54" i="4"/>
  <c r="P81" i="4"/>
  <c r="P64" i="4"/>
  <c r="P23" i="4"/>
  <c r="P43" i="4"/>
  <c r="P70" i="4"/>
  <c r="P68" i="4"/>
  <c r="P26" i="4"/>
  <c r="P38" i="4"/>
  <c r="P59" i="4"/>
  <c r="P35" i="4"/>
  <c r="P46" i="4"/>
  <c r="P65" i="4"/>
  <c r="P50" i="4"/>
  <c r="P79" i="4"/>
  <c r="P56" i="4"/>
  <c r="P82" i="4"/>
  <c r="P28" i="4"/>
  <c r="P36" i="4"/>
  <c r="P62" i="4"/>
  <c r="P30" i="4"/>
  <c r="P76" i="4"/>
  <c r="P66" i="4"/>
  <c r="J17" i="4"/>
  <c r="K17" i="9"/>
  <c r="L17" i="9"/>
  <c r="O48" i="7"/>
  <c r="O82" i="7"/>
  <c r="O73" i="7"/>
  <c r="O23" i="7"/>
  <c r="O59" i="7"/>
  <c r="O34" i="7"/>
  <c r="O28" i="7"/>
  <c r="O44" i="7"/>
  <c r="O65" i="7"/>
  <c r="O41" i="7"/>
  <c r="O77" i="7"/>
  <c r="O70" i="7"/>
  <c r="O46" i="7"/>
  <c r="O45" i="7"/>
  <c r="O76" i="7"/>
  <c r="O68" i="7"/>
  <c r="O72" i="7"/>
  <c r="O49" i="7"/>
  <c r="O52" i="7"/>
  <c r="O60" i="7"/>
  <c r="O32" i="7"/>
  <c r="O71" i="7"/>
  <c r="O63" i="7"/>
  <c r="O47" i="7"/>
  <c r="O39" i="7"/>
  <c r="O40" i="7"/>
  <c r="O21" i="7"/>
  <c r="O62" i="7"/>
  <c r="O38" i="7"/>
  <c r="O27" i="7"/>
  <c r="O80" i="7"/>
  <c r="O26" i="7"/>
  <c r="O35" i="7"/>
  <c r="O22" i="7"/>
  <c r="O75" i="7"/>
  <c r="O83" i="7"/>
  <c r="O67" i="7"/>
  <c r="O43" i="7"/>
  <c r="O66" i="7"/>
  <c r="O50" i="7"/>
  <c r="O42" i="7"/>
  <c r="O57" i="7"/>
  <c r="O33" i="7"/>
  <c r="O25" i="7"/>
  <c r="O74" i="7"/>
  <c r="O81" i="7"/>
  <c r="O79" i="7"/>
  <c r="O56" i="7"/>
  <c r="O78" i="7"/>
  <c r="O55" i="7"/>
  <c r="O31" i="7"/>
  <c r="O54" i="7"/>
  <c r="O30" i="7"/>
  <c r="O20" i="7"/>
  <c r="O69" i="7"/>
  <c r="O61" i="7"/>
  <c r="O53" i="7"/>
  <c r="O37" i="7"/>
  <c r="O29" i="7"/>
  <c r="O36" i="7"/>
  <c r="O64" i="7"/>
  <c r="O24" i="7"/>
  <c r="N24" i="3"/>
  <c r="N44" i="3"/>
  <c r="N35" i="6"/>
  <c r="N37" i="6"/>
  <c r="N73" i="6"/>
  <c r="N51" i="6"/>
  <c r="N71" i="6"/>
  <c r="N30" i="6"/>
  <c r="N59" i="6"/>
  <c r="N54" i="6"/>
  <c r="N57" i="6"/>
  <c r="N60" i="6"/>
  <c r="N22" i="6"/>
  <c r="N24" i="6"/>
  <c r="N45" i="6"/>
  <c r="N63" i="6"/>
  <c r="N27" i="6"/>
  <c r="N66" i="6"/>
  <c r="N26" i="6"/>
  <c r="N56" i="6"/>
  <c r="N69" i="6"/>
  <c r="N78" i="6"/>
  <c r="N61" i="6"/>
  <c r="N81" i="6"/>
  <c r="N83" i="6"/>
  <c r="N42" i="6"/>
  <c r="N64" i="6"/>
  <c r="N44" i="6"/>
  <c r="N34" i="6"/>
  <c r="N77" i="6"/>
  <c r="N28" i="6"/>
  <c r="N58" i="6"/>
  <c r="N50" i="6"/>
  <c r="N25" i="6"/>
  <c r="N48" i="6"/>
  <c r="N82" i="6"/>
  <c r="N43" i="6"/>
  <c r="N29" i="6"/>
  <c r="N52" i="6"/>
  <c r="N80" i="6"/>
  <c r="N31" i="6"/>
  <c r="N46" i="6"/>
  <c r="N33" i="6"/>
  <c r="N23" i="6"/>
  <c r="N70" i="6"/>
  <c r="N36" i="6"/>
  <c r="N76" i="6"/>
  <c r="N38" i="6"/>
  <c r="N53" i="6"/>
  <c r="N20" i="6"/>
  <c r="N75" i="6"/>
  <c r="N67" i="6"/>
  <c r="N62" i="6"/>
  <c r="N65" i="6"/>
  <c r="N68" i="6"/>
  <c r="N79" i="6"/>
  <c r="N47" i="6"/>
  <c r="N32" i="6"/>
  <c r="N41" i="6"/>
  <c r="N49" i="6"/>
  <c r="N39" i="6"/>
  <c r="N40" i="6"/>
  <c r="N55" i="6"/>
  <c r="N74" i="6"/>
  <c r="N72" i="6"/>
  <c r="M69" i="5"/>
  <c r="M42" i="5"/>
  <c r="M36" i="5"/>
  <c r="M60" i="5"/>
  <c r="M67" i="5"/>
  <c r="M23" i="5"/>
  <c r="M70" i="5"/>
  <c r="M47" i="5"/>
  <c r="M26" i="5"/>
  <c r="M74" i="5"/>
  <c r="M35" i="5"/>
  <c r="M66" i="5"/>
  <c r="M39" i="5"/>
  <c r="M71" i="5"/>
  <c r="M25" i="5"/>
  <c r="M55" i="5"/>
  <c r="M28" i="5"/>
  <c r="M51" i="5"/>
  <c r="M43" i="5"/>
  <c r="M61" i="5"/>
  <c r="M82" i="5"/>
  <c r="M72" i="5"/>
  <c r="M45" i="5"/>
  <c r="M75" i="5"/>
  <c r="M40" i="5"/>
  <c r="M80" i="5"/>
  <c r="M49" i="5"/>
  <c r="M22" i="5"/>
  <c r="M44" i="5"/>
  <c r="M34" i="5"/>
  <c r="M24" i="5"/>
  <c r="M76" i="5"/>
  <c r="M41" i="5"/>
  <c r="M20" i="5"/>
  <c r="M58" i="5"/>
  <c r="M31" i="5"/>
  <c r="M53" i="5"/>
  <c r="M64" i="5"/>
  <c r="M37" i="5"/>
  <c r="M59" i="5"/>
  <c r="M83" i="5"/>
  <c r="M54" i="5"/>
  <c r="M68" i="5"/>
  <c r="M30" i="5"/>
  <c r="M65" i="5"/>
  <c r="M38" i="5"/>
  <c r="M32" i="5"/>
  <c r="M33" i="5"/>
  <c r="M29" i="2"/>
  <c r="M59" i="2"/>
  <c r="M31" i="2"/>
  <c r="M60" i="2"/>
  <c r="M64" i="2"/>
  <c r="M42" i="2"/>
  <c r="M50" i="2"/>
  <c r="M21" i="2"/>
  <c r="M81" i="2"/>
  <c r="M62" i="2"/>
  <c r="M55" i="2"/>
  <c r="M27" i="2"/>
  <c r="M56" i="2"/>
  <c r="M20" i="2"/>
  <c r="M80" i="2"/>
  <c r="M67" i="2"/>
  <c r="M30" i="2"/>
  <c r="M36" i="2"/>
  <c r="M58" i="2"/>
  <c r="M37" i="2"/>
  <c r="M39" i="2"/>
  <c r="M72" i="2"/>
  <c r="M57" i="2"/>
  <c r="M35" i="2"/>
  <c r="M33" i="2"/>
  <c r="M48" i="2"/>
  <c r="M28" i="2"/>
  <c r="M40" i="2"/>
  <c r="M43" i="2"/>
  <c r="M68" i="2"/>
  <c r="M77" i="2"/>
  <c r="M83" i="2"/>
  <c r="M32" i="2"/>
  <c r="M75" i="2"/>
  <c r="M74" i="2"/>
  <c r="M25" i="2"/>
  <c r="M78" i="2"/>
  <c r="M24" i="2"/>
  <c r="M51" i="2"/>
  <c r="M41" i="2"/>
  <c r="M34" i="2"/>
  <c r="M73" i="2"/>
  <c r="M45" i="2"/>
  <c r="M53" i="2"/>
  <c r="M44" i="2"/>
  <c r="M46" i="2"/>
  <c r="M54" i="2"/>
  <c r="M65" i="2"/>
  <c r="M52" i="2"/>
  <c r="M61" i="2"/>
  <c r="M66" i="2"/>
  <c r="M71" i="2"/>
  <c r="M79" i="2"/>
  <c r="M69" i="2"/>
  <c r="M22" i="2"/>
  <c r="M82" i="2"/>
  <c r="M47" i="2"/>
  <c r="M70" i="2"/>
  <c r="M38" i="2"/>
  <c r="M76" i="2"/>
  <c r="M26" i="2"/>
  <c r="M23" i="2"/>
  <c r="M49" i="2"/>
  <c r="M63" i="2"/>
  <c r="N81" i="3"/>
  <c r="N31" i="3"/>
  <c r="N52" i="3"/>
  <c r="N70" i="3"/>
  <c r="N43" i="3"/>
  <c r="N66" i="3"/>
  <c r="N34" i="3"/>
  <c r="N41" i="3"/>
  <c r="N54" i="3"/>
  <c r="N65" i="3"/>
  <c r="N23" i="3"/>
  <c r="N29" i="3"/>
  <c r="N40" i="3"/>
  <c r="N74" i="3"/>
  <c r="N26" i="3"/>
  <c r="N22" i="3"/>
  <c r="N50" i="3"/>
  <c r="N33" i="3"/>
  <c r="N75" i="3"/>
  <c r="N67" i="3"/>
  <c r="N77" i="3"/>
  <c r="N53" i="3"/>
  <c r="N48" i="3"/>
  <c r="N80" i="3"/>
  <c r="N58" i="3"/>
  <c r="N49" i="3"/>
  <c r="N72" i="3"/>
  <c r="N82" i="3"/>
  <c r="N56" i="3"/>
  <c r="N28" i="3"/>
  <c r="N62" i="3"/>
  <c r="N20" i="3"/>
  <c r="N36" i="3"/>
  <c r="N71" i="3"/>
  <c r="N46" i="3"/>
  <c r="N45" i="3"/>
  <c r="N83" i="3"/>
  <c r="N76" i="3"/>
  <c r="N39" i="3"/>
  <c r="N68" i="3"/>
  <c r="N35" i="3"/>
  <c r="N78" i="3"/>
  <c r="N32" i="3"/>
  <c r="N27" i="3"/>
  <c r="N47" i="3"/>
  <c r="N51" i="3"/>
  <c r="N64" i="3"/>
  <c r="N73" i="3"/>
  <c r="N37" i="3"/>
  <c r="N60" i="3"/>
  <c r="N69" i="3"/>
  <c r="N79" i="3"/>
  <c r="N59" i="3"/>
  <c r="N38" i="3"/>
  <c r="N61" i="3"/>
  <c r="N25" i="3"/>
  <c r="N21" i="3"/>
  <c r="N30" i="3"/>
  <c r="N55" i="3"/>
  <c r="N42" i="3"/>
  <c r="N63" i="3"/>
  <c r="N57" i="3"/>
  <c r="AE20" i="11" l="1" a="1"/>
  <c r="AD20" i="9" a="1"/>
  <c r="AG82" i="9" s="1"/>
  <c r="AA20" i="9" a="1"/>
  <c r="U20" i="4" a="1"/>
  <c r="S20" i="7" a="1"/>
  <c r="T79" i="7" s="1"/>
  <c r="P20" i="7" a="1"/>
  <c r="R20" i="6" a="1"/>
  <c r="O20" i="6" a="1"/>
  <c r="Q20" i="5" a="1"/>
  <c r="R72" i="5" s="1"/>
  <c r="N20" i="5" a="1"/>
  <c r="Q20" i="2" a="1"/>
  <c r="Q20" i="2" s="1"/>
  <c r="R20" i="4" a="1"/>
  <c r="S83" i="4" s="1"/>
  <c r="R20" i="3" a="1"/>
  <c r="S47" i="3" s="1"/>
  <c r="O20" i="3" a="1"/>
  <c r="O20" i="3" s="1"/>
  <c r="N20" i="2" a="1"/>
  <c r="AE20" i="11" l="1"/>
  <c r="AF20" i="11" s="1"/>
  <c r="AH20" i="11" s="1" a="1"/>
  <c r="AH20" i="11" s="1"/>
  <c r="AK20" i="11" s="1"/>
  <c r="AF21" i="11"/>
  <c r="AF28" i="11"/>
  <c r="AF27" i="11"/>
  <c r="AF26" i="11"/>
  <c r="AF25" i="11"/>
  <c r="AF24" i="11"/>
  <c r="AF23" i="11"/>
  <c r="AF22" i="11"/>
  <c r="AK28" i="11"/>
  <c r="AK79" i="11"/>
  <c r="AK75" i="11"/>
  <c r="AK71" i="11"/>
  <c r="AK67" i="11"/>
  <c r="AK63" i="11"/>
  <c r="AK59" i="11"/>
  <c r="AK55" i="11"/>
  <c r="AK51" i="11"/>
  <c r="AK47" i="11"/>
  <c r="AK43" i="11"/>
  <c r="AK39" i="11"/>
  <c r="AK35" i="11"/>
  <c r="AK27" i="11"/>
  <c r="AK77" i="11"/>
  <c r="AK73" i="11"/>
  <c r="AK69" i="11"/>
  <c r="AK53" i="11"/>
  <c r="AK23" i="11"/>
  <c r="AK34" i="11"/>
  <c r="AK26" i="11"/>
  <c r="AK32" i="11"/>
  <c r="AK24" i="11"/>
  <c r="AK81" i="11"/>
  <c r="AK65" i="11"/>
  <c r="AK49" i="11"/>
  <c r="AK41" i="11"/>
  <c r="AK31" i="11"/>
  <c r="AK82" i="11"/>
  <c r="AK78" i="11"/>
  <c r="AK74" i="11"/>
  <c r="AK70" i="11"/>
  <c r="AK66" i="11"/>
  <c r="AK62" i="11"/>
  <c r="AK58" i="11"/>
  <c r="AK54" i="11"/>
  <c r="AK50" i="11"/>
  <c r="AK46" i="11"/>
  <c r="AK42" i="11"/>
  <c r="AK38" i="11"/>
  <c r="AK33" i="11"/>
  <c r="AK25" i="11"/>
  <c r="AK61" i="11"/>
  <c r="AK57" i="11"/>
  <c r="AK45" i="11"/>
  <c r="AK37" i="11"/>
  <c r="AK30" i="11"/>
  <c r="AK22" i="11"/>
  <c r="AK80" i="11"/>
  <c r="AK76" i="11"/>
  <c r="AK72" i="11"/>
  <c r="AK68" i="11"/>
  <c r="AK64" i="11"/>
  <c r="AK60" i="11"/>
  <c r="AK56" i="11"/>
  <c r="AK52" i="11"/>
  <c r="AK48" i="11"/>
  <c r="AK44" i="11"/>
  <c r="AK40" i="11"/>
  <c r="AK36" i="11"/>
  <c r="AK29" i="11"/>
  <c r="AK21" i="11"/>
  <c r="AI76" i="10"/>
  <c r="AI68" i="10"/>
  <c r="AI60" i="10"/>
  <c r="AI82" i="10"/>
  <c r="AI81" i="10"/>
  <c r="AI73" i="10"/>
  <c r="AI65" i="10"/>
  <c r="AI57" i="10"/>
  <c r="AI49" i="10"/>
  <c r="AI80" i="10"/>
  <c r="AI72" i="10"/>
  <c r="AI64" i="10"/>
  <c r="AI56" i="10"/>
  <c r="AI78" i="10"/>
  <c r="AI70" i="10"/>
  <c r="AI62" i="10"/>
  <c r="AI54" i="10"/>
  <c r="AI46" i="10"/>
  <c r="AI67" i="10"/>
  <c r="AI79" i="10"/>
  <c r="AI61" i="10"/>
  <c r="AI37" i="10"/>
  <c r="AI29" i="10"/>
  <c r="AI75" i="10"/>
  <c r="AI59" i="10"/>
  <c r="AI71" i="10"/>
  <c r="AI55" i="10"/>
  <c r="AI50" i="10"/>
  <c r="AI44" i="10"/>
  <c r="AI42" i="10"/>
  <c r="AI34" i="10"/>
  <c r="AI77" i="10"/>
  <c r="AI69" i="10"/>
  <c r="AI53" i="10"/>
  <c r="AI48" i="10"/>
  <c r="AI52" i="10"/>
  <c r="AI51" i="10"/>
  <c r="AI39" i="10"/>
  <c r="AI22" i="10"/>
  <c r="AI74" i="10"/>
  <c r="AI32" i="10"/>
  <c r="AI66" i="10"/>
  <c r="AI40" i="10"/>
  <c r="AI30" i="10"/>
  <c r="AI27" i="10"/>
  <c r="AI33" i="10"/>
  <c r="AI28" i="10"/>
  <c r="AI26" i="10"/>
  <c r="AI63" i="10"/>
  <c r="AI58" i="10"/>
  <c r="AI43" i="10"/>
  <c r="AI38" i="10"/>
  <c r="AI25" i="10"/>
  <c r="AI41" i="10"/>
  <c r="AI36" i="10"/>
  <c r="AI31" i="10"/>
  <c r="AI24" i="10"/>
  <c r="AI47" i="10"/>
  <c r="AI45" i="10"/>
  <c r="AI23" i="10"/>
  <c r="AD23" i="10"/>
  <c r="AD22" i="10"/>
  <c r="AD21" i="10"/>
  <c r="AD27" i="10"/>
  <c r="AD28" i="10"/>
  <c r="AD26" i="10"/>
  <c r="AD25" i="10"/>
  <c r="AD24" i="10"/>
  <c r="AB82" i="9"/>
  <c r="AB81" i="9"/>
  <c r="AB83" i="9"/>
  <c r="AB80" i="9"/>
  <c r="AB62" i="9"/>
  <c r="AB79" i="9"/>
  <c r="AB78" i="9"/>
  <c r="AB77" i="9"/>
  <c r="AB76" i="9"/>
  <c r="AB75" i="9"/>
  <c r="AB74" i="9"/>
  <c r="AB73" i="9"/>
  <c r="AB72" i="9"/>
  <c r="AB71" i="9"/>
  <c r="AB70" i="9"/>
  <c r="AB69" i="9"/>
  <c r="AB68" i="9"/>
  <c r="AG35" i="9"/>
  <c r="AG59" i="9"/>
  <c r="AG28" i="9"/>
  <c r="AG60" i="9"/>
  <c r="AG37" i="9"/>
  <c r="AG22" i="9"/>
  <c r="AG62" i="9"/>
  <c r="AG70" i="9"/>
  <c r="AG78" i="9"/>
  <c r="AG44" i="9"/>
  <c r="AG68" i="9"/>
  <c r="AG29" i="9"/>
  <c r="AG61" i="9"/>
  <c r="AG30" i="9"/>
  <c r="AG39" i="9"/>
  <c r="AG47" i="9"/>
  <c r="AG55" i="9"/>
  <c r="AG63" i="9"/>
  <c r="AG71" i="9"/>
  <c r="AG79" i="9"/>
  <c r="AG27" i="9"/>
  <c r="AG51" i="9"/>
  <c r="AG75" i="9"/>
  <c r="AG36" i="9"/>
  <c r="AG76" i="9"/>
  <c r="AG45" i="9"/>
  <c r="AG53" i="9"/>
  <c r="AG54" i="9"/>
  <c r="AG24" i="9"/>
  <c r="AG32" i="9"/>
  <c r="AG40" i="9"/>
  <c r="AG48" i="9"/>
  <c r="AG56" i="9"/>
  <c r="AG64" i="9"/>
  <c r="AG72" i="9"/>
  <c r="AG80" i="9"/>
  <c r="AG77" i="9"/>
  <c r="AG38" i="9"/>
  <c r="AG23" i="9"/>
  <c r="AG25" i="9"/>
  <c r="AG33" i="9"/>
  <c r="AG41" i="9"/>
  <c r="AG49" i="9"/>
  <c r="AG57" i="9"/>
  <c r="AG65" i="9"/>
  <c r="AG73" i="9"/>
  <c r="AG81" i="9"/>
  <c r="AG43" i="9"/>
  <c r="AG67" i="9"/>
  <c r="AG21" i="9"/>
  <c r="AG52" i="9"/>
  <c r="AD20" i="9"/>
  <c r="AG20" i="9" s="1"/>
  <c r="AG69" i="9"/>
  <c r="AG46" i="9"/>
  <c r="AG31" i="9"/>
  <c r="AG26" i="9"/>
  <c r="AG34" i="9"/>
  <c r="AG42" i="9"/>
  <c r="AG50" i="9"/>
  <c r="AG58" i="9"/>
  <c r="AG66" i="9"/>
  <c r="AG74" i="9"/>
  <c r="AB39" i="9"/>
  <c r="AB22" i="9"/>
  <c r="AB42" i="9"/>
  <c r="AB33" i="9"/>
  <c r="AB47" i="9"/>
  <c r="AB23" i="9"/>
  <c r="AB26" i="9"/>
  <c r="AB60" i="9"/>
  <c r="AB46" i="9"/>
  <c r="AB61" i="9"/>
  <c r="AB37" i="9"/>
  <c r="AB63" i="9"/>
  <c r="AB25" i="9"/>
  <c r="AB21" i="9"/>
  <c r="AB57" i="9"/>
  <c r="AB49" i="9"/>
  <c r="AB52" i="9"/>
  <c r="AB67" i="9"/>
  <c r="AB29" i="9"/>
  <c r="AB35" i="9"/>
  <c r="AB56" i="9"/>
  <c r="AB36" i="9"/>
  <c r="AA20" i="9"/>
  <c r="AB20" i="9" s="1"/>
  <c r="AB27" i="9"/>
  <c r="AB30" i="9"/>
  <c r="AB64" i="9"/>
  <c r="AB50" i="9"/>
  <c r="AB38" i="9"/>
  <c r="AB48" i="9"/>
  <c r="AB66" i="9"/>
  <c r="AB41" i="9"/>
  <c r="AB24" i="9"/>
  <c r="AB31" i="9"/>
  <c r="AB34" i="9"/>
  <c r="AB51" i="9"/>
  <c r="AB54" i="9"/>
  <c r="AB43" i="9"/>
  <c r="AB28" i="9"/>
  <c r="AB40" i="9"/>
  <c r="AB65" i="9"/>
  <c r="AB55" i="9"/>
  <c r="AB58" i="9"/>
  <c r="AB45" i="9"/>
  <c r="AB32" i="9"/>
  <c r="AB53" i="9"/>
  <c r="AB44" i="9"/>
  <c r="AB59" i="9"/>
  <c r="U20" i="4"/>
  <c r="X20" i="4" s="1"/>
  <c r="X25" i="4"/>
  <c r="X79" i="4"/>
  <c r="Q81" i="7"/>
  <c r="Q82" i="7"/>
  <c r="Q83" i="7"/>
  <c r="Q80" i="7"/>
  <c r="S81" i="4"/>
  <c r="S82" i="4"/>
  <c r="Q74" i="7"/>
  <c r="Q78" i="7"/>
  <c r="Q79" i="7"/>
  <c r="T34" i="7"/>
  <c r="T61" i="7"/>
  <c r="T56" i="7"/>
  <c r="T54" i="7"/>
  <c r="T65" i="7"/>
  <c r="T23" i="7"/>
  <c r="T42" i="7"/>
  <c r="T32" i="7"/>
  <c r="T59" i="7"/>
  <c r="T41" i="7"/>
  <c r="T73" i="7"/>
  <c r="T36" i="7"/>
  <c r="T68" i="7"/>
  <c r="T31" i="7"/>
  <c r="T63" i="7"/>
  <c r="T70" i="7"/>
  <c r="T22" i="7"/>
  <c r="T45" i="7"/>
  <c r="T77" i="7"/>
  <c r="T40" i="7"/>
  <c r="T72" i="7"/>
  <c r="T35" i="7"/>
  <c r="T67" i="7"/>
  <c r="T30" i="7"/>
  <c r="T24" i="7"/>
  <c r="T82" i="7"/>
  <c r="T38" i="7"/>
  <c r="T28" i="7"/>
  <c r="T55" i="7"/>
  <c r="T50" i="7"/>
  <c r="T69" i="7"/>
  <c r="T27" i="7"/>
  <c r="T62" i="7"/>
  <c r="T26" i="7"/>
  <c r="T49" i="7"/>
  <c r="T44" i="7"/>
  <c r="T39" i="7"/>
  <c r="T46" i="7"/>
  <c r="T21" i="7"/>
  <c r="T53" i="7"/>
  <c r="T74" i="7"/>
  <c r="T48" i="7"/>
  <c r="T80" i="7"/>
  <c r="T43" i="7"/>
  <c r="T75" i="7"/>
  <c r="T29" i="7"/>
  <c r="T51" i="7"/>
  <c r="T33" i="7"/>
  <c r="T60" i="7"/>
  <c r="T37" i="7"/>
  <c r="T64" i="7"/>
  <c r="T58" i="7"/>
  <c r="T81" i="7"/>
  <c r="T76" i="7"/>
  <c r="T71" i="7"/>
  <c r="T66" i="7"/>
  <c r="T25" i="7"/>
  <c r="T57" i="7"/>
  <c r="S20" i="7"/>
  <c r="T20" i="7" s="1"/>
  <c r="T52" i="7"/>
  <c r="T78" i="7"/>
  <c r="T47" i="7"/>
  <c r="Q76" i="7"/>
  <c r="Q25" i="7"/>
  <c r="Q48" i="7"/>
  <c r="Q50" i="7"/>
  <c r="Q52" i="7"/>
  <c r="Q54" i="7"/>
  <c r="Q56" i="7"/>
  <c r="Q39" i="7"/>
  <c r="Q58" i="7"/>
  <c r="Q28" i="7"/>
  <c r="Q60" i="7"/>
  <c r="Q65" i="7"/>
  <c r="Q43" i="7"/>
  <c r="Q75" i="7"/>
  <c r="Q30" i="7"/>
  <c r="Q62" i="7"/>
  <c r="Q61" i="7"/>
  <c r="Q59" i="7"/>
  <c r="Q63" i="7"/>
  <c r="Q73" i="7"/>
  <c r="Q22" i="7"/>
  <c r="Q32" i="7"/>
  <c r="Q64" i="7"/>
  <c r="Q77" i="7"/>
  <c r="Q47" i="7"/>
  <c r="Q33" i="7"/>
  <c r="Q34" i="7"/>
  <c r="Q66" i="7"/>
  <c r="Q44" i="7"/>
  <c r="Q46" i="7"/>
  <c r="Q69" i="7"/>
  <c r="Q21" i="7"/>
  <c r="Q49" i="7"/>
  <c r="Q45" i="7"/>
  <c r="Q67" i="7"/>
  <c r="Q24" i="7"/>
  <c r="Q57" i="7"/>
  <c r="Q71" i="7"/>
  <c r="Q29" i="7"/>
  <c r="Q36" i="7"/>
  <c r="Q68" i="7"/>
  <c r="Q41" i="7"/>
  <c r="Q51" i="7"/>
  <c r="Q53" i="7"/>
  <c r="Q38" i="7"/>
  <c r="Q70" i="7"/>
  <c r="Q27" i="7"/>
  <c r="Q31" i="7"/>
  <c r="Q35" i="7"/>
  <c r="Q26" i="7"/>
  <c r="Q37" i="7"/>
  <c r="Q40" i="7"/>
  <c r="Q72" i="7"/>
  <c r="Q23" i="7"/>
  <c r="Q55" i="7"/>
  <c r="P20" i="7"/>
  <c r="Q20" i="7" s="1"/>
  <c r="Q42" i="7"/>
  <c r="P40" i="6"/>
  <c r="P33" i="6"/>
  <c r="P41" i="6"/>
  <c r="P36" i="6"/>
  <c r="P32" i="6"/>
  <c r="P29" i="6"/>
  <c r="P39" i="6"/>
  <c r="P34" i="6"/>
  <c r="P42" i="6"/>
  <c r="P37" i="6"/>
  <c r="P30" i="6"/>
  <c r="P43" i="6"/>
  <c r="P38" i="6"/>
  <c r="P35" i="6"/>
  <c r="P31" i="6"/>
  <c r="S80" i="6"/>
  <c r="S72" i="6"/>
  <c r="S64" i="6"/>
  <c r="S56" i="6"/>
  <c r="S48" i="6"/>
  <c r="S40" i="6"/>
  <c r="S32" i="6"/>
  <c r="S24" i="6"/>
  <c r="S75" i="6"/>
  <c r="S67" i="6"/>
  <c r="S59" i="6"/>
  <c r="S51" i="6"/>
  <c r="S43" i="6"/>
  <c r="S35" i="6"/>
  <c r="S27" i="6"/>
  <c r="S45" i="6"/>
  <c r="R20" i="6"/>
  <c r="S20" i="6" s="1"/>
  <c r="S78" i="6"/>
  <c r="S70" i="6"/>
  <c r="S62" i="6"/>
  <c r="S54" i="6"/>
  <c r="S46" i="6"/>
  <c r="S38" i="6"/>
  <c r="S30" i="6"/>
  <c r="S22" i="6"/>
  <c r="S37" i="6"/>
  <c r="S81" i="6"/>
  <c r="S73" i="6"/>
  <c r="S65" i="6"/>
  <c r="S57" i="6"/>
  <c r="S49" i="6"/>
  <c r="S41" i="6"/>
  <c r="S33" i="6"/>
  <c r="S25" i="6"/>
  <c r="S21" i="6"/>
  <c r="S76" i="6"/>
  <c r="S68" i="6"/>
  <c r="S60" i="6"/>
  <c r="S52" i="6"/>
  <c r="S44" i="6"/>
  <c r="S36" i="6"/>
  <c r="S28" i="6"/>
  <c r="S61" i="6"/>
  <c r="S29" i="6"/>
  <c r="S79" i="6"/>
  <c r="S71" i="6"/>
  <c r="S63" i="6"/>
  <c r="S55" i="6"/>
  <c r="S47" i="6"/>
  <c r="S39" i="6"/>
  <c r="S31" i="6"/>
  <c r="S23" i="6"/>
  <c r="S82" i="6"/>
  <c r="S74" i="6"/>
  <c r="S66" i="6"/>
  <c r="S58" i="6"/>
  <c r="S50" i="6"/>
  <c r="S42" i="6"/>
  <c r="S34" i="6"/>
  <c r="S26" i="6"/>
  <c r="S77" i="6"/>
  <c r="S69" i="6"/>
  <c r="S53" i="6"/>
  <c r="P21" i="6"/>
  <c r="P26" i="6"/>
  <c r="P24" i="6"/>
  <c r="P27" i="6"/>
  <c r="O20" i="6"/>
  <c r="P20" i="6" s="1"/>
  <c r="P22" i="6"/>
  <c r="P25" i="6"/>
  <c r="P28" i="6"/>
  <c r="P23" i="6"/>
  <c r="O79" i="5"/>
  <c r="O78" i="5"/>
  <c r="O77" i="5"/>
  <c r="O76" i="5"/>
  <c r="O75" i="5"/>
  <c r="O74" i="5"/>
  <c r="O73" i="5"/>
  <c r="O72" i="5"/>
  <c r="O71" i="5"/>
  <c r="O70" i="5"/>
  <c r="O69" i="5"/>
  <c r="O68" i="5"/>
  <c r="R79" i="5"/>
  <c r="R26" i="5"/>
  <c r="R63" i="5"/>
  <c r="R75" i="5"/>
  <c r="R42" i="5"/>
  <c r="R45" i="5"/>
  <c r="R70" i="5"/>
  <c r="R31" i="5"/>
  <c r="R50" i="5"/>
  <c r="R58" i="5"/>
  <c r="R22" i="5"/>
  <c r="R66" i="5"/>
  <c r="R37" i="5"/>
  <c r="R52" i="5"/>
  <c r="R57" i="5"/>
  <c r="R30" i="5"/>
  <c r="R61" i="5"/>
  <c r="R43" i="5"/>
  <c r="R48" i="5"/>
  <c r="R21" i="5"/>
  <c r="R80" i="5"/>
  <c r="R28" i="5"/>
  <c r="R24" i="5"/>
  <c r="R53" i="5"/>
  <c r="R78" i="5"/>
  <c r="R71" i="5"/>
  <c r="R29" i="5"/>
  <c r="R60" i="5"/>
  <c r="R38" i="5"/>
  <c r="R56" i="5"/>
  <c r="R62" i="5"/>
  <c r="Q20" i="5"/>
  <c r="R20" i="5" s="1"/>
  <c r="R33" i="5"/>
  <c r="R25" i="5"/>
  <c r="R36" i="5"/>
  <c r="R27" i="5"/>
  <c r="R49" i="5"/>
  <c r="R40" i="5"/>
  <c r="R77" i="5"/>
  <c r="R23" i="5"/>
  <c r="R82" i="5"/>
  <c r="R68" i="5"/>
  <c r="R73" i="5"/>
  <c r="R46" i="5"/>
  <c r="R47" i="5"/>
  <c r="R59" i="5"/>
  <c r="R64" i="5"/>
  <c r="R41" i="5"/>
  <c r="R32" i="5"/>
  <c r="R44" i="5"/>
  <c r="R35" i="5"/>
  <c r="R74" i="5"/>
  <c r="R65" i="5"/>
  <c r="R51" i="5"/>
  <c r="R34" i="5"/>
  <c r="R69" i="5"/>
  <c r="R39" i="5"/>
  <c r="R76" i="5"/>
  <c r="R81" i="5"/>
  <c r="R54" i="5"/>
  <c r="R55" i="5"/>
  <c r="R67" i="5"/>
  <c r="O61" i="5"/>
  <c r="O53" i="5"/>
  <c r="O45" i="5"/>
  <c r="O37" i="5"/>
  <c r="O29" i="5"/>
  <c r="O21" i="5"/>
  <c r="O60" i="5"/>
  <c r="O36" i="5"/>
  <c r="O28" i="5"/>
  <c r="O42" i="5"/>
  <c r="O64" i="5"/>
  <c r="O56" i="5"/>
  <c r="O48" i="5"/>
  <c r="O40" i="5"/>
  <c r="O32" i="5"/>
  <c r="O24" i="5"/>
  <c r="O44" i="5"/>
  <c r="O66" i="5"/>
  <c r="O50" i="5"/>
  <c r="O26" i="5"/>
  <c r="O67" i="5"/>
  <c r="O59" i="5"/>
  <c r="O51" i="5"/>
  <c r="O43" i="5"/>
  <c r="O35" i="5"/>
  <c r="O27" i="5"/>
  <c r="N20" i="5"/>
  <c r="O20" i="5" s="1"/>
  <c r="O63" i="5"/>
  <c r="O62" i="5"/>
  <c r="O54" i="5"/>
  <c r="O46" i="5"/>
  <c r="O38" i="5"/>
  <c r="O30" i="5"/>
  <c r="O22" i="5"/>
  <c r="O39" i="5"/>
  <c r="O65" i="5"/>
  <c r="O57" i="5"/>
  <c r="O49" i="5"/>
  <c r="O41" i="5"/>
  <c r="O33" i="5"/>
  <c r="O25" i="5"/>
  <c r="O52" i="5"/>
  <c r="O31" i="5"/>
  <c r="O34" i="5"/>
  <c r="O55" i="5"/>
  <c r="O47" i="5"/>
  <c r="O58" i="5"/>
  <c r="O23" i="5"/>
  <c r="O83" i="2"/>
  <c r="O80" i="2"/>
  <c r="O81" i="2"/>
  <c r="O82" i="2"/>
  <c r="S76" i="4"/>
  <c r="S79" i="4"/>
  <c r="S80" i="4"/>
  <c r="S77" i="4"/>
  <c r="S78" i="4"/>
  <c r="S66" i="4"/>
  <c r="S73" i="4"/>
  <c r="S74" i="4"/>
  <c r="S71" i="4"/>
  <c r="S72" i="4"/>
  <c r="S75" i="4"/>
  <c r="X59" i="4"/>
  <c r="X50" i="4"/>
  <c r="X65" i="4"/>
  <c r="X30" i="4"/>
  <c r="X47" i="4"/>
  <c r="X81" i="4"/>
  <c r="X58" i="4"/>
  <c r="X45" i="4"/>
  <c r="X63" i="4"/>
  <c r="X55" i="4"/>
  <c r="X44" i="4"/>
  <c r="X51" i="4"/>
  <c r="X33" i="4"/>
  <c r="X35" i="4"/>
  <c r="X21" i="4"/>
  <c r="X39" i="4"/>
  <c r="X34" i="4"/>
  <c r="X41" i="4"/>
  <c r="X57" i="4"/>
  <c r="X38" i="4"/>
  <c r="X48" i="4"/>
  <c r="X29" i="4"/>
  <c r="X42" i="4"/>
  <c r="X28" i="4"/>
  <c r="X31" i="4"/>
  <c r="X22" i="4"/>
  <c r="X37" i="4"/>
  <c r="X78" i="4"/>
  <c r="X80" i="4"/>
  <c r="X53" i="4"/>
  <c r="X70" i="4"/>
  <c r="X40" i="4"/>
  <c r="X23" i="4"/>
  <c r="X77" i="4"/>
  <c r="X66" i="4"/>
  <c r="X75" i="4"/>
  <c r="X52" i="4"/>
  <c r="X68" i="4"/>
  <c r="X32" i="4"/>
  <c r="X26" i="4"/>
  <c r="X56" i="4"/>
  <c r="X54" i="4"/>
  <c r="X83" i="4"/>
  <c r="X36" i="4"/>
  <c r="X67" i="4"/>
  <c r="X69" i="4"/>
  <c r="X82" i="4"/>
  <c r="X27" i="4"/>
  <c r="X73" i="4"/>
  <c r="X64" i="4"/>
  <c r="X71" i="4"/>
  <c r="X49" i="4"/>
  <c r="X74" i="4"/>
  <c r="X43" i="4"/>
  <c r="X60" i="4"/>
  <c r="X46" i="4"/>
  <c r="X61" i="4"/>
  <c r="X72" i="4"/>
  <c r="X76" i="4"/>
  <c r="X62" i="4"/>
  <c r="X24" i="4"/>
  <c r="S25" i="4"/>
  <c r="S55" i="4"/>
  <c r="S56" i="4"/>
  <c r="S69" i="4"/>
  <c r="S23" i="4"/>
  <c r="S24" i="4"/>
  <c r="R20" i="4"/>
  <c r="S20" i="4" s="1"/>
  <c r="S64" i="4"/>
  <c r="S62" i="4"/>
  <c r="S37" i="4"/>
  <c r="S29" i="4"/>
  <c r="S30" i="4"/>
  <c r="S50" i="4"/>
  <c r="S31" i="4"/>
  <c r="S42" i="4"/>
  <c r="S38" i="4"/>
  <c r="S44" i="4"/>
  <c r="S35" i="4"/>
  <c r="S21" i="4"/>
  <c r="S28" i="4"/>
  <c r="S47" i="4"/>
  <c r="S48" i="4"/>
  <c r="S45" i="4"/>
  <c r="S57" i="4"/>
  <c r="S70" i="4"/>
  <c r="S43" i="4"/>
  <c r="S49" i="4"/>
  <c r="S27" i="4"/>
  <c r="S34" i="4"/>
  <c r="S53" i="4"/>
  <c r="S54" i="4"/>
  <c r="S32" i="4"/>
  <c r="S58" i="4"/>
  <c r="S63" i="4"/>
  <c r="S68" i="4"/>
  <c r="S22" i="4"/>
  <c r="S67" i="4"/>
  <c r="S33" i="4"/>
  <c r="S40" i="4"/>
  <c r="S59" i="4"/>
  <c r="S60" i="4"/>
  <c r="S52" i="4"/>
  <c r="S51" i="4"/>
  <c r="S61" i="4"/>
  <c r="S36" i="4"/>
  <c r="S41" i="4"/>
  <c r="S26" i="4"/>
  <c r="S39" i="4"/>
  <c r="S46" i="4"/>
  <c r="S65" i="4"/>
  <c r="S33" i="3"/>
  <c r="S82" i="3"/>
  <c r="S41" i="3"/>
  <c r="S39" i="3"/>
  <c r="S37" i="3"/>
  <c r="S35" i="3"/>
  <c r="S80" i="3"/>
  <c r="S45" i="3"/>
  <c r="S29" i="3"/>
  <c r="S27" i="3"/>
  <c r="S25" i="3"/>
  <c r="S23" i="3"/>
  <c r="S68" i="3"/>
  <c r="S78" i="3"/>
  <c r="S81" i="3"/>
  <c r="S34" i="3"/>
  <c r="R20" i="3"/>
  <c r="S20" i="3" s="1"/>
  <c r="S56" i="3"/>
  <c r="S66" i="3"/>
  <c r="S76" i="3"/>
  <c r="S74" i="3"/>
  <c r="S22" i="3"/>
  <c r="S44" i="3"/>
  <c r="S64" i="3"/>
  <c r="S62" i="3"/>
  <c r="S32" i="3"/>
  <c r="S50" i="3"/>
  <c r="S69" i="3"/>
  <c r="S30" i="3"/>
  <c r="S40" i="3"/>
  <c r="S38" i="3"/>
  <c r="S48" i="3"/>
  <c r="S54" i="3"/>
  <c r="S72" i="3"/>
  <c r="S42" i="3"/>
  <c r="S60" i="3"/>
  <c r="S46" i="3"/>
  <c r="S26" i="3"/>
  <c r="S67" i="3"/>
  <c r="S21" i="3"/>
  <c r="S77" i="3"/>
  <c r="S73" i="3"/>
  <c r="S71" i="3"/>
  <c r="S52" i="3"/>
  <c r="S79" i="3"/>
  <c r="S28" i="3"/>
  <c r="S36" i="3"/>
  <c r="S57" i="3"/>
  <c r="S58" i="3"/>
  <c r="S24" i="3"/>
  <c r="S55" i="3"/>
  <c r="S75" i="3"/>
  <c r="S43" i="3"/>
  <c r="S65" i="3"/>
  <c r="S63" i="3"/>
  <c r="S61" i="3"/>
  <c r="S59" i="3"/>
  <c r="S70" i="3"/>
  <c r="S31" i="3"/>
  <c r="S53" i="3"/>
  <c r="S51" i="3"/>
  <c r="S49" i="3"/>
  <c r="N20" i="2"/>
  <c r="O20" i="2" s="1"/>
  <c r="O79" i="2"/>
  <c r="O75" i="2"/>
  <c r="O76" i="2"/>
  <c r="O77" i="2"/>
  <c r="O78" i="2"/>
  <c r="O74" i="2"/>
  <c r="O63" i="2"/>
  <c r="O64" i="2"/>
  <c r="O65" i="2"/>
  <c r="O66" i="2"/>
  <c r="O67" i="2"/>
  <c r="O68" i="2"/>
  <c r="O69" i="2"/>
  <c r="O70" i="2"/>
  <c r="O71" i="2"/>
  <c r="O72" i="2"/>
  <c r="O73" i="2"/>
  <c r="O57" i="2"/>
  <c r="O58" i="2"/>
  <c r="O59" i="2"/>
  <c r="O60" i="2"/>
  <c r="O61" i="2"/>
  <c r="O62" i="2"/>
  <c r="O56" i="2"/>
  <c r="O51" i="2"/>
  <c r="O52" i="2"/>
  <c r="O53" i="2"/>
  <c r="O46" i="2"/>
  <c r="O54" i="2"/>
  <c r="O47" i="2"/>
  <c r="O55" i="2"/>
  <c r="O48" i="2"/>
  <c r="O49" i="2"/>
  <c r="O50" i="2"/>
  <c r="O44" i="2"/>
  <c r="O42" i="2"/>
  <c r="O43" i="2"/>
  <c r="O41" i="2"/>
  <c r="O45" i="2"/>
  <c r="O28" i="2"/>
  <c r="O39" i="2"/>
  <c r="O25" i="2"/>
  <c r="O40" i="2"/>
  <c r="O34" i="2"/>
  <c r="O29" i="2"/>
  <c r="O36" i="2"/>
  <c r="O37" i="2"/>
  <c r="O35" i="2"/>
  <c r="O33" i="2"/>
  <c r="O23" i="2"/>
  <c r="O24" i="2"/>
  <c r="O30" i="2"/>
  <c r="O22" i="2"/>
  <c r="O32" i="2"/>
  <c r="O38" i="2"/>
  <c r="O31" i="2"/>
  <c r="O21" i="2"/>
  <c r="O27" i="2"/>
  <c r="O26" i="2"/>
  <c r="AM20" i="11" l="1" a="1"/>
  <c r="AM20" i="11" s="1"/>
  <c r="AN20" i="11" s="1"/>
  <c r="AI20" i="9" a="1"/>
  <c r="U20" i="7" a="1"/>
  <c r="T20" i="6" a="1"/>
  <c r="S20" i="5" a="1"/>
  <c r="T35" i="5"/>
  <c r="Z20" i="4" a="1"/>
  <c r="AA39" i="4" s="1"/>
  <c r="R79" i="2"/>
  <c r="R80" i="2"/>
  <c r="R81" i="2"/>
  <c r="R82" i="2"/>
  <c r="R29" i="2"/>
  <c r="R41" i="2"/>
  <c r="R53" i="2"/>
  <c r="R65" i="2"/>
  <c r="R77" i="2"/>
  <c r="R30" i="2"/>
  <c r="R66" i="2"/>
  <c r="R55" i="2"/>
  <c r="R78" i="2"/>
  <c r="R31" i="2"/>
  <c r="R21" i="2"/>
  <c r="R32" i="2"/>
  <c r="R44" i="2"/>
  <c r="R56" i="2"/>
  <c r="R68" i="2"/>
  <c r="R33" i="2"/>
  <c r="R45" i="2"/>
  <c r="R57" i="2"/>
  <c r="R69" i="2"/>
  <c r="R22" i="2"/>
  <c r="R34" i="2"/>
  <c r="R58" i="2"/>
  <c r="R70" i="2"/>
  <c r="R35" i="2"/>
  <c r="R46" i="2"/>
  <c r="R23" i="2"/>
  <c r="R47" i="2"/>
  <c r="R59" i="2"/>
  <c r="R71" i="2"/>
  <c r="R24" i="2"/>
  <c r="R36" i="2"/>
  <c r="R48" i="2"/>
  <c r="R60" i="2"/>
  <c r="R72" i="2"/>
  <c r="R25" i="2"/>
  <c r="R37" i="2"/>
  <c r="R49" i="2"/>
  <c r="R61" i="2"/>
  <c r="R73" i="2"/>
  <c r="R27" i="2"/>
  <c r="R51" i="2"/>
  <c r="R63" i="2"/>
  <c r="R75" i="2"/>
  <c r="R67" i="2"/>
  <c r="R26" i="2"/>
  <c r="R38" i="2"/>
  <c r="R50" i="2"/>
  <c r="R62" i="2"/>
  <c r="R74" i="2"/>
  <c r="R39" i="2"/>
  <c r="R28" i="2"/>
  <c r="R40" i="2"/>
  <c r="R52" i="2"/>
  <c r="R64" i="2"/>
  <c r="R76" i="2"/>
  <c r="R42" i="2"/>
  <c r="R54" i="2"/>
  <c r="R43" i="2"/>
  <c r="R20" i="2"/>
  <c r="AN21" i="11" l="1"/>
  <c r="AL21" i="10"/>
  <c r="AL24" i="10"/>
  <c r="AL23" i="10"/>
  <c r="AL22" i="10"/>
  <c r="U26" i="6"/>
  <c r="U31" i="6"/>
  <c r="U29" i="6"/>
  <c r="U34" i="6"/>
  <c r="U27" i="6"/>
  <c r="U32" i="6"/>
  <c r="U33" i="6"/>
  <c r="U30" i="6"/>
  <c r="U28" i="6"/>
  <c r="AJ36" i="9"/>
  <c r="AJ37" i="9"/>
  <c r="AJ32" i="9"/>
  <c r="AJ33" i="9"/>
  <c r="AJ34" i="9"/>
  <c r="AJ35" i="9"/>
  <c r="AJ23" i="9"/>
  <c r="AJ29" i="9"/>
  <c r="AJ30" i="9"/>
  <c r="AJ31" i="9"/>
  <c r="AJ27" i="9"/>
  <c r="AJ28" i="9"/>
  <c r="AJ21" i="9"/>
  <c r="AJ25" i="9"/>
  <c r="AJ26" i="9"/>
  <c r="AJ22" i="9"/>
  <c r="AJ24" i="9"/>
  <c r="AI20" i="9"/>
  <c r="AJ20" i="9" s="1"/>
  <c r="AA37" i="4"/>
  <c r="AA38" i="4"/>
  <c r="V30" i="7"/>
  <c r="V32" i="7"/>
  <c r="V29" i="7"/>
  <c r="U20" i="7"/>
  <c r="V20" i="7" s="1"/>
  <c r="V31" i="7"/>
  <c r="V24" i="7"/>
  <c r="V21" i="7"/>
  <c r="V28" i="7"/>
  <c r="V26" i="7"/>
  <c r="V23" i="7"/>
  <c r="V22" i="7"/>
  <c r="V27" i="7"/>
  <c r="V25" i="7"/>
  <c r="U22" i="6"/>
  <c r="U24" i="6"/>
  <c r="U25" i="6"/>
  <c r="U21" i="6"/>
  <c r="T20" i="6"/>
  <c r="U20" i="6" s="1"/>
  <c r="U23" i="6"/>
  <c r="T36" i="5"/>
  <c r="T25" i="5"/>
  <c r="T26" i="5"/>
  <c r="T29" i="5"/>
  <c r="T24" i="5"/>
  <c r="T28" i="5"/>
  <c r="T27" i="5"/>
  <c r="T31" i="5"/>
  <c r="T30" i="5"/>
  <c r="T23" i="5"/>
  <c r="T22" i="5"/>
  <c r="S20" i="5"/>
  <c r="T20" i="5" s="1"/>
  <c r="T33" i="5"/>
  <c r="T32" i="5"/>
  <c r="T34" i="5"/>
  <c r="T21" i="5"/>
  <c r="AA35" i="4"/>
  <c r="AA36" i="4"/>
  <c r="S20" i="2" a="1"/>
  <c r="AA34" i="4"/>
  <c r="AA32" i="4"/>
  <c r="AA30" i="4"/>
  <c r="AA33" i="4"/>
  <c r="AA31" i="4"/>
  <c r="AA23" i="4"/>
  <c r="AA29" i="4"/>
  <c r="AA24" i="4"/>
  <c r="AA25" i="4"/>
  <c r="Z20" i="4"/>
  <c r="AA20" i="4" s="1"/>
  <c r="AA26" i="4"/>
  <c r="AA21" i="4"/>
  <c r="AA27" i="4"/>
  <c r="AA22" i="4"/>
  <c r="AA28" i="4"/>
  <c r="T39" i="2" l="1"/>
  <c r="T40" i="2"/>
  <c r="T41" i="2"/>
  <c r="T37" i="2"/>
  <c r="T38" i="2"/>
  <c r="T36" i="2"/>
  <c r="S20" i="2"/>
  <c r="T20" i="2" s="1"/>
  <c r="T35" i="2"/>
  <c r="T33" i="2"/>
  <c r="T34" i="2"/>
  <c r="T30" i="2"/>
  <c r="T29" i="2"/>
  <c r="T32" i="2"/>
  <c r="T28" i="2"/>
  <c r="T31" i="2"/>
  <c r="T21" i="2"/>
  <c r="T25" i="2"/>
  <c r="T24" i="2"/>
  <c r="T23" i="2"/>
  <c r="T22" i="2"/>
  <c r="T26" i="2"/>
  <c r="T27" i="2"/>
  <c r="P46" i="3"/>
  <c r="P56" i="3" l="1"/>
  <c r="P42" i="3"/>
  <c r="P37" i="3"/>
  <c r="P67" i="3"/>
  <c r="P28" i="3"/>
  <c r="P26" i="3"/>
  <c r="P72" i="3"/>
  <c r="P36" i="3"/>
  <c r="P51" i="3"/>
  <c r="P41" i="3"/>
  <c r="P33" i="3"/>
  <c r="P75" i="3"/>
  <c r="P64" i="3"/>
  <c r="P66" i="3"/>
  <c r="P54" i="3"/>
  <c r="P55" i="3"/>
  <c r="P38" i="3"/>
  <c r="P69" i="3"/>
  <c r="P53" i="3"/>
  <c r="P49" i="3"/>
  <c r="P40" i="3"/>
  <c r="P82" i="3"/>
  <c r="P47" i="3"/>
  <c r="P24" i="3"/>
  <c r="P81" i="3"/>
  <c r="P39" i="3"/>
  <c r="P50" i="3"/>
  <c r="P29" i="3"/>
  <c r="P32" i="3"/>
  <c r="P62" i="3"/>
  <c r="P21" i="3"/>
  <c r="P25" i="3"/>
  <c r="P74" i="3"/>
  <c r="P43" i="3"/>
  <c r="P65" i="3"/>
  <c r="P48" i="3"/>
  <c r="P27" i="3"/>
  <c r="P30" i="3"/>
  <c r="P68" i="3"/>
  <c r="P70" i="3"/>
  <c r="P23" i="3"/>
  <c r="P80" i="3"/>
  <c r="P73" i="3"/>
  <c r="P76" i="3"/>
  <c r="P61" i="3"/>
  <c r="P31" i="3"/>
  <c r="P57" i="3"/>
  <c r="P83" i="3"/>
  <c r="P35" i="3"/>
  <c r="P59" i="3"/>
  <c r="P63" i="3"/>
  <c r="P79" i="3"/>
  <c r="P58" i="3"/>
  <c r="P71" i="3"/>
  <c r="P20" i="3"/>
  <c r="P52" i="3"/>
  <c r="P78" i="3"/>
  <c r="P77" i="3"/>
  <c r="P60" i="3"/>
  <c r="P22" i="3"/>
  <c r="P44" i="3"/>
  <c r="P34" i="3"/>
  <c r="P45" i="3"/>
  <c r="T20" i="3" l="1" a="1"/>
  <c r="T20" i="3" s="1"/>
  <c r="U21" i="3" l="1"/>
  <c r="U24" i="3"/>
  <c r="U28" i="3"/>
  <c r="U29" i="3"/>
  <c r="U31" i="3"/>
  <c r="U32" i="3"/>
  <c r="U37" i="3"/>
  <c r="U35" i="3"/>
  <c r="U40" i="3"/>
  <c r="U33" i="3"/>
  <c r="U38" i="3"/>
  <c r="U36" i="3"/>
  <c r="U41" i="3"/>
  <c r="U39" i="3"/>
  <c r="U34" i="3"/>
  <c r="U25" i="3"/>
  <c r="U20" i="3"/>
  <c r="U22" i="3"/>
  <c r="U23" i="3"/>
  <c r="U30" i="3"/>
  <c r="U26" i="3"/>
  <c r="U27" i="3"/>
  <c r="AI20" i="10"/>
  <c r="AC20" i="10" a="1"/>
  <c r="AC20" i="10" s="1"/>
  <c r="AD20" i="10" s="1"/>
  <c r="AF20" i="10" s="1" a="1"/>
  <c r="AF20" i="10" s="1"/>
  <c r="AI21" i="10" l="1"/>
  <c r="AI35" i="10"/>
  <c r="AK20" i="10" l="1" a="1"/>
  <c r="AK20" i="10" s="1"/>
  <c r="AL20" i="10" s="1"/>
  <c r="Q31" i="13"/>
  <c r="Q33" i="12"/>
  <c r="Q36" i="12"/>
  <c r="Q31" i="12"/>
  <c r="Q37" i="12"/>
  <c r="Q36" i="13"/>
  <c r="Q35" i="12"/>
  <c r="Q32" i="13"/>
  <c r="Q34" i="12"/>
  <c r="Q37" i="13"/>
  <c r="Q33" i="13"/>
  <c r="Q34" i="13"/>
  <c r="Q32" i="12"/>
  <c r="Q35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<sst xmlns="http://schemas.openxmlformats.org/spreadsheetml/2006/main" count="1970" uniqueCount="157">
  <si>
    <t>LMS</t>
  </si>
  <si>
    <t>LS</t>
  </si>
  <si>
    <t>MS</t>
  </si>
  <si>
    <t>RS</t>
  </si>
  <si>
    <t>RMS</t>
  </si>
  <si>
    <t>UltraSonic</t>
  </si>
  <si>
    <t>n</t>
  </si>
  <si>
    <t>I1</t>
  </si>
  <si>
    <t>I2</t>
  </si>
  <si>
    <t>I-diff</t>
  </si>
  <si>
    <t>R1</t>
  </si>
  <si>
    <t>R2</t>
  </si>
  <si>
    <t>I3</t>
  </si>
  <si>
    <t>R3</t>
  </si>
  <si>
    <t>I-diff-Uniques</t>
  </si>
  <si>
    <t>Occurance</t>
  </si>
  <si>
    <t>SHARP_RIGHT</t>
  </si>
  <si>
    <t>TURN_RIGHT</t>
  </si>
  <si>
    <t>MOVING_FORWARD</t>
  </si>
  <si>
    <t>TURN_LEFT</t>
  </si>
  <si>
    <t>X</t>
  </si>
  <si>
    <t>SHARP_LEFT</t>
  </si>
  <si>
    <t>STOP_STATE</t>
  </si>
  <si>
    <t>State</t>
  </si>
  <si>
    <t>Unique</t>
  </si>
  <si>
    <t>R4</t>
  </si>
  <si>
    <t>I4</t>
  </si>
  <si>
    <t>R5</t>
  </si>
  <si>
    <t>R6</t>
  </si>
  <si>
    <t>I5</t>
  </si>
  <si>
    <t>I6</t>
  </si>
  <si>
    <t xml:space="preserve"> </t>
  </si>
  <si>
    <t>Check the Middle Sensor</t>
  </si>
  <si>
    <t>num</t>
  </si>
  <si>
    <t>R7</t>
  </si>
  <si>
    <t>I7</t>
  </si>
  <si>
    <t>State2</t>
  </si>
  <si>
    <t>I-Total</t>
  </si>
  <si>
    <t>STOP_STATE_X</t>
  </si>
  <si>
    <t>Column1</t>
  </si>
  <si>
    <t>Column2</t>
  </si>
  <si>
    <t>Column3</t>
  </si>
  <si>
    <t>Column4</t>
  </si>
  <si>
    <t>II1</t>
  </si>
  <si>
    <t>II2</t>
  </si>
  <si>
    <t>II3</t>
  </si>
  <si>
    <t>II4</t>
  </si>
  <si>
    <t>II5</t>
  </si>
  <si>
    <t>II6</t>
  </si>
  <si>
    <t>II7</t>
  </si>
  <si>
    <t>I-Total2</t>
  </si>
  <si>
    <t>MS2</t>
  </si>
  <si>
    <t>Column5</t>
  </si>
  <si>
    <t>Occurance5</t>
  </si>
  <si>
    <t>Column6</t>
  </si>
  <si>
    <t>ZEROS</t>
  </si>
  <si>
    <t>SHARP_RIGHTS</t>
  </si>
  <si>
    <t>State3</t>
  </si>
  <si>
    <t>turn 180</t>
  </si>
  <si>
    <t>crossection</t>
  </si>
  <si>
    <t>right</t>
  </si>
  <si>
    <t>left</t>
  </si>
  <si>
    <t>us</t>
  </si>
  <si>
    <t>mid</t>
  </si>
  <si>
    <t>(before margin added)</t>
  </si>
  <si>
    <t>(margin added)</t>
  </si>
  <si>
    <t>(softmax removed, 500 epochs)</t>
  </si>
  <si>
    <t>4 sensors</t>
  </si>
  <si>
    <t>200 eps</t>
  </si>
  <si>
    <t>70 eps</t>
  </si>
  <si>
    <t>&gt;&gt;</t>
  </si>
  <si>
    <t>resistance</t>
  </si>
  <si>
    <t>current</t>
  </si>
  <si>
    <t>8k</t>
  </si>
  <si>
    <t>20k</t>
  </si>
  <si>
    <t>100k</t>
  </si>
  <si>
    <t>15k</t>
  </si>
  <si>
    <t>cluster after model, 100 eps, 0.2 margin</t>
  </si>
  <si>
    <t>cluster after model, 200 eps, 0.1 margin</t>
  </si>
  <si>
    <t>9k</t>
  </si>
  <si>
    <t>11k</t>
  </si>
  <si>
    <t>7k</t>
  </si>
  <si>
    <r>
      <t xml:space="preserve">&lt;&lt; this one is better than </t>
    </r>
    <r>
      <rPr>
        <b/>
        <sz val="11"/>
        <color theme="1"/>
        <rFont val="Calibri"/>
        <family val="2"/>
        <scheme val="minor"/>
      </rPr>
      <t>3A</t>
    </r>
  </si>
  <si>
    <t>3A</t>
  </si>
  <si>
    <t>4A</t>
  </si>
  <si>
    <t>3B</t>
  </si>
  <si>
    <t>40k</t>
  </si>
  <si>
    <t>4B</t>
  </si>
  <si>
    <t>6k</t>
  </si>
  <si>
    <t>14k</t>
  </si>
  <si>
    <r>
      <t xml:space="preserve">&lt;&lt; this one is better than </t>
    </r>
    <r>
      <rPr>
        <b/>
        <sz val="11"/>
        <color theme="1"/>
        <rFont val="Calibri"/>
        <family val="2"/>
        <scheme val="minor"/>
      </rPr>
      <t>4A</t>
    </r>
  </si>
  <si>
    <t>cluster after model, 200 eps, 0.2 margin, 4 clusters, batch size 3</t>
  </si>
  <si>
    <t>cluster after model, 100 eps, 0.2 margin, 5 clusters, batch size 3</t>
  </si>
  <si>
    <t>cluster after model, 100 eps, 0.2 margin, 6 clusters, batch size 3</t>
  </si>
  <si>
    <t>cluster after model, 100 eps, 0.2 margin, 8 clusters, batch size 3</t>
  </si>
  <si>
    <t>&lt;&lt; best so far</t>
  </si>
  <si>
    <t>cluster after model, 200 eps, 0.2 margin, 7 clusters, batch size 3</t>
  </si>
  <si>
    <t>6A</t>
  </si>
  <si>
    <t>6B</t>
  </si>
  <si>
    <t>6C</t>
  </si>
  <si>
    <t>swapped these values around</t>
  </si>
  <si>
    <r>
      <t xml:space="preserve">straight priority </t>
    </r>
    <r>
      <rPr>
        <b/>
        <sz val="11"/>
        <color theme="1"/>
        <rFont val="Calibri"/>
        <family val="2"/>
        <scheme val="minor"/>
      </rPr>
      <t>6A</t>
    </r>
  </si>
  <si>
    <r>
      <t xml:space="preserve">strt shrp priority </t>
    </r>
    <r>
      <rPr>
        <b/>
        <sz val="11"/>
        <color theme="1"/>
        <rFont val="Calibri"/>
        <family val="2"/>
        <scheme val="minor"/>
      </rPr>
      <t>6A</t>
    </r>
  </si>
  <si>
    <t>cluster after model, 200 eps, 0.2 margin, 6 clusters, batch size 3</t>
  </si>
  <si>
    <t>7.2 to 8.8</t>
  </si>
  <si>
    <t>9 to 11</t>
  </si>
  <si>
    <t>18 to 22</t>
  </si>
  <si>
    <t>27 to 33</t>
  </si>
  <si>
    <t>50.4 to 61.6</t>
  </si>
  <si>
    <t>90 to 110</t>
  </si>
  <si>
    <t>8: 7.2 to 8.8</t>
  </si>
  <si>
    <t>14: 12.6 to 15.4</t>
  </si>
  <si>
    <t>20: 18 to 22</t>
  </si>
  <si>
    <t>100: 90 to 110</t>
  </si>
  <si>
    <t>6: 5.4 to 6.6</t>
  </si>
  <si>
    <t>20,30</t>
  </si>
  <si>
    <t>20,31</t>
  </si>
  <si>
    <t>21,30</t>
  </si>
  <si>
    <t>21,31</t>
  </si>
  <si>
    <t>22,30</t>
  </si>
  <si>
    <t>22,31</t>
  </si>
  <si>
    <t>23,30</t>
  </si>
  <si>
    <t>23,31</t>
  </si>
  <si>
    <t>20,32</t>
  </si>
  <si>
    <t>20,33</t>
  </si>
  <si>
    <t>21,32</t>
  </si>
  <si>
    <t>21,33</t>
  </si>
  <si>
    <t>22,32</t>
  </si>
  <si>
    <t>22,33</t>
  </si>
  <si>
    <t>23,32</t>
  </si>
  <si>
    <t>23,33</t>
  </si>
  <si>
    <t>24,30</t>
  </si>
  <si>
    <t>24,31</t>
  </si>
  <si>
    <t>25,30</t>
  </si>
  <si>
    <t>25,31</t>
  </si>
  <si>
    <t>20,34</t>
  </si>
  <si>
    <t>20,35</t>
  </si>
  <si>
    <t>21,34</t>
  </si>
  <si>
    <t>21,35</t>
  </si>
  <si>
    <t>22,34</t>
  </si>
  <si>
    <t>22,35</t>
  </si>
  <si>
    <t>23,34</t>
  </si>
  <si>
    <t>23,35</t>
  </si>
  <si>
    <t>24,32</t>
  </si>
  <si>
    <t>24,33</t>
  </si>
  <si>
    <t>24,34</t>
  </si>
  <si>
    <t>24,35</t>
  </si>
  <si>
    <t>25,32</t>
  </si>
  <si>
    <t>25,33</t>
  </si>
  <si>
    <t>25,34</t>
  </si>
  <si>
    <t>25,35</t>
  </si>
  <si>
    <t># eps = epochs</t>
  </si>
  <si>
    <t>margin = margin minimum in custom loss function</t>
  </si>
  <si>
    <t>important stuff is below the gray line of cells</t>
  </si>
  <si>
    <t># clusters = how many levels weights clustered to after training</t>
  </si>
  <si>
    <t>batch size = batch size</t>
  </si>
  <si>
    <t>cluster after model = made using "SURP 2026 NN Training.py"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</si>
</sst>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0" xfId="1" applyFont="1" applyFill="1" applyAlignment="1">
      <alignment horizontal="center"/>
    </xf>
    <xf numFmtId="0" fontId="0" fillId="0" borderId="0" xfId="0" applyAlignment="1">
      <alignment horizontal="right"/>
    </xf>
    <xf numFmtId="0" fontId="4" fillId="0" borderId="0" xfId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4" fillId="2" borderId="0" xfId="1" applyNumberFormat="1" applyFont="1" applyFill="1" applyAlignment="1">
      <alignment horizontal="center"/>
    </xf>
    <xf numFmtId="164" fontId="0" fillId="0" borderId="0" xfId="0" applyNumberFormat="1"/>
    <xf numFmtId="2" fontId="0" fillId="0" borderId="0" xfId="0" applyNumberFormat="1"/>
    <xf numFmtId="2" fontId="2" fillId="2" borderId="0" xfId="0" applyNumberFormat="1" applyFont="1" applyFill="1" applyAlignment="1">
      <alignment horizontal="center"/>
    </xf>
    <xf numFmtId="1" fontId="0" fillId="0" borderId="0" xfId="0" applyNumberFormat="1"/>
    <xf numFmtId="1" fontId="2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4" fontId="0" fillId="3" borderId="0" xfId="0" applyNumberFormat="1" applyFill="1"/>
    <xf numFmtId="164" fontId="0" fillId="0" borderId="0" xfId="0" applyNumberFormat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164" fontId="0" fillId="4" borderId="0" xfId="0" applyNumberFormat="1" applyFill="1"/>
    <xf numFmtId="2" fontId="0" fillId="4" borderId="0" xfId="0" applyNumberFormat="1" applyFill="1"/>
    <xf numFmtId="164" fontId="0" fillId="4" borderId="0" xfId="0" applyNumberFormat="1" applyFill="1" applyAlignment="1">
      <alignment horizontal="center"/>
    </xf>
    <xf numFmtId="1" fontId="0" fillId="4" borderId="0" xfId="0" applyNumberFormat="1" applyFill="1"/>
    <xf numFmtId="0" fontId="0" fillId="4" borderId="0" xfId="0" applyFill="1"/>
    <xf numFmtId="2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1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/>
    <xf numFmtId="0" fontId="0" fillId="5" borderId="0" xfId="0" applyFill="1"/>
    <xf numFmtId="0" fontId="0" fillId="6" borderId="2" xfId="0" applyFill="1" applyBorder="1"/>
    <xf numFmtId="2" fontId="0" fillId="6" borderId="1" xfId="0" applyNumberFormat="1" applyFill="1" applyBorder="1"/>
    <xf numFmtId="0" fontId="0" fillId="0" borderId="3" xfId="0" applyBorder="1"/>
    <xf numFmtId="0" fontId="0" fillId="0" borderId="4" xfId="0" applyBorder="1"/>
    <xf numFmtId="0" fontId="0" fillId="6" borderId="5" xfId="0" applyFill="1" applyBorder="1"/>
    <xf numFmtId="2" fontId="0" fillId="6" borderId="6" xfId="0" applyNumberFormat="1" applyFill="1" applyBorder="1"/>
    <xf numFmtId="0" fontId="0" fillId="0" borderId="2" xfId="0" applyBorder="1"/>
    <xf numFmtId="0" fontId="0" fillId="6" borderId="1" xfId="0" applyFill="1" applyBorder="1"/>
    <xf numFmtId="0" fontId="0" fillId="0" borderId="7" xfId="0" applyBorder="1"/>
    <xf numFmtId="0" fontId="0" fillId="7" borderId="0" xfId="0" applyFill="1"/>
  </cellXfs>
  <cellStyles count="2">
    <cellStyle name="Hyperlink" xfId="1" builtinId="8"/>
    <cellStyle name="Normal" xfId="0" builtinId="0"/>
  </cellStyles>
  <dxfs count="2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0.000E+00"/>
    </dxf>
    <dxf>
      <numFmt numFmtId="164" formatCode="0.000E+00"/>
      <alignment horizontal="center" vertical="bottom" textRotation="0" wrapText="0" indent="0" justifyLastLine="0" shrinkToFit="0" readingOrder="0"/>
    </dxf>
    <dxf>
      <numFmt numFmtId="2" formatCode="0.00"/>
    </dxf>
    <dxf>
      <numFmt numFmtId="164" formatCode="0.000E+00"/>
    </dxf>
    <dxf>
      <numFmt numFmtId="164" formatCode="0.000E+00"/>
    </dxf>
    <dxf>
      <numFmt numFmtId="164" formatCode="0.000E+0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00E+00"/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164" formatCode="0.000E+00"/>
      <alignment horizontal="right" vertical="bottom" textRotation="0" wrapText="0" indent="0" justifyLastLine="0" shrinkToFit="0" readingOrder="0"/>
    </dxf>
    <dxf>
      <numFmt numFmtId="164" formatCode="0.000E+00"/>
      <alignment horizontal="right" vertical="bottom" textRotation="0" wrapText="0" indent="0" justifyLastLine="0" shrinkToFit="0" readingOrder="0"/>
    </dxf>
    <dxf>
      <numFmt numFmtId="164" formatCode="0.000E+00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00E+00"/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numFmt numFmtId="164" formatCode="0.000E+00"/>
    </dxf>
    <dxf>
      <numFmt numFmtId="164" formatCode="0.000E+00"/>
      <alignment horizontal="center" vertical="bottom" textRotation="0" wrapText="0" indent="0" justifyLastLine="0" shrinkToFit="0" readingOrder="0"/>
    </dxf>
    <dxf>
      <numFmt numFmtId="2" formatCode="0.00"/>
    </dxf>
    <dxf>
      <numFmt numFmtId="164" formatCode="0.000E+00"/>
    </dxf>
    <dxf>
      <numFmt numFmtId="164" formatCode="0.000E+00"/>
    </dxf>
    <dxf>
      <numFmt numFmtId="164" formatCode="0.000E+0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00E+00"/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164" formatCode="0.000E+00"/>
      <alignment horizontal="right" vertical="bottom" textRotation="0" wrapText="0" indent="0" justifyLastLine="0" shrinkToFit="0" readingOrder="0"/>
    </dxf>
    <dxf>
      <numFmt numFmtId="164" formatCode="0.000E+00"/>
      <alignment horizontal="right" vertical="bottom" textRotation="0" wrapText="0" indent="0" justifyLastLine="0" shrinkToFit="0" readingOrder="0"/>
    </dxf>
    <dxf>
      <numFmt numFmtId="164" formatCode="0.000E+00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00E+00"/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numFmt numFmtId="164" formatCode="0.000E+00"/>
      <alignment horizontal="center" vertical="bottom" textRotation="0" wrapText="0" indent="0" justifyLastLine="0" shrinkToFit="0" readingOrder="0"/>
    </dxf>
    <dxf>
      <numFmt numFmtId="2" formatCode="0.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00E+00"/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  <alignment horizontal="right" vertical="bottom" textRotation="0" wrapText="0" indent="0" justifyLastLine="0" shrinkToFit="0" readingOrder="0"/>
    </dxf>
    <dxf>
      <numFmt numFmtId="164" formatCode="0.000E+00"/>
      <alignment horizontal="right" vertical="bottom" textRotation="0" wrapText="0" indent="0" justifyLastLine="0" shrinkToFit="0" readingOrder="0"/>
    </dxf>
    <dxf>
      <numFmt numFmtId="164" formatCode="0.000E+00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00E+00"/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alignment horizontal="right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164" formatCode="0.000E+00"/>
    </dxf>
    <dxf>
      <numFmt numFmtId="1" formatCode="0"/>
    </dxf>
    <dxf>
      <numFmt numFmtId="2" formatCode="0.00"/>
    </dxf>
    <dxf>
      <numFmt numFmtId="164" formatCode="0.000E+00"/>
      <alignment horizontal="center" vertical="bottom" textRotation="0" wrapText="0" indent="0" justifyLastLine="0" shrinkToFit="0" readingOrder="0"/>
    </dxf>
    <dxf>
      <numFmt numFmtId="2" formatCode="0.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  <alignment horizontal="right" vertical="bottom" textRotation="0" wrapText="0" indent="0" justifyLastLine="0" shrinkToFit="0" readingOrder="0"/>
    </dxf>
    <dxf>
      <numFmt numFmtId="164" formatCode="0.000E+00"/>
      <alignment horizontal="right" vertical="bottom" textRotation="0" wrapText="0" indent="0" justifyLastLine="0" shrinkToFit="0" readingOrder="0"/>
    </dxf>
    <dxf>
      <numFmt numFmtId="164" formatCode="0.000E+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164" formatCode="0.000E+00"/>
      <alignment horizontal="right" vertical="bottom" textRotation="0" wrapText="0" indent="0" justifyLastLine="0" shrinkToFit="0" readingOrder="0"/>
    </dxf>
    <dxf>
      <numFmt numFmtId="164" formatCode="0.000E+00"/>
      <alignment horizontal="right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  <alignment horizontal="right" vertical="bottom" textRotation="0" wrapText="0" indent="0" justifyLastLine="0" shrinkToFit="0" readingOrder="0"/>
    </dxf>
    <dxf>
      <numFmt numFmtId="164" formatCode="0.000E+00"/>
      <alignment horizontal="right" vertical="bottom" textRotation="0" wrapText="0" indent="0" justifyLastLine="0" shrinkToFit="0" readingOrder="0"/>
    </dxf>
    <dxf>
      <numFmt numFmtId="164" formatCode="0.000E+00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00E+00"/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numFmt numFmtId="2" formatCode="0.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00E+00"/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numFmt numFmtId="2" formatCode="0.00"/>
    </dxf>
    <dxf>
      <numFmt numFmtId="164" formatCode="0.000E+00"/>
    </dxf>
    <dxf>
      <numFmt numFmtId="164" formatCode="0.000E+00"/>
    </dxf>
    <dxf>
      <numFmt numFmtId="164" formatCode="0.000E+0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00E+00"/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numFmt numFmtId="164" formatCode="0.000E+00"/>
    </dxf>
    <dxf>
      <numFmt numFmtId="2" formatCode="0.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2" formatCode="0.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00E+00"/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numFmt numFmtId="164" formatCode="0.000E+00"/>
    </dxf>
    <dxf>
      <numFmt numFmtId="2" formatCode="0.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00E+00"/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numFmt numFmtId="2" formatCode="0.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00E+00"/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numFmt numFmtId="2" formatCode="0.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00E+00"/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numFmt numFmtId="2" formatCode="0.00"/>
    </dxf>
    <dxf>
      <numFmt numFmtId="164" formatCode="0.000E+00"/>
    </dxf>
    <dxf>
      <numFmt numFmtId="164" formatCode="0.000E+00"/>
    </dxf>
    <dxf>
      <numFmt numFmtId="164" formatCode="0.000E+0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00E+00"/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'6X2'!$T$11:$T$14</c:f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502-4BA6-B3AB-7E2E946D4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290352"/>
        <c:axId val="93291312"/>
      </c:barChart>
      <c:catAx>
        <c:axId val="9329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91312"/>
        <c:crosses val="autoZero"/>
        <c:auto val="1"/>
        <c:lblAlgn val="ctr"/>
        <c:lblOffset val="100"/>
        <c:noMultiLvlLbl val="0"/>
      </c:catAx>
      <c:valAx>
        <c:axId val="9329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9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'6X2'!$T$11:$T$14</c:f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702-4DB1-99CE-9B3BE6F06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290352"/>
        <c:axId val="93291312"/>
      </c:barChart>
      <c:catAx>
        <c:axId val="9329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91312"/>
        <c:crosses val="autoZero"/>
        <c:auto val="1"/>
        <c:lblAlgn val="ctr"/>
        <c:lblOffset val="100"/>
        <c:noMultiLvlLbl val="0"/>
      </c:catAx>
      <c:valAx>
        <c:axId val="9329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9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Xi+1</a:t>
            </a:r>
            <a:r>
              <a:rPr lang="en-US" baseline="0"/>
              <a:t> -Xi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val>
            <c:numRef>
              <c:f>'6X3'!$R$20:$R$83</c:f>
              <c:numCache>
                <c:formatCode>0.00</c:formatCode>
                <c:ptCount val="15"/>
                <c:pt idx="0">
                  <c:v>6</c:v>
                </c:pt>
                <c:pt idx="1">
                  <c:v>8</c:v>
                </c:pt>
                <c:pt idx="2">
                  <c:v>6</c:v>
                </c:pt>
                <c:pt idx="3">
                  <c:v>2</c:v>
                </c:pt>
                <c:pt idx="4">
                  <c:v>6</c:v>
                </c:pt>
                <c:pt idx="5">
                  <c:v>0</c:v>
                </c:pt>
                <c:pt idx="6">
                  <c:v>6</c:v>
                </c:pt>
                <c:pt idx="7">
                  <c:v>2</c:v>
                </c:pt>
                <c:pt idx="8">
                  <c:v>3.42</c:v>
                </c:pt>
                <c:pt idx="9">
                  <c:v>4.58</c:v>
                </c:pt>
                <c:pt idx="10">
                  <c:v>3.42</c:v>
                </c:pt>
                <c:pt idx="11">
                  <c:v>1.1399999999999999</c:v>
                </c:pt>
                <c:pt idx="12">
                  <c:v>6</c:v>
                </c:pt>
                <c:pt idx="13">
                  <c:v>5.14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D-4944-BE95-6EFDECCBE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655127423"/>
        <c:axId val="1558015679"/>
        <c:axId val="0"/>
      </c:bar3DChart>
      <c:catAx>
        <c:axId val="16551274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015679"/>
        <c:crosses val="autoZero"/>
        <c:auto val="1"/>
        <c:lblAlgn val="ctr"/>
        <c:lblOffset val="100"/>
        <c:noMultiLvlLbl val="0"/>
      </c:catAx>
      <c:valAx>
        <c:axId val="155801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12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Occuranceqyou	</a:t>
            </a:r>
          </a:p>
        </c:rich>
      </c:tx>
      <c:layout>
        <c:manualLayout>
          <c:xMode val="edge"/>
          <c:yMode val="edge"/>
          <c:x val="0.4247082239720034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'6X3'!$S$19</c:f>
              <c:strCache>
                <c:ptCount val="1"/>
                <c:pt idx="0">
                  <c:v>Unique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'6X3'!$S$20:$S$29</c:f>
              <c:numCache>
                <c:formatCode>0.00</c:formatCode>
                <c:ptCount val="7"/>
                <c:pt idx="0">
                  <c:v>6</c:v>
                </c:pt>
                <c:pt idx="1">
                  <c:v>8</c:v>
                </c:pt>
                <c:pt idx="2">
                  <c:v>2</c:v>
                </c:pt>
                <c:pt idx="3">
                  <c:v>0</c:v>
                </c:pt>
                <c:pt idx="4">
                  <c:v>2.58</c:v>
                </c:pt>
                <c:pt idx="5">
                  <c:v>3.42</c:v>
                </c:pt>
                <c:pt idx="6">
                  <c:v>1.1399999999999999</c:v>
                </c:pt>
              </c:numCache>
            </c:numRef>
          </c:cat>
          <c:val>
            <c:numRef>
              <c:f>'6X3'!$T$20:$T$29</c:f>
              <c:numCache>
                <c:formatCode>0</c:formatCode>
                <c:ptCount val="7"/>
                <c:pt idx="0">
                  <c:v>14</c:v>
                </c:pt>
                <c:pt idx="1">
                  <c:v>2</c:v>
                </c:pt>
                <c:pt idx="2">
                  <c:v>12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E0-42AB-9D27-56DB59998A7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4728335"/>
        <c:axId val="144728815"/>
      </c:barChart>
      <c:catAx>
        <c:axId val="144728335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28815"/>
        <c:crosses val="autoZero"/>
        <c:auto val="1"/>
        <c:lblAlgn val="ctr"/>
        <c:lblOffset val="100"/>
        <c:noMultiLvlLbl val="0"/>
      </c:catAx>
      <c:valAx>
        <c:axId val="14472881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44728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val>
            <c:numRef>
              <c:f>'6X4'!$S$21:$S$83</c:f>
              <c:numCache>
                <c:formatCode>0.00</c:formatCode>
                <c:ptCount val="63"/>
                <c:pt idx="0">
                  <c:v>8</c:v>
                </c:pt>
                <c:pt idx="1">
                  <c:v>8</c:v>
                </c:pt>
                <c:pt idx="2">
                  <c:v>19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8</c:v>
                </c:pt>
                <c:pt idx="8">
                  <c:v>8</c:v>
                </c:pt>
                <c:pt idx="9">
                  <c:v>3</c:v>
                </c:pt>
                <c:pt idx="10">
                  <c:v>5</c:v>
                </c:pt>
                <c:pt idx="11">
                  <c:v>3</c:v>
                </c:pt>
                <c:pt idx="12">
                  <c:v>8</c:v>
                </c:pt>
                <c:pt idx="13">
                  <c:v>3</c:v>
                </c:pt>
                <c:pt idx="14">
                  <c:v>5</c:v>
                </c:pt>
                <c:pt idx="15">
                  <c:v>0</c:v>
                </c:pt>
                <c:pt idx="16">
                  <c:v>3</c:v>
                </c:pt>
                <c:pt idx="17">
                  <c:v>5</c:v>
                </c:pt>
                <c:pt idx="18">
                  <c:v>3</c:v>
                </c:pt>
                <c:pt idx="19">
                  <c:v>5</c:v>
                </c:pt>
                <c:pt idx="20">
                  <c:v>3</c:v>
                </c:pt>
                <c:pt idx="21">
                  <c:v>0</c:v>
                </c:pt>
                <c:pt idx="22">
                  <c:v>5</c:v>
                </c:pt>
                <c:pt idx="23">
                  <c:v>3</c:v>
                </c:pt>
                <c:pt idx="24">
                  <c:v>8</c:v>
                </c:pt>
                <c:pt idx="25">
                  <c:v>2</c:v>
                </c:pt>
                <c:pt idx="26">
                  <c:v>6</c:v>
                </c:pt>
                <c:pt idx="27">
                  <c:v>2</c:v>
                </c:pt>
                <c:pt idx="28">
                  <c:v>8</c:v>
                </c:pt>
                <c:pt idx="29">
                  <c:v>0</c:v>
                </c:pt>
                <c:pt idx="30">
                  <c:v>8</c:v>
                </c:pt>
                <c:pt idx="31">
                  <c:v>0</c:v>
                </c:pt>
                <c:pt idx="32">
                  <c:v>8</c:v>
                </c:pt>
                <c:pt idx="33">
                  <c:v>3</c:v>
                </c:pt>
                <c:pt idx="34">
                  <c:v>5</c:v>
                </c:pt>
                <c:pt idx="35">
                  <c:v>3</c:v>
                </c:pt>
                <c:pt idx="36">
                  <c:v>8</c:v>
                </c:pt>
                <c:pt idx="37">
                  <c:v>2</c:v>
                </c:pt>
                <c:pt idx="38">
                  <c:v>6</c:v>
                </c:pt>
                <c:pt idx="39">
                  <c:v>0</c:v>
                </c:pt>
                <c:pt idx="40">
                  <c:v>2</c:v>
                </c:pt>
                <c:pt idx="41">
                  <c:v>6</c:v>
                </c:pt>
                <c:pt idx="42">
                  <c:v>2</c:v>
                </c:pt>
                <c:pt idx="43">
                  <c:v>6</c:v>
                </c:pt>
                <c:pt idx="44">
                  <c:v>2</c:v>
                </c:pt>
                <c:pt idx="45">
                  <c:v>0</c:v>
                </c:pt>
                <c:pt idx="46">
                  <c:v>6</c:v>
                </c:pt>
                <c:pt idx="47">
                  <c:v>2</c:v>
                </c:pt>
                <c:pt idx="48">
                  <c:v>8</c:v>
                </c:pt>
                <c:pt idx="49">
                  <c:v>3</c:v>
                </c:pt>
                <c:pt idx="50">
                  <c:v>5</c:v>
                </c:pt>
                <c:pt idx="51">
                  <c:v>3</c:v>
                </c:pt>
                <c:pt idx="52">
                  <c:v>8</c:v>
                </c:pt>
                <c:pt idx="53">
                  <c:v>8</c:v>
                </c:pt>
                <c:pt idx="54">
                  <c:v>10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19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9-4ACB-AF32-8140F739C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655127423"/>
        <c:axId val="1558015679"/>
        <c:axId val="0"/>
      </c:bar3DChart>
      <c:catAx>
        <c:axId val="16551274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015679"/>
        <c:crosses val="autoZero"/>
        <c:auto val="1"/>
        <c:lblAlgn val="ctr"/>
        <c:lblOffset val="100"/>
        <c:noMultiLvlLbl val="0"/>
      </c:catAx>
      <c:valAx>
        <c:axId val="155801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12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555555555555555E-2"/>
          <c:y val="0.15226905714390576"/>
          <c:w val="0.93888888888888888"/>
          <c:h val="0.707906798490165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'6X4'!$U$19</c:f>
              <c:strCache>
                <c:ptCount val="1"/>
                <c:pt idx="0">
                  <c:v>Occurance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'6X4'!$T$20:$T$37</c:f>
              <c:strCache>
                <c:ptCount val="8"/>
                <c:pt idx="0">
                  <c:v>8.00</c:v>
                </c:pt>
                <c:pt idx="1">
                  <c:v>19.00</c:v>
                </c:pt>
                <c:pt idx="2">
                  <c:v>10.00</c:v>
                </c:pt>
                <c:pt idx="3">
                  <c:v>3.00</c:v>
                </c:pt>
                <c:pt idx="4">
                  <c:v>5.00</c:v>
                </c:pt>
                <c:pt idx="5">
                  <c:v>0.00</c:v>
                </c:pt>
                <c:pt idx="6">
                  <c:v>2.00</c:v>
                </c:pt>
                <c:pt idx="7">
                  <c:v>6.00</c:v>
                </c:pt>
              </c:strCache>
            </c:strRef>
          </c:cat>
          <c:val>
            <c:numRef>
              <c:f>'6X4'!$U$20:$U$38</c:f>
              <c:numCache>
                <c:formatCode>0</c:formatCode>
                <c:ptCount val="19"/>
                <c:pt idx="0">
                  <c:v>23</c:v>
                </c:pt>
                <c:pt idx="1">
                  <c:v>2</c:v>
                </c:pt>
                <c:pt idx="2">
                  <c:v>2</c:v>
                </c:pt>
                <c:pt idx="3">
                  <c:v>11</c:v>
                </c:pt>
                <c:pt idx="4">
                  <c:v>7</c:v>
                </c:pt>
                <c:pt idx="5">
                  <c:v>6</c:v>
                </c:pt>
                <c:pt idx="6">
                  <c:v>7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6-4C45-BD65-FDEE4E884CC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4728335"/>
        <c:axId val="144728815"/>
      </c:barChart>
      <c:catAx>
        <c:axId val="14472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3840000" spcFirstLastPara="1" vertOverflow="ellipsis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28815"/>
        <c:crosses val="autoZero"/>
        <c:auto val="1"/>
        <c:lblAlgn val="ctr"/>
        <c:lblOffset val="100"/>
        <c:noMultiLvlLbl val="0"/>
      </c:catAx>
      <c:valAx>
        <c:axId val="14472881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44728335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val>
            <c:numRef>
              <c:f>'6x5'!$T$20:$T$83</c:f>
              <c:numCache>
                <c:formatCode>0.00</c:formatCode>
                <c:ptCount val="64"/>
                <c:pt idx="0">
                  <c:v>10</c:v>
                </c:pt>
                <c:pt idx="1">
                  <c:v>8</c:v>
                </c:pt>
                <c:pt idx="2">
                  <c:v>8</c:v>
                </c:pt>
                <c:pt idx="3">
                  <c:v>2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8</c:v>
                </c:pt>
                <c:pt idx="11">
                  <c:v>1</c:v>
                </c:pt>
                <c:pt idx="12">
                  <c:v>1</c:v>
                </c:pt>
                <c:pt idx="13">
                  <c:v>8</c:v>
                </c:pt>
                <c:pt idx="14">
                  <c:v>1</c:v>
                </c:pt>
                <c:pt idx="15">
                  <c:v>7</c:v>
                </c:pt>
                <c:pt idx="16">
                  <c:v>1</c:v>
                </c:pt>
                <c:pt idx="17">
                  <c:v>8</c:v>
                </c:pt>
                <c:pt idx="18">
                  <c:v>1</c:v>
                </c:pt>
                <c:pt idx="19">
                  <c:v>1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1</c:v>
                </c:pt>
                <c:pt idx="24">
                  <c:v>9</c:v>
                </c:pt>
                <c:pt idx="25">
                  <c:v>0</c:v>
                </c:pt>
                <c:pt idx="26">
                  <c:v>8</c:v>
                </c:pt>
                <c:pt idx="27">
                  <c:v>2</c:v>
                </c:pt>
                <c:pt idx="28">
                  <c:v>6</c:v>
                </c:pt>
                <c:pt idx="29">
                  <c:v>2</c:v>
                </c:pt>
                <c:pt idx="30">
                  <c:v>0</c:v>
                </c:pt>
                <c:pt idx="31">
                  <c:v>8</c:v>
                </c:pt>
                <c:pt idx="32">
                  <c:v>0</c:v>
                </c:pt>
                <c:pt idx="33">
                  <c:v>2</c:v>
                </c:pt>
                <c:pt idx="34">
                  <c:v>6</c:v>
                </c:pt>
                <c:pt idx="35">
                  <c:v>2</c:v>
                </c:pt>
                <c:pt idx="36">
                  <c:v>8</c:v>
                </c:pt>
                <c:pt idx="37">
                  <c:v>0</c:v>
                </c:pt>
                <c:pt idx="38">
                  <c:v>9</c:v>
                </c:pt>
                <c:pt idx="39">
                  <c:v>1</c:v>
                </c:pt>
                <c:pt idx="40">
                  <c:v>9</c:v>
                </c:pt>
                <c:pt idx="41">
                  <c:v>8</c:v>
                </c:pt>
                <c:pt idx="42">
                  <c:v>8</c:v>
                </c:pt>
                <c:pt idx="43">
                  <c:v>1</c:v>
                </c:pt>
                <c:pt idx="44">
                  <c:v>1</c:v>
                </c:pt>
                <c:pt idx="45">
                  <c:v>8</c:v>
                </c:pt>
                <c:pt idx="46">
                  <c:v>1</c:v>
                </c:pt>
                <c:pt idx="47">
                  <c:v>7</c:v>
                </c:pt>
                <c:pt idx="48">
                  <c:v>1</c:v>
                </c:pt>
                <c:pt idx="49">
                  <c:v>8</c:v>
                </c:pt>
                <c:pt idx="50">
                  <c:v>1</c:v>
                </c:pt>
                <c:pt idx="51">
                  <c:v>1</c:v>
                </c:pt>
                <c:pt idx="52">
                  <c:v>8</c:v>
                </c:pt>
                <c:pt idx="53">
                  <c:v>8</c:v>
                </c:pt>
                <c:pt idx="54">
                  <c:v>10</c:v>
                </c:pt>
                <c:pt idx="55">
                  <c:v>9</c:v>
                </c:pt>
                <c:pt idx="56">
                  <c:v>10</c:v>
                </c:pt>
                <c:pt idx="57">
                  <c:v>8</c:v>
                </c:pt>
                <c:pt idx="58">
                  <c:v>8</c:v>
                </c:pt>
                <c:pt idx="59">
                  <c:v>2</c:v>
                </c:pt>
                <c:pt idx="60">
                  <c:v>8</c:v>
                </c:pt>
                <c:pt idx="61">
                  <c:v>8</c:v>
                </c:pt>
                <c:pt idx="62">
                  <c:v>10</c:v>
                </c:pt>
                <c:pt idx="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C7-4E40-9D6B-38633E3A2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655127423"/>
        <c:axId val="1558015679"/>
        <c:axId val="0"/>
      </c:bar3DChart>
      <c:catAx>
        <c:axId val="16551274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015679"/>
        <c:crosses val="autoZero"/>
        <c:auto val="1"/>
        <c:lblAlgn val="ctr"/>
        <c:lblOffset val="100"/>
        <c:noMultiLvlLbl val="0"/>
      </c:catAx>
      <c:valAx>
        <c:axId val="155801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12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555555555555555E-2"/>
          <c:y val="0.15226905714390576"/>
          <c:w val="0.93888888888888888"/>
          <c:h val="0.707906798490165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'6x5'!$V$19</c:f>
              <c:strCache>
                <c:ptCount val="1"/>
                <c:pt idx="0">
                  <c:v>Occurance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'6x5'!$U$20:$U$37</c:f>
              <c:strCache>
                <c:ptCount val="8"/>
                <c:pt idx="0">
                  <c:v>10.00</c:v>
                </c:pt>
                <c:pt idx="1">
                  <c:v>8.00</c:v>
                </c:pt>
                <c:pt idx="2">
                  <c:v>2.00</c:v>
                </c:pt>
                <c:pt idx="3">
                  <c:v>9.00</c:v>
                </c:pt>
                <c:pt idx="4">
                  <c:v>1.00</c:v>
                </c:pt>
                <c:pt idx="5">
                  <c:v>7.00</c:v>
                </c:pt>
                <c:pt idx="6">
                  <c:v>0.00</c:v>
                </c:pt>
                <c:pt idx="7">
                  <c:v>6.00</c:v>
                </c:pt>
              </c:strCache>
            </c:strRef>
          </c:cat>
          <c:val>
            <c:numRef>
              <c:f>'6x5'!$V$20:$V$33</c:f>
              <c:numCache>
                <c:formatCode>0</c:formatCode>
                <c:ptCount val="14"/>
                <c:pt idx="0">
                  <c:v>6</c:v>
                </c:pt>
                <c:pt idx="1">
                  <c:v>23</c:v>
                </c:pt>
                <c:pt idx="2">
                  <c:v>6</c:v>
                </c:pt>
                <c:pt idx="3">
                  <c:v>6</c:v>
                </c:pt>
                <c:pt idx="4">
                  <c:v>14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A-43AD-A135-CFE790AEF87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4728335"/>
        <c:axId val="144728815"/>
      </c:barChart>
      <c:catAx>
        <c:axId val="14472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3840000" spcFirstLastPara="1" vertOverflow="ellipsis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28815"/>
        <c:crosses val="autoZero"/>
        <c:auto val="1"/>
        <c:lblAlgn val="ctr"/>
        <c:lblOffset val="100"/>
        <c:noMultiLvlLbl val="0"/>
      </c:catAx>
      <c:valAx>
        <c:axId val="14472881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44728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Xi+1</a:t>
            </a:r>
            <a:r>
              <a:rPr lang="en-US" baseline="0"/>
              <a:t> - Xi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numRef>
              <c:f>'6x6'!$W$20:$W$82</c:f>
              <c:numCache>
                <c:formatCode>General</c:formatCode>
                <c:ptCount val="6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</c:numCache>
            </c:numRef>
          </c:cat>
          <c:val>
            <c:numRef>
              <c:f>'6x6'!$X$20:$X$82</c:f>
              <c:numCache>
                <c:formatCode>0.00</c:formatCode>
                <c:ptCount val="63"/>
                <c:pt idx="0">
                  <c:v>10</c:v>
                </c:pt>
                <c:pt idx="1">
                  <c:v>31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31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27</c:v>
                </c:pt>
                <c:pt idx="12">
                  <c:v>4</c:v>
                </c:pt>
                <c:pt idx="13">
                  <c:v>1</c:v>
                </c:pt>
                <c:pt idx="14">
                  <c:v>4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4</c:v>
                </c:pt>
                <c:pt idx="20">
                  <c:v>2</c:v>
                </c:pt>
                <c:pt idx="21">
                  <c:v>25</c:v>
                </c:pt>
                <c:pt idx="22">
                  <c:v>4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1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28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1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4</c:v>
                </c:pt>
                <c:pt idx="41">
                  <c:v>25</c:v>
                </c:pt>
                <c:pt idx="42">
                  <c:v>2</c:v>
                </c:pt>
                <c:pt idx="43">
                  <c:v>4</c:v>
                </c:pt>
                <c:pt idx="44">
                  <c:v>1</c:v>
                </c:pt>
                <c:pt idx="45">
                  <c:v>3</c:v>
                </c:pt>
                <c:pt idx="46">
                  <c:v>1</c:v>
                </c:pt>
                <c:pt idx="47">
                  <c:v>1</c:v>
                </c:pt>
                <c:pt idx="48">
                  <c:v>4</c:v>
                </c:pt>
                <c:pt idx="49">
                  <c:v>1</c:v>
                </c:pt>
                <c:pt idx="50">
                  <c:v>4</c:v>
                </c:pt>
                <c:pt idx="51">
                  <c:v>27</c:v>
                </c:pt>
                <c:pt idx="52">
                  <c:v>4</c:v>
                </c:pt>
                <c:pt idx="53">
                  <c:v>4</c:v>
                </c:pt>
                <c:pt idx="54">
                  <c:v>2</c:v>
                </c:pt>
                <c:pt idx="55">
                  <c:v>4</c:v>
                </c:pt>
                <c:pt idx="56">
                  <c:v>4</c:v>
                </c:pt>
                <c:pt idx="57">
                  <c:v>31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31</c:v>
                </c:pt>
                <c:pt idx="6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55-4A65-BD17-8D9470649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655127423"/>
        <c:axId val="1558015679"/>
        <c:axId val="0"/>
      </c:bar3DChart>
      <c:catAx>
        <c:axId val="165512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015679"/>
        <c:crosses val="autoZero"/>
        <c:auto val="1"/>
        <c:lblAlgn val="ctr"/>
        <c:lblOffset val="100"/>
        <c:noMultiLvlLbl val="0"/>
      </c:catAx>
      <c:valAx>
        <c:axId val="155801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12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555555555555555E-2"/>
          <c:y val="0.15226905714390576"/>
          <c:w val="0.93888888888888888"/>
          <c:h val="0.707906798490165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'6x6'!$AA$19</c:f>
              <c:strCache>
                <c:ptCount val="1"/>
                <c:pt idx="0">
                  <c:v>Occurance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'6x6'!$Z$20:$Z$31</c:f>
              <c:strCache>
                <c:ptCount val="10"/>
                <c:pt idx="0">
                  <c:v>10.00</c:v>
                </c:pt>
                <c:pt idx="1">
                  <c:v>31.00</c:v>
                </c:pt>
                <c:pt idx="2">
                  <c:v>5.00</c:v>
                </c:pt>
                <c:pt idx="3">
                  <c:v>4.00</c:v>
                </c:pt>
                <c:pt idx="4">
                  <c:v>2.00</c:v>
                </c:pt>
                <c:pt idx="5">
                  <c:v>27.00</c:v>
                </c:pt>
                <c:pt idx="6">
                  <c:v>1.00</c:v>
                </c:pt>
                <c:pt idx="7">
                  <c:v>3.00</c:v>
                </c:pt>
                <c:pt idx="8">
                  <c:v>25.00</c:v>
                </c:pt>
                <c:pt idx="9">
                  <c:v>28.00</c:v>
                </c:pt>
              </c:strCache>
            </c:strRef>
          </c:cat>
          <c:val>
            <c:numRef>
              <c:f>'6x6'!$AA$20:$AA$31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16</c:v>
                </c:pt>
                <c:pt idx="4">
                  <c:v>14</c:v>
                </c:pt>
                <c:pt idx="5">
                  <c:v>2</c:v>
                </c:pt>
                <c:pt idx="6">
                  <c:v>10</c:v>
                </c:pt>
                <c:pt idx="7">
                  <c:v>6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3-4995-A876-6BE1E8F7316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4728335"/>
        <c:axId val="144728815"/>
      </c:barChart>
      <c:catAx>
        <c:axId val="14472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3840000" spcFirstLastPara="1" vertOverflow="ellipsis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28815"/>
        <c:crosses val="autoZero"/>
        <c:auto val="1"/>
        <c:lblAlgn val="ctr"/>
        <c:lblOffset val="100"/>
        <c:noMultiLvlLbl val="0"/>
      </c:catAx>
      <c:valAx>
        <c:axId val="14472881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44728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Xi+1</a:t>
            </a:r>
            <a:r>
              <a:rPr lang="en-US" baseline="0"/>
              <a:t> - Xi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numRef>
              <c:f>'6x6'!$W$20:$W$82</c:f>
              <c:numCache>
                <c:formatCode>General</c:formatCode>
                <c:ptCount val="6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</c:numCache>
            </c:numRef>
          </c:cat>
          <c:val>
            <c:numRef>
              <c:f>'6x6'!$X$20:$X$82</c:f>
              <c:numCache>
                <c:formatCode>0.00</c:formatCode>
                <c:ptCount val="63"/>
                <c:pt idx="0">
                  <c:v>10</c:v>
                </c:pt>
                <c:pt idx="1">
                  <c:v>31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31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27</c:v>
                </c:pt>
                <c:pt idx="12">
                  <c:v>4</c:v>
                </c:pt>
                <c:pt idx="13">
                  <c:v>1</c:v>
                </c:pt>
                <c:pt idx="14">
                  <c:v>4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4</c:v>
                </c:pt>
                <c:pt idx="20">
                  <c:v>2</c:v>
                </c:pt>
                <c:pt idx="21">
                  <c:v>25</c:v>
                </c:pt>
                <c:pt idx="22">
                  <c:v>4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1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28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1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4</c:v>
                </c:pt>
                <c:pt idx="41">
                  <c:v>25</c:v>
                </c:pt>
                <c:pt idx="42">
                  <c:v>2</c:v>
                </c:pt>
                <c:pt idx="43">
                  <c:v>4</c:v>
                </c:pt>
                <c:pt idx="44">
                  <c:v>1</c:v>
                </c:pt>
                <c:pt idx="45">
                  <c:v>3</c:v>
                </c:pt>
                <c:pt idx="46">
                  <c:v>1</c:v>
                </c:pt>
                <c:pt idx="47">
                  <c:v>1</c:v>
                </c:pt>
                <c:pt idx="48">
                  <c:v>4</c:v>
                </c:pt>
                <c:pt idx="49">
                  <c:v>1</c:v>
                </c:pt>
                <c:pt idx="50">
                  <c:v>4</c:v>
                </c:pt>
                <c:pt idx="51">
                  <c:v>27</c:v>
                </c:pt>
                <c:pt idx="52">
                  <c:v>4</c:v>
                </c:pt>
                <c:pt idx="53">
                  <c:v>4</c:v>
                </c:pt>
                <c:pt idx="54">
                  <c:v>2</c:v>
                </c:pt>
                <c:pt idx="55">
                  <c:v>4</c:v>
                </c:pt>
                <c:pt idx="56">
                  <c:v>4</c:v>
                </c:pt>
                <c:pt idx="57">
                  <c:v>31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31</c:v>
                </c:pt>
                <c:pt idx="6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E4-4C09-B5B9-47A966BCD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655127423"/>
        <c:axId val="1558015679"/>
        <c:axId val="0"/>
      </c:bar3DChart>
      <c:catAx>
        <c:axId val="165512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015679"/>
        <c:crosses val="autoZero"/>
        <c:auto val="1"/>
        <c:lblAlgn val="ctr"/>
        <c:lblOffset val="100"/>
        <c:noMultiLvlLbl val="0"/>
      </c:catAx>
      <c:valAx>
        <c:axId val="155801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12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555555555555555E-2"/>
          <c:y val="0.15226905714390576"/>
          <c:w val="0.93888888888888888"/>
          <c:h val="0.707906798490165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'6x6'!$AA$19</c:f>
              <c:strCache>
                <c:ptCount val="1"/>
                <c:pt idx="0">
                  <c:v>Occurance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'6x6'!$Z$20:$Z$31</c:f>
              <c:strCache>
                <c:ptCount val="10"/>
                <c:pt idx="0">
                  <c:v>10.00</c:v>
                </c:pt>
                <c:pt idx="1">
                  <c:v>31.00</c:v>
                </c:pt>
                <c:pt idx="2">
                  <c:v>5.00</c:v>
                </c:pt>
                <c:pt idx="3">
                  <c:v>4.00</c:v>
                </c:pt>
                <c:pt idx="4">
                  <c:v>2.00</c:v>
                </c:pt>
                <c:pt idx="5">
                  <c:v>27.00</c:v>
                </c:pt>
                <c:pt idx="6">
                  <c:v>1.00</c:v>
                </c:pt>
                <c:pt idx="7">
                  <c:v>3.00</c:v>
                </c:pt>
                <c:pt idx="8">
                  <c:v>25.00</c:v>
                </c:pt>
                <c:pt idx="9">
                  <c:v>28.00</c:v>
                </c:pt>
              </c:strCache>
            </c:strRef>
          </c:cat>
          <c:val>
            <c:numRef>
              <c:f>'6x6'!$AA$20:$AA$31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16</c:v>
                </c:pt>
                <c:pt idx="4">
                  <c:v>14</c:v>
                </c:pt>
                <c:pt idx="5">
                  <c:v>2</c:v>
                </c:pt>
                <c:pt idx="6">
                  <c:v>10</c:v>
                </c:pt>
                <c:pt idx="7">
                  <c:v>6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3-4FE2-A7DE-7420A58C6EF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4728335"/>
        <c:axId val="144728815"/>
      </c:barChart>
      <c:catAx>
        <c:axId val="14472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3840000" spcFirstLastPara="1" vertOverflow="ellipsis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28815"/>
        <c:crosses val="autoZero"/>
        <c:auto val="1"/>
        <c:lblAlgn val="ctr"/>
        <c:lblOffset val="100"/>
        <c:noMultiLvlLbl val="0"/>
      </c:catAx>
      <c:valAx>
        <c:axId val="14472881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44728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Xi+1</a:t>
            </a:r>
            <a:r>
              <a:rPr lang="en-US" baseline="0"/>
              <a:t> -Xi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val>
            <c:numRef>
              <c:f>'6X3'!$R$20:$R$83</c:f>
              <c:numCache>
                <c:formatCode>0.00</c:formatCode>
                <c:ptCount val="15"/>
                <c:pt idx="0">
                  <c:v>6</c:v>
                </c:pt>
                <c:pt idx="1">
                  <c:v>8</c:v>
                </c:pt>
                <c:pt idx="2">
                  <c:v>6</c:v>
                </c:pt>
                <c:pt idx="3">
                  <c:v>2</c:v>
                </c:pt>
                <c:pt idx="4">
                  <c:v>6</c:v>
                </c:pt>
                <c:pt idx="5">
                  <c:v>0</c:v>
                </c:pt>
                <c:pt idx="6">
                  <c:v>6</c:v>
                </c:pt>
                <c:pt idx="7">
                  <c:v>2</c:v>
                </c:pt>
                <c:pt idx="8">
                  <c:v>3.42</c:v>
                </c:pt>
                <c:pt idx="9">
                  <c:v>4.58</c:v>
                </c:pt>
                <c:pt idx="10">
                  <c:v>3.42</c:v>
                </c:pt>
                <c:pt idx="11">
                  <c:v>1.1399999999999999</c:v>
                </c:pt>
                <c:pt idx="12">
                  <c:v>6</c:v>
                </c:pt>
                <c:pt idx="13">
                  <c:v>5.14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5-4991-8890-330B78E0F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655127423"/>
        <c:axId val="1558015679"/>
        <c:axId val="0"/>
      </c:bar3DChart>
      <c:catAx>
        <c:axId val="16551274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015679"/>
        <c:crosses val="autoZero"/>
        <c:auto val="1"/>
        <c:lblAlgn val="ctr"/>
        <c:lblOffset val="100"/>
        <c:noMultiLvlLbl val="0"/>
      </c:catAx>
      <c:valAx>
        <c:axId val="155801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12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Occuranceqyou	</a:t>
            </a:r>
          </a:p>
        </c:rich>
      </c:tx>
      <c:layout>
        <c:manualLayout>
          <c:xMode val="edge"/>
          <c:yMode val="edge"/>
          <c:x val="0.4247082239720034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'6X3'!$S$19</c:f>
              <c:strCache>
                <c:ptCount val="1"/>
                <c:pt idx="0">
                  <c:v>Unique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'6X3'!$S$20:$S$29</c:f>
              <c:numCache>
                <c:formatCode>0.00</c:formatCode>
                <c:ptCount val="7"/>
                <c:pt idx="0">
                  <c:v>6</c:v>
                </c:pt>
                <c:pt idx="1">
                  <c:v>8</c:v>
                </c:pt>
                <c:pt idx="2">
                  <c:v>2</c:v>
                </c:pt>
                <c:pt idx="3">
                  <c:v>0</c:v>
                </c:pt>
                <c:pt idx="4">
                  <c:v>2.58</c:v>
                </c:pt>
                <c:pt idx="5">
                  <c:v>3.42</c:v>
                </c:pt>
                <c:pt idx="6">
                  <c:v>1.1399999999999999</c:v>
                </c:pt>
              </c:numCache>
            </c:numRef>
          </c:cat>
          <c:val>
            <c:numRef>
              <c:f>'6X3'!$T$20:$T$29</c:f>
              <c:numCache>
                <c:formatCode>0</c:formatCode>
                <c:ptCount val="7"/>
                <c:pt idx="0">
                  <c:v>14</c:v>
                </c:pt>
                <c:pt idx="1">
                  <c:v>2</c:v>
                </c:pt>
                <c:pt idx="2">
                  <c:v>12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9-489C-9F57-DA8C0DF0A86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4728335"/>
        <c:axId val="144728815"/>
      </c:barChart>
      <c:catAx>
        <c:axId val="144728335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28815"/>
        <c:crosses val="autoZero"/>
        <c:auto val="1"/>
        <c:lblAlgn val="ctr"/>
        <c:lblOffset val="100"/>
        <c:noMultiLvlLbl val="0"/>
      </c:catAx>
      <c:valAx>
        <c:axId val="14472881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44728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Xi+1</a:t>
            </a:r>
            <a:r>
              <a:rPr lang="en-US" baseline="0"/>
              <a:t> -Xi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val>
            <c:numRef>
              <c:f>'6X3'!$R$20:$R$83</c:f>
              <c:numCache>
                <c:formatCode>0.00</c:formatCode>
                <c:ptCount val="15"/>
                <c:pt idx="0">
                  <c:v>6</c:v>
                </c:pt>
                <c:pt idx="1">
                  <c:v>8</c:v>
                </c:pt>
                <c:pt idx="2">
                  <c:v>6</c:v>
                </c:pt>
                <c:pt idx="3">
                  <c:v>2</c:v>
                </c:pt>
                <c:pt idx="4">
                  <c:v>6</c:v>
                </c:pt>
                <c:pt idx="5">
                  <c:v>0</c:v>
                </c:pt>
                <c:pt idx="6">
                  <c:v>6</c:v>
                </c:pt>
                <c:pt idx="7">
                  <c:v>2</c:v>
                </c:pt>
                <c:pt idx="8">
                  <c:v>3.42</c:v>
                </c:pt>
                <c:pt idx="9">
                  <c:v>4.58</c:v>
                </c:pt>
                <c:pt idx="10">
                  <c:v>3.42</c:v>
                </c:pt>
                <c:pt idx="11">
                  <c:v>1.1399999999999999</c:v>
                </c:pt>
                <c:pt idx="12">
                  <c:v>6</c:v>
                </c:pt>
                <c:pt idx="13">
                  <c:v>5.14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F7-429F-8485-B26B90D3E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655127423"/>
        <c:axId val="1558015679"/>
        <c:axId val="0"/>
      </c:bar3DChart>
      <c:catAx>
        <c:axId val="16551274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015679"/>
        <c:crosses val="autoZero"/>
        <c:auto val="1"/>
        <c:lblAlgn val="ctr"/>
        <c:lblOffset val="100"/>
        <c:noMultiLvlLbl val="0"/>
      </c:catAx>
      <c:valAx>
        <c:axId val="155801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12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Occuranceqyou	</a:t>
            </a:r>
          </a:p>
        </c:rich>
      </c:tx>
      <c:layout>
        <c:manualLayout>
          <c:xMode val="edge"/>
          <c:yMode val="edge"/>
          <c:x val="0.4247082239720034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'6X3'!$S$19</c:f>
              <c:strCache>
                <c:ptCount val="1"/>
                <c:pt idx="0">
                  <c:v>Unique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'6X3'!$S$20:$S$29</c:f>
              <c:numCache>
                <c:formatCode>0.00</c:formatCode>
                <c:ptCount val="7"/>
                <c:pt idx="0">
                  <c:v>6</c:v>
                </c:pt>
                <c:pt idx="1">
                  <c:v>8</c:v>
                </c:pt>
                <c:pt idx="2">
                  <c:v>2</c:v>
                </c:pt>
                <c:pt idx="3">
                  <c:v>0</c:v>
                </c:pt>
                <c:pt idx="4">
                  <c:v>2.58</c:v>
                </c:pt>
                <c:pt idx="5">
                  <c:v>3.42</c:v>
                </c:pt>
                <c:pt idx="6">
                  <c:v>1.1399999999999999</c:v>
                </c:pt>
              </c:numCache>
            </c:numRef>
          </c:cat>
          <c:val>
            <c:numRef>
              <c:f>'6X3'!$T$20:$T$29</c:f>
              <c:numCache>
                <c:formatCode>0</c:formatCode>
                <c:ptCount val="7"/>
                <c:pt idx="0">
                  <c:v>14</c:v>
                </c:pt>
                <c:pt idx="1">
                  <c:v>2</c:v>
                </c:pt>
                <c:pt idx="2">
                  <c:v>12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D4-4256-A394-8577C8DD5B6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4728335"/>
        <c:axId val="144728815"/>
      </c:barChart>
      <c:catAx>
        <c:axId val="144728335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28815"/>
        <c:crosses val="autoZero"/>
        <c:auto val="1"/>
        <c:lblAlgn val="ctr"/>
        <c:lblOffset val="100"/>
        <c:noMultiLvlLbl val="0"/>
      </c:catAx>
      <c:valAx>
        <c:axId val="14472881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44728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Xi+1</a:t>
            </a:r>
            <a:r>
              <a:rPr lang="en-US" baseline="0"/>
              <a:t> - Xi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numRef>
              <c:f>'6x6'!$W$20:$W$82</c:f>
              <c:numCache>
                <c:formatCode>General</c:formatCode>
                <c:ptCount val="6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</c:numCache>
            </c:numRef>
          </c:cat>
          <c:val>
            <c:numRef>
              <c:f>'6x6'!$X$20:$X$82</c:f>
              <c:numCache>
                <c:formatCode>0.00</c:formatCode>
                <c:ptCount val="63"/>
                <c:pt idx="0">
                  <c:v>10</c:v>
                </c:pt>
                <c:pt idx="1">
                  <c:v>31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31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27</c:v>
                </c:pt>
                <c:pt idx="12">
                  <c:v>4</c:v>
                </c:pt>
                <c:pt idx="13">
                  <c:v>1</c:v>
                </c:pt>
                <c:pt idx="14">
                  <c:v>4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4</c:v>
                </c:pt>
                <c:pt idx="20">
                  <c:v>2</c:v>
                </c:pt>
                <c:pt idx="21">
                  <c:v>25</c:v>
                </c:pt>
                <c:pt idx="22">
                  <c:v>4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1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28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1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4</c:v>
                </c:pt>
                <c:pt idx="41">
                  <c:v>25</c:v>
                </c:pt>
                <c:pt idx="42">
                  <c:v>2</c:v>
                </c:pt>
                <c:pt idx="43">
                  <c:v>4</c:v>
                </c:pt>
                <c:pt idx="44">
                  <c:v>1</c:v>
                </c:pt>
                <c:pt idx="45">
                  <c:v>3</c:v>
                </c:pt>
                <c:pt idx="46">
                  <c:v>1</c:v>
                </c:pt>
                <c:pt idx="47">
                  <c:v>1</c:v>
                </c:pt>
                <c:pt idx="48">
                  <c:v>4</c:v>
                </c:pt>
                <c:pt idx="49">
                  <c:v>1</c:v>
                </c:pt>
                <c:pt idx="50">
                  <c:v>4</c:v>
                </c:pt>
                <c:pt idx="51">
                  <c:v>27</c:v>
                </c:pt>
                <c:pt idx="52">
                  <c:v>4</c:v>
                </c:pt>
                <c:pt idx="53">
                  <c:v>4</c:v>
                </c:pt>
                <c:pt idx="54">
                  <c:v>2</c:v>
                </c:pt>
                <c:pt idx="55">
                  <c:v>4</c:v>
                </c:pt>
                <c:pt idx="56">
                  <c:v>4</c:v>
                </c:pt>
                <c:pt idx="57">
                  <c:v>31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31</c:v>
                </c:pt>
                <c:pt idx="6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5B-4D5D-8E8C-38B47CEA7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655127423"/>
        <c:axId val="1558015679"/>
        <c:axId val="0"/>
      </c:bar3DChart>
      <c:catAx>
        <c:axId val="165512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015679"/>
        <c:crosses val="autoZero"/>
        <c:auto val="1"/>
        <c:lblAlgn val="ctr"/>
        <c:lblOffset val="100"/>
        <c:noMultiLvlLbl val="0"/>
      </c:catAx>
      <c:valAx>
        <c:axId val="155801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12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555555555555555E-2"/>
          <c:y val="0.15226905714390576"/>
          <c:w val="0.93888888888888888"/>
          <c:h val="0.707906798490165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'6x6'!$AA$19</c:f>
              <c:strCache>
                <c:ptCount val="1"/>
                <c:pt idx="0">
                  <c:v>Occurance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'6x6'!$Z$20:$Z$31</c:f>
              <c:strCache>
                <c:ptCount val="10"/>
                <c:pt idx="0">
                  <c:v>10.00</c:v>
                </c:pt>
                <c:pt idx="1">
                  <c:v>31.00</c:v>
                </c:pt>
                <c:pt idx="2">
                  <c:v>5.00</c:v>
                </c:pt>
                <c:pt idx="3">
                  <c:v>4.00</c:v>
                </c:pt>
                <c:pt idx="4">
                  <c:v>2.00</c:v>
                </c:pt>
                <c:pt idx="5">
                  <c:v>27.00</c:v>
                </c:pt>
                <c:pt idx="6">
                  <c:v>1.00</c:v>
                </c:pt>
                <c:pt idx="7">
                  <c:v>3.00</c:v>
                </c:pt>
                <c:pt idx="8">
                  <c:v>25.00</c:v>
                </c:pt>
                <c:pt idx="9">
                  <c:v>28.00</c:v>
                </c:pt>
              </c:strCache>
            </c:strRef>
          </c:cat>
          <c:val>
            <c:numRef>
              <c:f>'6x6'!$AA$20:$AA$31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16</c:v>
                </c:pt>
                <c:pt idx="4">
                  <c:v>14</c:v>
                </c:pt>
                <c:pt idx="5">
                  <c:v>2</c:v>
                </c:pt>
                <c:pt idx="6">
                  <c:v>10</c:v>
                </c:pt>
                <c:pt idx="7">
                  <c:v>6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F-452E-BFEF-D598427EB2B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4728335"/>
        <c:axId val="144728815"/>
      </c:barChart>
      <c:catAx>
        <c:axId val="14472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3840000" spcFirstLastPara="1" vertOverflow="ellipsis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28815"/>
        <c:crosses val="autoZero"/>
        <c:auto val="1"/>
        <c:lblAlgn val="ctr"/>
        <c:lblOffset val="100"/>
        <c:noMultiLvlLbl val="0"/>
      </c:catAx>
      <c:valAx>
        <c:axId val="14472881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44728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Xi+1</a:t>
            </a:r>
            <a:r>
              <a:rPr lang="en-US" baseline="0"/>
              <a:t> - Xi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numRef>
              <c:f>'6x6'!$W$20:$W$82</c:f>
              <c:numCache>
                <c:formatCode>General</c:formatCode>
                <c:ptCount val="6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</c:numCache>
            </c:numRef>
          </c:cat>
          <c:val>
            <c:numRef>
              <c:f>'6x6'!$X$20:$X$82</c:f>
              <c:numCache>
                <c:formatCode>0.00</c:formatCode>
                <c:ptCount val="63"/>
                <c:pt idx="0">
                  <c:v>10</c:v>
                </c:pt>
                <c:pt idx="1">
                  <c:v>31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31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27</c:v>
                </c:pt>
                <c:pt idx="12">
                  <c:v>4</c:v>
                </c:pt>
                <c:pt idx="13">
                  <c:v>1</c:v>
                </c:pt>
                <c:pt idx="14">
                  <c:v>4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4</c:v>
                </c:pt>
                <c:pt idx="20">
                  <c:v>2</c:v>
                </c:pt>
                <c:pt idx="21">
                  <c:v>25</c:v>
                </c:pt>
                <c:pt idx="22">
                  <c:v>4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1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28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1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4</c:v>
                </c:pt>
                <c:pt idx="41">
                  <c:v>25</c:v>
                </c:pt>
                <c:pt idx="42">
                  <c:v>2</c:v>
                </c:pt>
                <c:pt idx="43">
                  <c:v>4</c:v>
                </c:pt>
                <c:pt idx="44">
                  <c:v>1</c:v>
                </c:pt>
                <c:pt idx="45">
                  <c:v>3</c:v>
                </c:pt>
                <c:pt idx="46">
                  <c:v>1</c:v>
                </c:pt>
                <c:pt idx="47">
                  <c:v>1</c:v>
                </c:pt>
                <c:pt idx="48">
                  <c:v>4</c:v>
                </c:pt>
                <c:pt idx="49">
                  <c:v>1</c:v>
                </c:pt>
                <c:pt idx="50">
                  <c:v>4</c:v>
                </c:pt>
                <c:pt idx="51">
                  <c:v>27</c:v>
                </c:pt>
                <c:pt idx="52">
                  <c:v>4</c:v>
                </c:pt>
                <c:pt idx="53">
                  <c:v>4</c:v>
                </c:pt>
                <c:pt idx="54">
                  <c:v>2</c:v>
                </c:pt>
                <c:pt idx="55">
                  <c:v>4</c:v>
                </c:pt>
                <c:pt idx="56">
                  <c:v>4</c:v>
                </c:pt>
                <c:pt idx="57">
                  <c:v>31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31</c:v>
                </c:pt>
                <c:pt idx="6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5-400C-882F-90989F120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655127423"/>
        <c:axId val="1558015679"/>
        <c:axId val="0"/>
      </c:bar3DChart>
      <c:catAx>
        <c:axId val="165512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015679"/>
        <c:crosses val="autoZero"/>
        <c:auto val="1"/>
        <c:lblAlgn val="ctr"/>
        <c:lblOffset val="100"/>
        <c:noMultiLvlLbl val="0"/>
      </c:catAx>
      <c:valAx>
        <c:axId val="155801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12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555555555555555E-2"/>
          <c:y val="0.15226905714390576"/>
          <c:w val="0.93888888888888888"/>
          <c:h val="0.707906798490165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'6x6'!$AA$19</c:f>
              <c:strCache>
                <c:ptCount val="1"/>
                <c:pt idx="0">
                  <c:v>Occurance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'6x6'!$Z$20:$Z$31</c:f>
              <c:strCache>
                <c:ptCount val="10"/>
                <c:pt idx="0">
                  <c:v>10.00</c:v>
                </c:pt>
                <c:pt idx="1">
                  <c:v>31.00</c:v>
                </c:pt>
                <c:pt idx="2">
                  <c:v>5.00</c:v>
                </c:pt>
                <c:pt idx="3">
                  <c:v>4.00</c:v>
                </c:pt>
                <c:pt idx="4">
                  <c:v>2.00</c:v>
                </c:pt>
                <c:pt idx="5">
                  <c:v>27.00</c:v>
                </c:pt>
                <c:pt idx="6">
                  <c:v>1.00</c:v>
                </c:pt>
                <c:pt idx="7">
                  <c:v>3.00</c:v>
                </c:pt>
                <c:pt idx="8">
                  <c:v>25.00</c:v>
                </c:pt>
                <c:pt idx="9">
                  <c:v>28.00</c:v>
                </c:pt>
              </c:strCache>
            </c:strRef>
          </c:cat>
          <c:val>
            <c:numRef>
              <c:f>'6x6'!$AA$20:$AA$31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16</c:v>
                </c:pt>
                <c:pt idx="4">
                  <c:v>14</c:v>
                </c:pt>
                <c:pt idx="5">
                  <c:v>2</c:v>
                </c:pt>
                <c:pt idx="6">
                  <c:v>10</c:v>
                </c:pt>
                <c:pt idx="7">
                  <c:v>6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3-4A8C-8E2C-21B0C5389C4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4728335"/>
        <c:axId val="144728815"/>
      </c:barChart>
      <c:catAx>
        <c:axId val="14472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3840000" spcFirstLastPara="1" vertOverflow="ellipsis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28815"/>
        <c:crosses val="autoZero"/>
        <c:auto val="1"/>
        <c:lblAlgn val="ctr"/>
        <c:lblOffset val="100"/>
        <c:noMultiLvlLbl val="0"/>
      </c:catAx>
      <c:valAx>
        <c:axId val="14472881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44728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238125</xdr:colOff>
      <xdr:row>2</xdr:row>
      <xdr:rowOff>185737</xdr:rowOff>
    </xdr:from>
    <xdr:to>
      <xdr:col>28</xdr:col>
      <xdr:colOff>542925</xdr:colOff>
      <xdr:row>17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3A0549-0006-74EF-7042-09F0187238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238125</xdr:colOff>
      <xdr:row>2</xdr:row>
      <xdr:rowOff>185737</xdr:rowOff>
    </xdr:from>
    <xdr:to>
      <xdr:col>28</xdr:col>
      <xdr:colOff>542925</xdr:colOff>
      <xdr:row>17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D674E2-B344-47DF-B856-3A8F4A3A91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371476</xdr:colOff>
      <xdr:row>0</xdr:row>
      <xdr:rowOff>171450</xdr:rowOff>
    </xdr:from>
    <xdr:to>
      <xdr:col>16</xdr:col>
      <xdr:colOff>76200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8669FB-5E79-1B32-32B0-1513258AD8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16</xdr:col>
      <xdr:colOff>143192</xdr:colOff>
      <xdr:row>18</xdr:row>
      <xdr:rowOff>4826</xdr:rowOff>
    </xdr:from>
    <xdr:ext cx="205121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DABFC76-4FD3-8691-8C9B-E4DF4BBA5A5E}"/>
                </a:ext>
              </a:extLst>
            </xdr:cNvPr>
            <xdr:cNvSpPr txBox="1"/>
          </xdr:nvSpPr>
          <xdr:spPr>
            <a:xfrm>
              <a:off x="11230292" y="1719326"/>
              <a:ext cx="20512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sz="1100" b="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DABFC76-4FD3-8691-8C9B-E4DF4BBA5A5E}"/>
                </a:ext>
              </a:extLst>
            </xdr:cNvPr>
            <xdr:cNvSpPr txBox="1"/>
          </xdr:nvSpPr>
          <xdr:spPr>
            <a:xfrm>
              <a:off x="11230292" y="1719326"/>
              <a:ext cx="20512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𝑋_𝑖</a:t>
              </a:r>
              <a:endParaRPr lang="en-US" sz="1100" b="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9525</xdr:colOff>
      <xdr:row>18</xdr:row>
      <xdr:rowOff>0</xdr:rowOff>
    </xdr:from>
    <xdr:ext cx="664797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797297A-7334-4B76-885C-0FB7F974B17E}"/>
                </a:ext>
              </a:extLst>
            </xdr:cNvPr>
            <xdr:cNvSpPr txBox="1"/>
          </xdr:nvSpPr>
          <xdr:spPr>
            <a:xfrm>
              <a:off x="11534775" y="1714500"/>
              <a:ext cx="664797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  <m:r>
                      <a:rPr lang="en-US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sz="1100" b="0" i="1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797297A-7334-4B76-885C-0FB7F974B17E}"/>
                </a:ext>
              </a:extLst>
            </xdr:cNvPr>
            <xdr:cNvSpPr txBox="1"/>
          </xdr:nvSpPr>
          <xdr:spPr>
            <a:xfrm>
              <a:off x="11534775" y="1714500"/>
              <a:ext cx="664797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𝑋_(𝑖+1)−𝑋_𝑖</a:t>
              </a:r>
              <a:endParaRPr lang="en-US" sz="1100" b="0" i="1"/>
            </a:p>
            <a:p>
              <a:endParaRPr lang="en-US" sz="1100"/>
            </a:p>
          </xdr:txBody>
        </xdr:sp>
      </mc:Fallback>
    </mc:AlternateContent>
    <xdr:clientData/>
  </xdr:oneCellAnchor>
  <xdr:twoCellAnchor>
    <xdr:from>
      <xdr:col>17</xdr:col>
      <xdr:colOff>180975</xdr:colOff>
      <xdr:row>1</xdr:row>
      <xdr:rowOff>166687</xdr:rowOff>
    </xdr:from>
    <xdr:to>
      <xdr:col>24</xdr:col>
      <xdr:colOff>371475</xdr:colOff>
      <xdr:row>16</xdr:row>
      <xdr:rowOff>52387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88B63C-6983-6746-7278-864D94E2F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57151</xdr:colOff>
      <xdr:row>1</xdr:row>
      <xdr:rowOff>0</xdr:rowOff>
    </xdr:from>
    <xdr:to>
      <xdr:col>19</xdr:col>
      <xdr:colOff>542925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FC1539-3DA7-4594-B6C3-3BAEB9D538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17</xdr:col>
      <xdr:colOff>143192</xdr:colOff>
      <xdr:row>18</xdr:row>
      <xdr:rowOff>4826</xdr:rowOff>
    </xdr:from>
    <xdr:ext cx="205121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A742C8A-2897-4DF8-9AE9-9A799AB13C2C}"/>
                </a:ext>
              </a:extLst>
            </xdr:cNvPr>
            <xdr:cNvSpPr txBox="1"/>
          </xdr:nvSpPr>
          <xdr:spPr>
            <a:xfrm>
              <a:off x="11458892" y="3433826"/>
              <a:ext cx="20512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sz="1100" b="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A742C8A-2897-4DF8-9AE9-9A799AB13C2C}"/>
                </a:ext>
              </a:extLst>
            </xdr:cNvPr>
            <xdr:cNvSpPr txBox="1"/>
          </xdr:nvSpPr>
          <xdr:spPr>
            <a:xfrm>
              <a:off x="11458892" y="3433826"/>
              <a:ext cx="20512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𝑋_𝑖</a:t>
              </a:r>
              <a:endParaRPr lang="en-US" sz="1100" b="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9525</xdr:colOff>
      <xdr:row>18</xdr:row>
      <xdr:rowOff>0</xdr:rowOff>
    </xdr:from>
    <xdr:ext cx="664797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0C5FE70-F680-4136-B2B0-74EE180CD310}"/>
                </a:ext>
              </a:extLst>
            </xdr:cNvPr>
            <xdr:cNvSpPr txBox="1"/>
          </xdr:nvSpPr>
          <xdr:spPr>
            <a:xfrm>
              <a:off x="11763375" y="3429000"/>
              <a:ext cx="664797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  <m:r>
                      <a:rPr lang="en-US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sz="1100" b="0" i="1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0C5FE70-F680-4136-B2B0-74EE180CD310}"/>
                </a:ext>
              </a:extLst>
            </xdr:cNvPr>
            <xdr:cNvSpPr txBox="1"/>
          </xdr:nvSpPr>
          <xdr:spPr>
            <a:xfrm>
              <a:off x="11763375" y="3429000"/>
              <a:ext cx="664797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𝑋_(𝑖+1)−𝑋_𝑖</a:t>
              </a:r>
              <a:endParaRPr lang="en-US" sz="1100" b="0" i="1"/>
            </a:p>
            <a:p>
              <a:endParaRPr lang="en-US" sz="1100"/>
            </a:p>
          </xdr:txBody>
        </xdr:sp>
      </mc:Fallback>
    </mc:AlternateContent>
    <xdr:clientData/>
  </xdr:oneCellAnchor>
  <xdr:twoCellAnchor>
    <xdr:from>
      <xdr:col>20</xdr:col>
      <xdr:colOff>19050</xdr:colOff>
      <xdr:row>1</xdr:row>
      <xdr:rowOff>166687</xdr:rowOff>
    </xdr:from>
    <xdr:to>
      <xdr:col>27</xdr:col>
      <xdr:colOff>323850</xdr:colOff>
      <xdr:row>16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1E5CBB-895A-4954-B40D-77030693CB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57151</xdr:colOff>
      <xdr:row>1</xdr:row>
      <xdr:rowOff>0</xdr:rowOff>
    </xdr:from>
    <xdr:to>
      <xdr:col>20</xdr:col>
      <xdr:colOff>542925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8CB9C4-A5EF-4928-A4D9-66C5633527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18</xdr:col>
      <xdr:colOff>143192</xdr:colOff>
      <xdr:row>18</xdr:row>
      <xdr:rowOff>4826</xdr:rowOff>
    </xdr:from>
    <xdr:ext cx="205121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979B2DC-50C1-4254-999B-9A483F3F17E2}"/>
                </a:ext>
              </a:extLst>
            </xdr:cNvPr>
            <xdr:cNvSpPr txBox="1"/>
          </xdr:nvSpPr>
          <xdr:spPr>
            <a:xfrm>
              <a:off x="12182792" y="3433826"/>
              <a:ext cx="20512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sz="1100" b="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979B2DC-50C1-4254-999B-9A483F3F17E2}"/>
                </a:ext>
              </a:extLst>
            </xdr:cNvPr>
            <xdr:cNvSpPr txBox="1"/>
          </xdr:nvSpPr>
          <xdr:spPr>
            <a:xfrm>
              <a:off x="12182792" y="3433826"/>
              <a:ext cx="20512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𝑋_𝑖</a:t>
              </a:r>
              <a:endParaRPr lang="en-US" sz="1100" b="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9525</xdr:colOff>
      <xdr:row>18</xdr:row>
      <xdr:rowOff>0</xdr:rowOff>
    </xdr:from>
    <xdr:ext cx="664797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74E13FF-68E7-484E-8692-ED3F37C2494A}"/>
                </a:ext>
              </a:extLst>
            </xdr:cNvPr>
            <xdr:cNvSpPr txBox="1"/>
          </xdr:nvSpPr>
          <xdr:spPr>
            <a:xfrm>
              <a:off x="12534900" y="3429000"/>
              <a:ext cx="664797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  <m:r>
                      <a:rPr lang="en-US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sz="1100" b="0" i="1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74E13FF-68E7-484E-8692-ED3F37C2494A}"/>
                </a:ext>
              </a:extLst>
            </xdr:cNvPr>
            <xdr:cNvSpPr txBox="1"/>
          </xdr:nvSpPr>
          <xdr:spPr>
            <a:xfrm>
              <a:off x="12534900" y="3429000"/>
              <a:ext cx="664797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𝑋_(𝑖+1)−𝑋_𝑖</a:t>
              </a:r>
              <a:endParaRPr lang="en-US" sz="1100" b="0" i="1"/>
            </a:p>
            <a:p>
              <a:endParaRPr lang="en-US" sz="1100"/>
            </a:p>
          </xdr:txBody>
        </xdr:sp>
      </mc:Fallback>
    </mc:AlternateContent>
    <xdr:clientData/>
  </xdr:oneCellAnchor>
  <xdr:twoCellAnchor>
    <xdr:from>
      <xdr:col>21</xdr:col>
      <xdr:colOff>19050</xdr:colOff>
      <xdr:row>1</xdr:row>
      <xdr:rowOff>166687</xdr:rowOff>
    </xdr:from>
    <xdr:to>
      <xdr:col>28</xdr:col>
      <xdr:colOff>323850</xdr:colOff>
      <xdr:row>16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B63B80-AF9B-40CC-B188-013A305063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57152</xdr:colOff>
      <xdr:row>1</xdr:row>
      <xdr:rowOff>0</xdr:rowOff>
    </xdr:from>
    <xdr:to>
      <xdr:col>19</xdr:col>
      <xdr:colOff>369796</xdr:colOff>
      <xdr:row>17</xdr:row>
      <xdr:rowOff>11206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4C214F-457B-4C27-B972-C524847739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20</xdr:col>
      <xdr:colOff>143192</xdr:colOff>
      <xdr:row>18</xdr:row>
      <xdr:rowOff>4827</xdr:rowOff>
    </xdr:from>
    <xdr:ext cx="271426" cy="1744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C075120-726A-4615-903D-651FDCC524BA}"/>
                </a:ext>
              </a:extLst>
            </xdr:cNvPr>
            <xdr:cNvSpPr txBox="1"/>
          </xdr:nvSpPr>
          <xdr:spPr>
            <a:xfrm>
              <a:off x="13948839" y="3433827"/>
              <a:ext cx="271426" cy="1744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sz="1100" b="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C075120-726A-4615-903D-651FDCC524BA}"/>
                </a:ext>
              </a:extLst>
            </xdr:cNvPr>
            <xdr:cNvSpPr txBox="1"/>
          </xdr:nvSpPr>
          <xdr:spPr>
            <a:xfrm>
              <a:off x="13948839" y="3433827"/>
              <a:ext cx="271426" cy="1744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𝑋_𝑖</a:t>
              </a:r>
              <a:endParaRPr lang="en-US" sz="1100" b="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9525</xdr:colOff>
      <xdr:row>18</xdr:row>
      <xdr:rowOff>1</xdr:rowOff>
    </xdr:from>
    <xdr:ext cx="664797" cy="1905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BFA9A4B-A392-4108-9EBD-5523125E1390}"/>
                </a:ext>
              </a:extLst>
            </xdr:cNvPr>
            <xdr:cNvSpPr txBox="1"/>
          </xdr:nvSpPr>
          <xdr:spPr>
            <a:xfrm>
              <a:off x="14341849" y="3429001"/>
              <a:ext cx="664797" cy="190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  <m:r>
                      <a:rPr lang="en-US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sz="1100" b="0" i="1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BFA9A4B-A392-4108-9EBD-5523125E1390}"/>
                </a:ext>
              </a:extLst>
            </xdr:cNvPr>
            <xdr:cNvSpPr txBox="1"/>
          </xdr:nvSpPr>
          <xdr:spPr>
            <a:xfrm>
              <a:off x="14341849" y="3429001"/>
              <a:ext cx="664797" cy="190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𝑋_(𝑖+1)−𝑋_𝑖</a:t>
              </a:r>
              <a:endParaRPr lang="en-US" sz="1100" b="0" i="1"/>
            </a:p>
            <a:p>
              <a:endParaRPr lang="en-US" sz="1100"/>
            </a:p>
          </xdr:txBody>
        </xdr:sp>
      </mc:Fallback>
    </mc:AlternateContent>
    <xdr:clientData/>
  </xdr:oneCellAnchor>
  <xdr:twoCellAnchor>
    <xdr:from>
      <xdr:col>19</xdr:col>
      <xdr:colOff>512109</xdr:colOff>
      <xdr:row>1</xdr:row>
      <xdr:rowOff>54628</xdr:rowOff>
    </xdr:from>
    <xdr:to>
      <xdr:col>30</xdr:col>
      <xdr:colOff>166967</xdr:colOff>
      <xdr:row>16</xdr:row>
      <xdr:rowOff>30816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3EFCE5-E00C-4839-9B15-5C96D1A4B4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400050</xdr:colOff>
      <xdr:row>1</xdr:row>
      <xdr:rowOff>76200</xdr:rowOff>
    </xdr:from>
    <xdr:to>
      <xdr:col>28</xdr:col>
      <xdr:colOff>369795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DA505C-978E-4471-8D80-70F954AAD9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143192</xdr:colOff>
      <xdr:row>18</xdr:row>
      <xdr:rowOff>4827</xdr:rowOff>
    </xdr:from>
    <xdr:ext cx="271426" cy="1744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C69FF7C-F086-4F27-8F42-A296B31168EA}"/>
                </a:ext>
              </a:extLst>
            </xdr:cNvPr>
            <xdr:cNvSpPr txBox="1"/>
          </xdr:nvSpPr>
          <xdr:spPr>
            <a:xfrm>
              <a:off x="13935392" y="3433827"/>
              <a:ext cx="271426" cy="1744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sz="1100" b="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C69FF7C-F086-4F27-8F42-A296B31168EA}"/>
                </a:ext>
              </a:extLst>
            </xdr:cNvPr>
            <xdr:cNvSpPr txBox="1"/>
          </xdr:nvSpPr>
          <xdr:spPr>
            <a:xfrm>
              <a:off x="13935392" y="3433827"/>
              <a:ext cx="271426" cy="1744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𝑋_𝑖</a:t>
              </a:r>
              <a:endParaRPr lang="en-US" sz="1100" b="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9525</xdr:colOff>
      <xdr:row>18</xdr:row>
      <xdr:rowOff>1</xdr:rowOff>
    </xdr:from>
    <xdr:ext cx="664797" cy="1905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F1D7973-CB39-416D-8F49-9A97FD830F1C}"/>
                </a:ext>
              </a:extLst>
            </xdr:cNvPr>
            <xdr:cNvSpPr txBox="1"/>
          </xdr:nvSpPr>
          <xdr:spPr>
            <a:xfrm>
              <a:off x="15373350" y="3429001"/>
              <a:ext cx="664797" cy="190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  <m:r>
                      <a:rPr lang="en-US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sz="1100" b="0" i="1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F1D7973-CB39-416D-8F49-9A97FD830F1C}"/>
                </a:ext>
              </a:extLst>
            </xdr:cNvPr>
            <xdr:cNvSpPr txBox="1"/>
          </xdr:nvSpPr>
          <xdr:spPr>
            <a:xfrm>
              <a:off x="15373350" y="3429001"/>
              <a:ext cx="664797" cy="190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𝑋_(𝑖+1)−𝑋_𝑖</a:t>
              </a:r>
              <a:endParaRPr lang="en-US" sz="1100" b="0" i="1"/>
            </a:p>
            <a:p>
              <a:endParaRPr lang="en-US" sz="1100"/>
            </a:p>
          </xdr:txBody>
        </xdr:sp>
      </mc:Fallback>
    </mc:AlternateContent>
    <xdr:clientData/>
  </xdr:oneCellAnchor>
  <xdr:twoCellAnchor>
    <xdr:from>
      <xdr:col>28</xdr:col>
      <xdr:colOff>512109</xdr:colOff>
      <xdr:row>1</xdr:row>
      <xdr:rowOff>54628</xdr:rowOff>
    </xdr:from>
    <xdr:to>
      <xdr:col>39</xdr:col>
      <xdr:colOff>166967</xdr:colOff>
      <xdr:row>16</xdr:row>
      <xdr:rowOff>30816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D0B7B3-1EF7-4400-95BC-ED6D3D1A6C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371476</xdr:colOff>
      <xdr:row>0</xdr:row>
      <xdr:rowOff>171450</xdr:rowOff>
    </xdr:from>
    <xdr:to>
      <xdr:col>16</xdr:col>
      <xdr:colOff>76200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364EDE-3ED7-4172-B004-6D9A5FE025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16</xdr:col>
      <xdr:colOff>143192</xdr:colOff>
      <xdr:row>18</xdr:row>
      <xdr:rowOff>4826</xdr:rowOff>
    </xdr:from>
    <xdr:ext cx="205121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AC9492C-BC9B-4DFE-9FC4-E00BCFB0B01D}"/>
                </a:ext>
              </a:extLst>
            </xdr:cNvPr>
            <xdr:cNvSpPr txBox="1"/>
          </xdr:nvSpPr>
          <xdr:spPr>
            <a:xfrm>
              <a:off x="11458892" y="3433826"/>
              <a:ext cx="20512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sz="1100" b="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AC9492C-BC9B-4DFE-9FC4-E00BCFB0B01D}"/>
                </a:ext>
              </a:extLst>
            </xdr:cNvPr>
            <xdr:cNvSpPr txBox="1"/>
          </xdr:nvSpPr>
          <xdr:spPr>
            <a:xfrm>
              <a:off x="11458892" y="3433826"/>
              <a:ext cx="20512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𝑋_𝑖</a:t>
              </a:r>
              <a:endParaRPr lang="en-US" sz="1100" b="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9525</xdr:colOff>
      <xdr:row>18</xdr:row>
      <xdr:rowOff>0</xdr:rowOff>
    </xdr:from>
    <xdr:ext cx="664797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098669B-6298-4E9B-94BA-5DC7628FABFE}"/>
                </a:ext>
              </a:extLst>
            </xdr:cNvPr>
            <xdr:cNvSpPr txBox="1"/>
          </xdr:nvSpPr>
          <xdr:spPr>
            <a:xfrm>
              <a:off x="11811000" y="3429000"/>
              <a:ext cx="664797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  <m:r>
                      <a:rPr lang="en-US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sz="1100" b="0" i="1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098669B-6298-4E9B-94BA-5DC7628FABFE}"/>
                </a:ext>
              </a:extLst>
            </xdr:cNvPr>
            <xdr:cNvSpPr txBox="1"/>
          </xdr:nvSpPr>
          <xdr:spPr>
            <a:xfrm>
              <a:off x="11811000" y="3429000"/>
              <a:ext cx="664797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𝑋_(𝑖+1)−𝑋_𝑖</a:t>
              </a:r>
              <a:endParaRPr lang="en-US" sz="1100" b="0" i="1"/>
            </a:p>
            <a:p>
              <a:endParaRPr lang="en-US" sz="1100"/>
            </a:p>
          </xdr:txBody>
        </xdr:sp>
      </mc:Fallback>
    </mc:AlternateContent>
    <xdr:clientData/>
  </xdr:oneCellAnchor>
  <xdr:twoCellAnchor>
    <xdr:from>
      <xdr:col>17</xdr:col>
      <xdr:colOff>180975</xdr:colOff>
      <xdr:row>1</xdr:row>
      <xdr:rowOff>166687</xdr:rowOff>
    </xdr:from>
    <xdr:to>
      <xdr:col>24</xdr:col>
      <xdr:colOff>371475</xdr:colOff>
      <xdr:row>16</xdr:row>
      <xdr:rowOff>52387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E418B4-9361-4100-B84D-7B302EFB64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238124</xdr:colOff>
      <xdr:row>0</xdr:row>
      <xdr:rowOff>133350</xdr:rowOff>
    </xdr:from>
    <xdr:to>
      <xdr:col>18</xdr:col>
      <xdr:colOff>485774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9FDE65-4267-464F-BBC9-E0597D07C8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17</xdr:col>
      <xdr:colOff>143192</xdr:colOff>
      <xdr:row>18</xdr:row>
      <xdr:rowOff>4826</xdr:rowOff>
    </xdr:from>
    <xdr:ext cx="205121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E63496B-6419-4AD7-BA47-E474947712F1}"/>
                </a:ext>
              </a:extLst>
            </xdr:cNvPr>
            <xdr:cNvSpPr txBox="1"/>
          </xdr:nvSpPr>
          <xdr:spPr>
            <a:xfrm>
              <a:off x="11458892" y="3433826"/>
              <a:ext cx="20512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sz="1100" b="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E63496B-6419-4AD7-BA47-E474947712F1}"/>
                </a:ext>
              </a:extLst>
            </xdr:cNvPr>
            <xdr:cNvSpPr txBox="1"/>
          </xdr:nvSpPr>
          <xdr:spPr>
            <a:xfrm>
              <a:off x="11458892" y="3433826"/>
              <a:ext cx="20512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𝑋_𝑖</a:t>
              </a:r>
              <a:endParaRPr lang="en-US" sz="1100" b="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9525</xdr:colOff>
      <xdr:row>18</xdr:row>
      <xdr:rowOff>0</xdr:rowOff>
    </xdr:from>
    <xdr:ext cx="664797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278D4FF-372C-478F-856F-F2B575287895}"/>
                </a:ext>
              </a:extLst>
            </xdr:cNvPr>
            <xdr:cNvSpPr txBox="1"/>
          </xdr:nvSpPr>
          <xdr:spPr>
            <a:xfrm>
              <a:off x="11811000" y="3429000"/>
              <a:ext cx="664797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  <m:r>
                      <a:rPr lang="en-US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sz="1100" b="0" i="1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278D4FF-372C-478F-856F-F2B575287895}"/>
                </a:ext>
              </a:extLst>
            </xdr:cNvPr>
            <xdr:cNvSpPr txBox="1"/>
          </xdr:nvSpPr>
          <xdr:spPr>
            <a:xfrm>
              <a:off x="11811000" y="3429000"/>
              <a:ext cx="664797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𝑋_(𝑖+1)−𝑋_𝑖</a:t>
              </a:r>
              <a:endParaRPr lang="en-US" sz="1100" b="0" i="1"/>
            </a:p>
            <a:p>
              <a:endParaRPr lang="en-US" sz="1100"/>
            </a:p>
          </xdr:txBody>
        </xdr:sp>
      </mc:Fallback>
    </mc:AlternateContent>
    <xdr:clientData/>
  </xdr:oneCellAnchor>
  <xdr:twoCellAnchor>
    <xdr:from>
      <xdr:col>18</xdr:col>
      <xdr:colOff>685800</xdr:colOff>
      <xdr:row>1</xdr:row>
      <xdr:rowOff>80962</xdr:rowOff>
    </xdr:from>
    <xdr:to>
      <xdr:col>26</xdr:col>
      <xdr:colOff>266700</xdr:colOff>
      <xdr:row>15</xdr:row>
      <xdr:rowOff>157162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918D29-5BF7-4C10-A72F-256EFAE87B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400050</xdr:colOff>
      <xdr:row>1</xdr:row>
      <xdr:rowOff>76200</xdr:rowOff>
    </xdr:from>
    <xdr:to>
      <xdr:col>33</xdr:col>
      <xdr:colOff>369795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7271A7-CECD-48DE-9DFD-D4C1C8C7D5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31</xdr:col>
      <xdr:colOff>143192</xdr:colOff>
      <xdr:row>18</xdr:row>
      <xdr:rowOff>4827</xdr:rowOff>
    </xdr:from>
    <xdr:ext cx="271426" cy="1744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B923689-7AD2-48B0-A2AE-10BCA1FA6F3C}"/>
                </a:ext>
              </a:extLst>
            </xdr:cNvPr>
            <xdr:cNvSpPr txBox="1"/>
          </xdr:nvSpPr>
          <xdr:spPr>
            <a:xfrm>
              <a:off x="21555392" y="3433827"/>
              <a:ext cx="271426" cy="1744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sz="1100" b="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B923689-7AD2-48B0-A2AE-10BCA1FA6F3C}"/>
                </a:ext>
              </a:extLst>
            </xdr:cNvPr>
            <xdr:cNvSpPr txBox="1"/>
          </xdr:nvSpPr>
          <xdr:spPr>
            <a:xfrm>
              <a:off x="21555392" y="3433827"/>
              <a:ext cx="271426" cy="1744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𝑋_𝑖</a:t>
              </a:r>
              <a:endParaRPr lang="en-US" sz="1100" b="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390525</xdr:colOff>
      <xdr:row>17</xdr:row>
      <xdr:rowOff>114301</xdr:rowOff>
    </xdr:from>
    <xdr:ext cx="664797" cy="1905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E1C9DF8-CCD6-42A6-AED3-DC4ED1E6CAF2}"/>
                </a:ext>
              </a:extLst>
            </xdr:cNvPr>
            <xdr:cNvSpPr txBox="1"/>
          </xdr:nvSpPr>
          <xdr:spPr>
            <a:xfrm>
              <a:off x="20412075" y="3352801"/>
              <a:ext cx="664797" cy="190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  <m:r>
                      <a:rPr lang="en-US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sz="1100" b="0" i="1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E1C9DF8-CCD6-42A6-AED3-DC4ED1E6CAF2}"/>
                </a:ext>
              </a:extLst>
            </xdr:cNvPr>
            <xdr:cNvSpPr txBox="1"/>
          </xdr:nvSpPr>
          <xdr:spPr>
            <a:xfrm>
              <a:off x="20412075" y="3352801"/>
              <a:ext cx="664797" cy="190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𝑋_(𝑖+1)−𝑋_𝑖</a:t>
              </a:r>
              <a:endParaRPr lang="en-US" sz="1100" b="0" i="1"/>
            </a:p>
            <a:p>
              <a:endParaRPr lang="en-US" sz="1100"/>
            </a:p>
          </xdr:txBody>
        </xdr:sp>
      </mc:Fallback>
    </mc:AlternateContent>
    <xdr:clientData/>
  </xdr:oneCellAnchor>
  <xdr:twoCellAnchor>
    <xdr:from>
      <xdr:col>33</xdr:col>
      <xdr:colOff>512109</xdr:colOff>
      <xdr:row>1</xdr:row>
      <xdr:rowOff>54628</xdr:rowOff>
    </xdr:from>
    <xdr:to>
      <xdr:col>44</xdr:col>
      <xdr:colOff>166967</xdr:colOff>
      <xdr:row>16</xdr:row>
      <xdr:rowOff>30816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5CBC31-56E9-445C-9588-B991AA3B6B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400050</xdr:colOff>
      <xdr:row>1</xdr:row>
      <xdr:rowOff>76200</xdr:rowOff>
    </xdr:from>
    <xdr:to>
      <xdr:col>35</xdr:col>
      <xdr:colOff>369795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501BCB-B80E-473C-B1D1-64D549DD46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33</xdr:col>
      <xdr:colOff>143192</xdr:colOff>
      <xdr:row>18</xdr:row>
      <xdr:rowOff>4827</xdr:rowOff>
    </xdr:from>
    <xdr:ext cx="271426" cy="1744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19E4D2C-F2E6-4C4B-AF12-6A1B5D9A409E}"/>
                </a:ext>
              </a:extLst>
            </xdr:cNvPr>
            <xdr:cNvSpPr txBox="1"/>
          </xdr:nvSpPr>
          <xdr:spPr>
            <a:xfrm>
              <a:off x="24003317" y="3433827"/>
              <a:ext cx="271426" cy="1744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sz="1100" b="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19E4D2C-F2E6-4C4B-AF12-6A1B5D9A409E}"/>
                </a:ext>
              </a:extLst>
            </xdr:cNvPr>
            <xdr:cNvSpPr txBox="1"/>
          </xdr:nvSpPr>
          <xdr:spPr>
            <a:xfrm>
              <a:off x="24003317" y="3433827"/>
              <a:ext cx="271426" cy="1744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𝑋_𝑖</a:t>
              </a:r>
              <a:endParaRPr lang="en-US" sz="1100" b="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390525</xdr:colOff>
      <xdr:row>17</xdr:row>
      <xdr:rowOff>114301</xdr:rowOff>
    </xdr:from>
    <xdr:ext cx="664797" cy="1905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C551C65-93EE-47A8-8934-EF0880B04CEB}"/>
                </a:ext>
              </a:extLst>
            </xdr:cNvPr>
            <xdr:cNvSpPr txBox="1"/>
          </xdr:nvSpPr>
          <xdr:spPr>
            <a:xfrm>
              <a:off x="22974300" y="3352801"/>
              <a:ext cx="664797" cy="190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  <m:r>
                      <a:rPr lang="en-US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sz="1100" b="0" i="1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C551C65-93EE-47A8-8934-EF0880B04CEB}"/>
                </a:ext>
              </a:extLst>
            </xdr:cNvPr>
            <xdr:cNvSpPr txBox="1"/>
          </xdr:nvSpPr>
          <xdr:spPr>
            <a:xfrm>
              <a:off x="22974300" y="3352801"/>
              <a:ext cx="664797" cy="190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𝑋_(𝑖+1)−𝑋_𝑖</a:t>
              </a:r>
              <a:endParaRPr lang="en-US" sz="1100" b="0" i="1"/>
            </a:p>
            <a:p>
              <a:endParaRPr lang="en-US" sz="1100"/>
            </a:p>
          </xdr:txBody>
        </xdr:sp>
      </mc:Fallback>
    </mc:AlternateContent>
    <xdr:clientData/>
  </xdr:oneCellAnchor>
  <xdr:twoCellAnchor>
    <xdr:from>
      <xdr:col>35</xdr:col>
      <xdr:colOff>512109</xdr:colOff>
      <xdr:row>1</xdr:row>
      <xdr:rowOff>54628</xdr:rowOff>
    </xdr:from>
    <xdr:to>
      <xdr:col>46</xdr:col>
      <xdr:colOff>166967</xdr:colOff>
      <xdr:row>16</xdr:row>
      <xdr:rowOff>30816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E3CE10-D1CF-4590-9231-4574D27746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18</xdr:row>
      <xdr:rowOff>4827</xdr:rowOff>
    </xdr:from>
    <xdr:ext cx="271426" cy="1744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4B1D4D4-8897-4449-9CCE-6E5438B577EE}"/>
                </a:ext>
              </a:extLst>
            </xdr:cNvPr>
            <xdr:cNvSpPr txBox="1"/>
          </xdr:nvSpPr>
          <xdr:spPr>
            <a:xfrm>
              <a:off x="25727342" y="3433827"/>
              <a:ext cx="271426" cy="1744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sz="1100" b="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4B1D4D4-8897-4449-9CCE-6E5438B577EE}"/>
                </a:ext>
              </a:extLst>
            </xdr:cNvPr>
            <xdr:cNvSpPr txBox="1"/>
          </xdr:nvSpPr>
          <xdr:spPr>
            <a:xfrm>
              <a:off x="25727342" y="3433827"/>
              <a:ext cx="271426" cy="1744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𝑋_𝑖</a:t>
              </a:r>
              <a:endParaRPr lang="en-US" sz="1100" b="0"/>
            </a:p>
            <a:p>
              <a:endParaRPr lang="en-US" sz="1100"/>
            </a:p>
          </xdr:txBody>
        </xdr:sp>
      </mc:Fallback>
    </mc:AlternateContent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18</xdr:row>
      <xdr:rowOff>4827</xdr:rowOff>
    </xdr:from>
    <xdr:ext cx="271426" cy="1744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759AFF3-E22E-44D2-979E-12C54E429852}"/>
                </a:ext>
              </a:extLst>
            </xdr:cNvPr>
            <xdr:cNvSpPr txBox="1"/>
          </xdr:nvSpPr>
          <xdr:spPr>
            <a:xfrm>
              <a:off x="15792450" y="3433827"/>
              <a:ext cx="271426" cy="1744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sz="1100" b="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759AFF3-E22E-44D2-979E-12C54E429852}"/>
                </a:ext>
              </a:extLst>
            </xdr:cNvPr>
            <xdr:cNvSpPr txBox="1"/>
          </xdr:nvSpPr>
          <xdr:spPr>
            <a:xfrm>
              <a:off x="15792450" y="3433827"/>
              <a:ext cx="271426" cy="1744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𝑋_𝑖</a:t>
              </a:r>
              <a:endParaRPr lang="en-US" sz="1100" b="0"/>
            </a:p>
            <a:p>
              <a:endParaRPr lang="en-US" sz="1100"/>
            </a:p>
          </xdr:txBody>
        </xdr:sp>
      </mc:Fallback>
    </mc:AlternateContent>
    <xdr:clientData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8</v>
    <v>8</v>
    <v>5</v>
  </rv>
  <rv s="0">
    <v>0</v>
    <v>8</v>
    <v>63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3CD090-9C1E-499B-87F4-358550EFE90D}" name="Table3" displayName="Table3" ref="B19:M83" totalsRowShown="0" headerRowDxfId="242">
  <autoFilter ref="B19:M83" xr:uid="{0B3CD090-9C1E-499B-87F4-358550EFE90D}">
    <filterColumn colId="1">
      <filters>
        <filter val="SHARP_LEFT"/>
        <filter val="SHARP_RIGHT"/>
        <filter val="TURN_LEFT"/>
        <filter val="TURN_RIGHT"/>
      </filters>
    </filterColumn>
  </autoFilter>
  <sortState xmlns:xlrd2="http://schemas.microsoft.com/office/spreadsheetml/2017/richdata2" ref="B20:M83">
    <sortCondition ref="C19:C83"/>
  </sortState>
  <tableColumns count="12">
    <tableColumn id="1" xr3:uid="{6BF72F99-3068-4CD8-AEF7-6ADC15F573E3}" name="n" dataDxfId="241"/>
    <tableColumn id="2" xr3:uid="{DECDB203-8D70-47E8-BC73-81BBAEAABA6C}" name="State" dataDxfId="240"/>
    <tableColumn id="3" xr3:uid="{8B191523-593E-4114-8A67-E78D3EEF05B0}" name="UltraSonic" dataDxfId="239">
      <calculatedColumnFormula>LEFT(RIGHT(DEC2BIN($B20,6),6),1)</calculatedColumnFormula>
    </tableColumn>
    <tableColumn id="4" xr3:uid="{0C00D138-B84B-4333-A0F6-74632683B9A5}" name="LMS" dataDxfId="238">
      <calculatedColumnFormula>LEFT(RIGHT(DEC2BIN($B20,6),5),1)</calculatedColumnFormula>
    </tableColumn>
    <tableColumn id="5" xr3:uid="{C27F3C38-12B7-4E25-9FB7-3D0AD8808C28}" name="LS" dataDxfId="237">
      <calculatedColumnFormula>LEFT(RIGHT(DEC2BIN($B20,6),4),1)</calculatedColumnFormula>
    </tableColumn>
    <tableColumn id="6" xr3:uid="{BF093D5C-8B07-4C6C-A636-5B14DE36EFEA}" name="MS" dataDxfId="236">
      <calculatedColumnFormula>LEFT(RIGHT(DEC2BIN($B20,6),3),1)</calculatedColumnFormula>
    </tableColumn>
    <tableColumn id="7" xr3:uid="{F821E8BD-295A-4076-8225-FF98846879FF}" name="RS" dataDxfId="235">
      <calculatedColumnFormula>LEFT(RIGHT(DEC2BIN($B20,6),2),1)</calculatedColumnFormula>
    </tableColumn>
    <tableColumn id="8" xr3:uid="{A25CC0EE-B2EC-401A-BF51-C45218038E8B}" name="RMS" dataDxfId="234">
      <calculatedColumnFormula>LEFT(RIGHT(DEC2BIN($B20,6),1),1)</calculatedColumnFormula>
    </tableColumn>
    <tableColumn id="9" xr3:uid="{62A2CBCE-C114-48F9-93F8-1E2193404600}" name="I1" dataDxfId="233">
      <calculatedColumnFormula>(($D20*$E$11)+($E20*$E$12)+($F20*$E$13)+($G20*$E$14)+($H20*$E$15)+($I20*$E$16))</calculatedColumnFormula>
    </tableColumn>
    <tableColumn id="10" xr3:uid="{1C404A87-D82E-4B42-B438-49016D372580}" name="I2" dataDxfId="232">
      <calculatedColumnFormula>(($D20*$F$11)+($E20*$F$12)+($F20*$F$13)+($G20*$F$14)+($H20*$F$15)+($I20*$F$16))</calculatedColumnFormula>
    </tableColumn>
    <tableColumn id="11" xr3:uid="{CD77BB50-002B-4274-A778-C0F68FB16E0E}" name="I3" dataDxfId="231">
      <calculatedColumnFormula>(($D20*$G$11)+($E20*$G$12)+($F20*$G$13)+($G20*$G$14)+($H20*$G$15)+($I20*$G$16))</calculatedColumnFormula>
    </tableColumn>
    <tableColumn id="12" xr3:uid="{1E1927EF-A708-4577-A9C4-CEB253EC931C}" name="I-diff" dataDxfId="230">
      <calculatedColumnFormula>ROUND(( J20+K20+L20)*1000000, 2)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D41867-C765-4DDC-A3C9-189333BFD7F8}" name="Table32" displayName="Table32" ref="B19:N83" totalsRowShown="0" headerRowDxfId="229">
  <autoFilter ref="B19:N83" xr:uid="{FDD41867-C765-4DDC-A3C9-189333BFD7F8}"/>
  <sortState xmlns:xlrd2="http://schemas.microsoft.com/office/spreadsheetml/2017/richdata2" ref="B20:N83">
    <sortCondition ref="B19:B83"/>
  </sortState>
  <tableColumns count="13">
    <tableColumn id="1" xr3:uid="{88B38A59-1D7B-426F-9EA2-29840BF754CB}" name="n" dataDxfId="228"/>
    <tableColumn id="2" xr3:uid="{C520244E-8825-4C9F-BA1B-96EF204B1699}" name="State" dataDxfId="227"/>
    <tableColumn id="3" xr3:uid="{E6BD3D59-06DE-4528-80F7-9E4B2412A3ED}" name="UltraSonic" dataDxfId="226">
      <calculatedColumnFormula>LEFT(RIGHT(DEC2BIN($B20,6),6),1)</calculatedColumnFormula>
    </tableColumn>
    <tableColumn id="4" xr3:uid="{5F6322EE-78BA-4BA2-BF6B-219266D67787}" name="LMS" dataDxfId="225">
      <calculatedColumnFormula>LEFT(RIGHT(DEC2BIN($B20,6),5),1)</calculatedColumnFormula>
    </tableColumn>
    <tableColumn id="5" xr3:uid="{E08FCF5C-1B1C-425A-BD6A-0F5704897002}" name="LS" dataDxfId="224">
      <calculatedColumnFormula>LEFT(RIGHT(DEC2BIN($B20,6),4),1)</calculatedColumnFormula>
    </tableColumn>
    <tableColumn id="6" xr3:uid="{E6899A49-0284-4ACE-B9A4-62F64B6D9948}" name="MS" dataDxfId="223">
      <calculatedColumnFormula>LEFT(RIGHT(DEC2BIN($B20,6),3),1)</calculatedColumnFormula>
    </tableColumn>
    <tableColumn id="7" xr3:uid="{6CEB99C5-479C-43DA-AFAB-A25104ED1A91}" name="RS" dataDxfId="222">
      <calculatedColumnFormula>LEFT(RIGHT(DEC2BIN($B20,6),2),1)</calculatedColumnFormula>
    </tableColumn>
    <tableColumn id="8" xr3:uid="{205FD527-9417-4840-B2FF-9238C3563B86}" name="RMS" dataDxfId="221">
      <calculatedColumnFormula>LEFT(RIGHT(DEC2BIN($B20,6),1),1)</calculatedColumnFormula>
    </tableColumn>
    <tableColumn id="9" xr3:uid="{E9B32180-5FA7-4578-A153-916BED81BA1C}" name="I1" dataDxfId="220">
      <calculatedColumnFormula>(($D20*$E$11)+($E20*$E$12)+($F20*$E$13)+($G20*$E$14)+($H20*$E$15)+($I20*$E$16))</calculatedColumnFormula>
    </tableColumn>
    <tableColumn id="10" xr3:uid="{4F5FB3B0-872F-4723-8DC1-A1F5D86CFB51}" name="I2" dataDxfId="219">
      <calculatedColumnFormula>(($D20*$F$11)+($E20*$F$12)+($F20*$F$13)+($G20*$F$14)+($H20*$F$15)+($I20*$F$16))</calculatedColumnFormula>
    </tableColumn>
    <tableColumn id="11" xr3:uid="{3C1AD3B9-9C29-4CF7-813D-F67D9345799F}" name="I3" dataDxfId="218">
      <calculatedColumnFormula>(($D20*$G$11)+($E20*$G$12)+($F20*$G$13)+($G20*$G$14)+($H20*$G$15)+($I20*$G$16))</calculatedColumnFormula>
    </tableColumn>
    <tableColumn id="13" xr3:uid="{70E8846D-E5E7-4B88-BE52-6CBF2EAB171D}" name="I4" dataDxfId="217">
      <calculatedColumnFormula>(($D20*$H$11)+($E20*$H$12)+($F20*$H$13)+($G20*$H$14)+($H20*$H$15)+($I20*$H$16))</calculatedColumnFormula>
    </tableColumn>
    <tableColumn id="12" xr3:uid="{0AD06E61-D2D6-42BE-BCE9-0ADF9FC43E60}" name="I-diff" dataDxfId="216">
      <calculatedColumnFormula>ROUND(( J20+K20+L20+M20)*1000000, 0)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CE8B420-0578-4B72-A240-700D3D1B3C19}" name="Table327" displayName="Table327" ref="B19:O83" totalsRowShown="0" headerRowDxfId="215">
  <autoFilter ref="B19:O83" xr:uid="{2CE8B420-0578-4B72-A240-700D3D1B3C19}"/>
  <sortState xmlns:xlrd2="http://schemas.microsoft.com/office/spreadsheetml/2017/richdata2" ref="B20:O83">
    <sortCondition ref="B19:B83"/>
  </sortState>
  <tableColumns count="14">
    <tableColumn id="1" xr3:uid="{B27CCEC2-A9D6-41CC-B1F7-49D40DAAD9D8}" name="n" dataDxfId="214"/>
    <tableColumn id="2" xr3:uid="{893A07CC-B107-451E-B3DC-9E8EBF18FD53}" name="State" dataDxfId="213"/>
    <tableColumn id="3" xr3:uid="{CA5510B0-B505-463F-A50C-183B46A32019}" name="UltraSonic" dataDxfId="212">
      <calculatedColumnFormula>LEFT(RIGHT(DEC2BIN($B20,6),6),1)</calculatedColumnFormula>
    </tableColumn>
    <tableColumn id="4" xr3:uid="{BA4436C1-7482-4190-BEDA-DBFA3665748F}" name="LMS" dataDxfId="211">
      <calculatedColumnFormula>LEFT(RIGHT(DEC2BIN($B20,6),5),1)</calculatedColumnFormula>
    </tableColumn>
    <tableColumn id="5" xr3:uid="{10A20468-04AD-449B-831C-1D9153730477}" name="LS" dataDxfId="210">
      <calculatedColumnFormula>LEFT(RIGHT(DEC2BIN($B20,6),4),1)</calculatedColumnFormula>
    </tableColumn>
    <tableColumn id="6" xr3:uid="{179ABE6D-C6CD-499E-A60D-45143D7285D2}" name="MS" dataDxfId="209">
      <calculatedColumnFormula>LEFT(RIGHT(DEC2BIN($B20,6),3),1)</calculatedColumnFormula>
    </tableColumn>
    <tableColumn id="7" xr3:uid="{31103C35-08AC-4DD0-870C-027B9BCD023E}" name="RS" dataDxfId="208">
      <calculatedColumnFormula>LEFT(RIGHT(DEC2BIN($B20,6),2),1)</calculatedColumnFormula>
    </tableColumn>
    <tableColumn id="8" xr3:uid="{6585F339-0C94-47CC-8A30-93ECA4FBBB41}" name="RMS" dataDxfId="207">
      <calculatedColumnFormula>LEFT(RIGHT(DEC2BIN($B20,6),1),1)</calculatedColumnFormula>
    </tableColumn>
    <tableColumn id="9" xr3:uid="{E55CEA02-BB8E-43D8-BEC8-361F8413B2D1}" name="I1" dataDxfId="206">
      <calculatedColumnFormula>(($D20*$E$11)+($E20*$E$12)+($F20*$E$13)+($G20*$E$14)+($H20*$E$15)+($I20*$E$16))</calculatedColumnFormula>
    </tableColumn>
    <tableColumn id="10" xr3:uid="{24E36D27-5D71-4F6D-B3FA-27B3F77FEF53}" name="I2" dataDxfId="205">
      <calculatedColumnFormula>(($D20*$F$11)+($E20*$F$12)+($F20*$F$13)+($G20*$F$14)+($H20*$F$15)+($I20*$F$16))</calculatedColumnFormula>
    </tableColumn>
    <tableColumn id="11" xr3:uid="{51CAB92B-60ED-4725-BA0D-42392AD4E2DB}" name="I3" dataDxfId="204">
      <calculatedColumnFormula>(($D20*$G$11)+($E20*$G$12)+($F20*$G$13)+($G20*$G$14)+($H20*$G$15)+($I20*$G$16))</calculatedColumnFormula>
    </tableColumn>
    <tableColumn id="13" xr3:uid="{79EC859E-768B-4909-B31A-C32F346A60B2}" name="I4" dataDxfId="203">
      <calculatedColumnFormula>(($D20*$H$11)+($E20*$H$12)+($F20*$H$13)+($G20*$H$14)+($H20*$H$15)+($I20*$H$16))</calculatedColumnFormula>
    </tableColumn>
    <tableColumn id="14" xr3:uid="{CE3DBC71-1EFA-4E62-9C0C-2D6FE9DBEB80}" name="I5" dataDxfId="202">
      <calculatedColumnFormula>(($D20*$I$11)+($E20*$I$12)+($F20*$I$13)+($G20*$I$14)+($H20*$I$15)+($I20*$I$16))</calculatedColumnFormula>
    </tableColumn>
    <tableColumn id="12" xr3:uid="{E309F7E0-1555-4765-A022-03B68EBB4A30}" name="I-diff" dataDxfId="201">
      <calculatedColumnFormula>ROUND(( J20+K20+L20+M20+Table327[[#This Row],[I5]])*1000000, 0)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433303-EF8D-460F-9364-86D23FBD2163}" name="Table323" displayName="Table323" ref="B19:Q83" totalsRowShown="0" headerRowDxfId="200">
  <autoFilter ref="B19:Q83" xr:uid="{F0433303-EF8D-460F-9364-86D23FBD2163}"/>
  <sortState xmlns:xlrd2="http://schemas.microsoft.com/office/spreadsheetml/2017/richdata2" ref="B20:Q48">
    <sortCondition ref="P19:P83"/>
  </sortState>
  <tableColumns count="16">
    <tableColumn id="1" xr3:uid="{B6AEC5EE-59B1-442E-99AA-CBE974B68E56}" name="n" dataDxfId="199"/>
    <tableColumn id="2" xr3:uid="{C06B5FF2-308B-4401-9D00-C91AB7999E58}" name="State" dataDxfId="198"/>
    <tableColumn id="3" xr3:uid="{71A4B0E1-D90F-4A94-9C63-B524D79E4524}" name="UltraSonic" dataDxfId="197">
      <calculatedColumnFormula>LEFT(RIGHT(DEC2BIN($B20,6),6),1)</calculatedColumnFormula>
    </tableColumn>
    <tableColumn id="4" xr3:uid="{73117006-6791-4631-81CB-D26E2AF407B4}" name="LMS" dataDxfId="196">
      <calculatedColumnFormula>LEFT(RIGHT(DEC2BIN($B20,6),5),1)</calculatedColumnFormula>
    </tableColumn>
    <tableColumn id="5" xr3:uid="{FD20DBE4-389C-4E3D-95CB-912FC5EEFF7B}" name="LS" dataDxfId="195">
      <calculatedColumnFormula>LEFT(RIGHT(DEC2BIN($B20,6),4),1)</calculatedColumnFormula>
    </tableColumn>
    <tableColumn id="6" xr3:uid="{2E74EF24-0F57-44C5-8B83-D5D1318DA3C2}" name="MS" dataDxfId="194">
      <calculatedColumnFormula>LEFT(RIGHT(DEC2BIN($B20,6),3),1)</calculatedColumnFormula>
    </tableColumn>
    <tableColumn id="7" xr3:uid="{13D211B5-D77B-4E01-B51E-6303B05C3105}" name="RS" dataDxfId="193">
      <calculatedColumnFormula>LEFT(RIGHT(DEC2BIN($B20,6),2),1)</calculatedColumnFormula>
    </tableColumn>
    <tableColumn id="8" xr3:uid="{58321517-BE00-4F05-89F6-56DFBF2E29FE}" name="RMS" dataDxfId="192">
      <calculatedColumnFormula>LEFT(RIGHT(DEC2BIN($B20,6),1),1)</calculatedColumnFormula>
    </tableColumn>
    <tableColumn id="9" xr3:uid="{4F070059-AAAA-410B-8340-0F91D6CC9BAF}" name="I1" dataDxfId="191">
      <calculatedColumnFormula>(($D20*$D$11)+($E20*$D$12)+($F20*$D$13)+($G20*$D$14)+($H20*$D$15)+($I20*$D$16))</calculatedColumnFormula>
    </tableColumn>
    <tableColumn id="10" xr3:uid="{D47B4237-78F4-4453-9FB4-80D582727D55}" name="I2" dataDxfId="190">
      <calculatedColumnFormula>(($D20*$E$11)+($E20*$E$12)+($F20*$E$13)+($G20*$E$14)+($H20*$E$15)+($I20*$E$16))</calculatedColumnFormula>
    </tableColumn>
    <tableColumn id="11" xr3:uid="{25578794-3C59-4617-9679-B7E158A4FB09}" name="I3" dataDxfId="189">
      <calculatedColumnFormula>(($D20*$F$11)+($E20*$F$12)+($F20*$F$13)+($G20*$F$14)+($H20*$F$15)+($I20*$F$16))</calculatedColumnFormula>
    </tableColumn>
    <tableColumn id="13" xr3:uid="{8886F715-3667-4F04-A02B-C5AF3FA4408D}" name="I4" dataDxfId="188">
      <calculatedColumnFormula>(($D20*$G$11)+($E20*$G$12)+($F20*$G$13)+($G20*$G$14)+($H20*$G$15)+($I20*$G$16))</calculatedColumnFormula>
    </tableColumn>
    <tableColumn id="14" xr3:uid="{F9A09EB1-4EC5-4BA1-A60C-E6F2E406AD0A}" name="I5" dataDxfId="187">
      <calculatedColumnFormula>(($D20*$H$11)+($E20*$H$12)+($F20*$G$13)+($G20*$H$14)+($H20*$H$15)+($I20*$H$16))</calculatedColumnFormula>
    </tableColumn>
    <tableColumn id="15" xr3:uid="{987A6D27-C8E1-4DD8-BF39-38A5B70DB47D}" name="I6" dataDxfId="186">
      <calculatedColumnFormula>(($D20*$I$11)+($E20*$I$12)+($F20*$I$13)+($G20*$I$14)+($H20*$I$15)+($I20*$I$16))</calculatedColumnFormula>
    </tableColumn>
    <tableColumn id="12" xr3:uid="{93C5BF5E-7317-4D45-A61A-31BC71796A30}" name="I-diff" dataDxfId="185">
      <calculatedColumnFormula>ROUND(Table323[[#This Row],[I4]]+(Table323[[#This Row],[I3]]+Table323[[#This Row],[I2]]+Table323[[#This Row],[I1]]+Table323[[#This Row],[I5]]+Table323[[#This Row],[I6]])*1000000, 0)</calculatedColumnFormula>
    </tableColumn>
    <tableColumn id="16" xr3:uid="{2A52381B-B1C5-43AF-8077-E6026FDEEC26}" name="State2" dataDxfId="18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62225C5-4D7D-4090-8BEF-CBBB8140A0B9}" name="Table32315" displayName="Table32315" ref="B19:Z83" totalsRowShown="0" headerRowDxfId="183">
  <autoFilter ref="B19:Z83" xr:uid="{762225C5-4D7D-4090-8BEF-CBBB8140A0B9}"/>
  <sortState xmlns:xlrd2="http://schemas.microsoft.com/office/spreadsheetml/2017/richdata2" ref="B20:Z83">
    <sortCondition ref="B19:B83"/>
  </sortState>
  <tableColumns count="25">
    <tableColumn id="1" xr3:uid="{98531848-2F5D-41C3-B9C9-3355CDF5FF77}" name="n" dataDxfId="182"/>
    <tableColumn id="2" xr3:uid="{544B2E76-4DFD-45D8-899E-D14F41F4D76A}" name="State" dataDxfId="181"/>
    <tableColumn id="3" xr3:uid="{375CCCE8-FDAF-4842-A497-A184CEFF5AF3}" name="UltraSonic" dataDxfId="180">
      <calculatedColumnFormula>LEFT(RIGHT(DEC2BIN($B20,3),3),1)</calculatedColumnFormula>
    </tableColumn>
    <tableColumn id="4" xr3:uid="{A9E8ACC0-8A57-46ED-9175-0087CEE70352}" name="LMS" dataDxfId="179">
      <calculatedColumnFormula>LEFT(RIGHT(DEC2BIN($B20,3),2),1)</calculatedColumnFormula>
    </tableColumn>
    <tableColumn id="5" xr3:uid="{7FA027E0-F230-496D-94EC-7547A6A15C41}" name="LS" dataDxfId="178">
      <calculatedColumnFormula>LEFT(RIGHT(DEC2BIN($B20,3),1),1)</calculatedColumnFormula>
    </tableColumn>
    <tableColumn id="6" xr3:uid="{30E157E3-C079-46F8-BD21-E76430437ED2}" name="MS" dataDxfId="177">
      <calculatedColumnFormula>LEFT(RIGHT(DEC2BIN($B20,3),3),1)</calculatedColumnFormula>
    </tableColumn>
    <tableColumn id="7" xr3:uid="{2E27C581-6239-4988-8EA9-03CA671CB9F5}" name="RS" dataDxfId="176">
      <calculatedColumnFormula>LEFT(RIGHT(DEC2BIN($B20,3),2),1)</calculatedColumnFormula>
    </tableColumn>
    <tableColumn id="8" xr3:uid="{8F58E939-83CE-43E3-8471-B8D0BB001022}" name="RMS" dataDxfId="175">
      <calculatedColumnFormula>LEFT(RIGHT(DEC2BIN($B20,3),1),1)</calculatedColumnFormula>
    </tableColumn>
    <tableColumn id="9" xr3:uid="{63FF4199-0893-4AA4-961E-8BA08723F68F}" name="I1" dataDxfId="174">
      <calculatedColumnFormula>(($D20*$D$11)+($E20*$D$12)+($F20*$D$13))</calculatedColumnFormula>
    </tableColumn>
    <tableColumn id="10" xr3:uid="{756EE27C-E9FD-45EC-8E76-F1081D0A41AE}" name="I2" dataDxfId="173">
      <calculatedColumnFormula>(($D20*$E$11)+($E20*$E$12)+($F20*$E$13))</calculatedColumnFormula>
    </tableColumn>
    <tableColumn id="11" xr3:uid="{6BE6F377-DE99-4409-A67F-33DE8EA0AD61}" name="I3" dataDxfId="172">
      <calculatedColumnFormula>(($D20*$F$11)+($E20*$F$12)+($F20*$F$13))</calculatedColumnFormula>
    </tableColumn>
    <tableColumn id="18" xr3:uid="{9415D8CC-DC8C-4E8A-A66D-1DD818BF7483}" name="I4" dataDxfId="171">
      <calculatedColumnFormula>(($D20*$G$11)+($E20*$G$12)+($F20*$G$13))</calculatedColumnFormula>
    </tableColumn>
    <tableColumn id="19" xr3:uid="{69F4E075-2AB7-441A-85A3-E00A567D0EA9}" name="I5" dataDxfId="170">
      <calculatedColumnFormula>(($D20*$H$11)+($E20*$H$12)+($F20*$H$13))</calculatedColumnFormula>
    </tableColumn>
    <tableColumn id="20" xr3:uid="{283D9C75-F350-4BDA-A8D6-35F97046BE7D}" name="I6" dataDxfId="169">
      <calculatedColumnFormula>(($D20*$I$11)+($E20*$I$12)+($F20*$I$13))</calculatedColumnFormula>
    </tableColumn>
    <tableColumn id="21" xr3:uid="{3CFF9DD5-034B-4627-A813-60C01ACEC67C}" name="I7" dataDxfId="168">
      <calculatedColumnFormula>(($D20*$J$11)+($E20*$J$12)+($F20*$J$13))</calculatedColumnFormula>
    </tableColumn>
    <tableColumn id="25" xr3:uid="{C85C35F6-A753-484E-B52D-E5A13830B3F3}" name="I-Total" dataDxfId="167">
      <calculatedColumnFormula>ROUND(( SUM(Table32315[[#This Row],[I1]:[I7]]))*1000000, 0)</calculatedColumnFormula>
    </tableColumn>
    <tableColumn id="22" xr3:uid="{DF580B42-37EC-4CB6-9459-88D11B59AF4A}" name="II1" dataDxfId="166">
      <calculatedColumnFormula>(($G20*$D$14)+($H20*$D$15)+($I20*$D$16))</calculatedColumnFormula>
    </tableColumn>
    <tableColumn id="23" xr3:uid="{14C87B84-E2E5-43CD-A229-77C754DF5D61}" name="II2" dataDxfId="165">
      <calculatedColumnFormula>(($G20*$E$14)+($H20*$E$15)+($I20*$E$16))</calculatedColumnFormula>
    </tableColumn>
    <tableColumn id="24" xr3:uid="{CB213787-A8B5-43DB-B73C-9E4F40A8B76B}" name="II3" dataDxfId="164">
      <calculatedColumnFormula>(($G20*$F$14)+($H20*$F$15)+($I20*$F$16))</calculatedColumnFormula>
    </tableColumn>
    <tableColumn id="13" xr3:uid="{E93AD001-56C3-4CAA-8F53-9960DEB08828}" name="II4" dataDxfId="163">
      <calculatedColumnFormula>(($G20*$G$14)+($H20*$G$15)+($I20*$G$16))</calculatedColumnFormula>
    </tableColumn>
    <tableColumn id="14" xr3:uid="{2CC673FA-8B1F-4B64-81F7-0F563AD4AABA}" name="II5" dataDxfId="162">
      <calculatedColumnFormula>(($G20*$H$14)+($H20*$H$15)+($I20*$H$16))</calculatedColumnFormula>
    </tableColumn>
    <tableColumn id="15" xr3:uid="{0277CC96-456A-4564-8CE4-F3DFB5FAC84B}" name="II6" dataDxfId="161">
      <calculatedColumnFormula>(($G20*$I$14)+($H20*$I$15)+($I20*$I$16))</calculatedColumnFormula>
    </tableColumn>
    <tableColumn id="16" xr3:uid="{A00BF3E0-8519-44D2-9F60-5548A744C96F}" name="II7" dataDxfId="160">
      <calculatedColumnFormula>(($G20*$J$14)+($H20*$J$15)+($I20*$J$16))</calculatedColumnFormula>
    </tableColumn>
    <tableColumn id="12" xr3:uid="{7AB1FA2A-5321-4248-97DF-AA32559645A6}" name="I-Total2" dataDxfId="159">
      <calculatedColumnFormula>ROUND((SUM(Table32315[[#This Row],[II1]:[II7]]))*1000000, 0)</calculatedColumnFormula>
    </tableColumn>
    <tableColumn id="17" xr3:uid="{683DBD6D-998C-444C-9AA2-BE04F1EA100E}" name="State2" dataDxfId="158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749898-0FC9-47BA-BFB3-4B6CC481B580}" name="Table35" displayName="Table35" ref="B19:M83" totalsRowShown="0" headerRowDxfId="157">
  <autoFilter ref="B19:M83" xr:uid="{F9749898-0FC9-47BA-BFB3-4B6CC481B580}">
    <filterColumn colId="1">
      <filters>
        <filter val="MOVING_FORWARD"/>
        <filter val="SHARP_LEFT"/>
        <filter val="SHARP_RIGHT"/>
        <filter val="STOP_STATE"/>
        <filter val="TURN_LEFT"/>
        <filter val="TURN_RIGHT"/>
      </filters>
    </filterColumn>
  </autoFilter>
  <sortState xmlns:xlrd2="http://schemas.microsoft.com/office/spreadsheetml/2017/richdata2" ref="B20:M83">
    <sortCondition ref="C19:C83"/>
  </sortState>
  <tableColumns count="12">
    <tableColumn id="1" xr3:uid="{966FA582-DA44-4EDF-9F12-196480DDE5C9}" name="n" dataDxfId="156"/>
    <tableColumn id="2" xr3:uid="{1E4865BF-62FC-4A82-98D3-7FF1910052C1}" name="State" dataDxfId="155"/>
    <tableColumn id="3" xr3:uid="{646F62D7-D628-4BDA-A69E-2145EE76F1FC}" name="UltraSonic" dataDxfId="154">
      <calculatedColumnFormula>LEFT(RIGHT(DEC2BIN($B20,6),6),1)</calculatedColumnFormula>
    </tableColumn>
    <tableColumn id="4" xr3:uid="{E4B125C4-2C5B-44D6-A7FB-9BC73353FA3F}" name="LMS" dataDxfId="153">
      <calculatedColumnFormula>LEFT(RIGHT(DEC2BIN($B20,6),5),1)</calculatedColumnFormula>
    </tableColumn>
    <tableColumn id="5" xr3:uid="{1A3BC022-9D68-48DB-A53B-50799575279D}" name="LS" dataDxfId="152">
      <calculatedColumnFormula>LEFT(RIGHT(DEC2BIN($B20,6),4),1)</calculatedColumnFormula>
    </tableColumn>
    <tableColumn id="6" xr3:uid="{853DD38D-08C1-4128-AB6D-1304834B56A4}" name="MS" dataDxfId="151">
      <calculatedColumnFormula>LEFT(RIGHT(DEC2BIN($B20,6),3),1)</calculatedColumnFormula>
    </tableColumn>
    <tableColumn id="7" xr3:uid="{37C84108-7B98-4A24-B6BD-DED53C551BF3}" name="RS" dataDxfId="150">
      <calculatedColumnFormula>LEFT(RIGHT(DEC2BIN($B20,6),2),1)</calculatedColumnFormula>
    </tableColumn>
    <tableColumn id="8" xr3:uid="{68CA5639-A914-4734-B6EE-754B8E7D313E}" name="RMS" dataDxfId="149">
      <calculatedColumnFormula>LEFT(RIGHT(DEC2BIN($B20,6),1),1)</calculatedColumnFormula>
    </tableColumn>
    <tableColumn id="9" xr3:uid="{54F08A15-5EB4-4366-BDE0-6DD7EBE10EDD}" name="I1" dataDxfId="148">
      <calculatedColumnFormula>(($D20*$E$11)+($E20*$E$12)+($F20*$E$13)+($G20*$E$14)+($H20*$E$15)+($I20*$E$16))</calculatedColumnFormula>
    </tableColumn>
    <tableColumn id="10" xr3:uid="{7106294D-ADBC-48DB-A65E-BB352285C41F}" name="I2" dataDxfId="147">
      <calculatedColumnFormula>(($D20*$F$11)+($E20*$F$12)+($F20*$F$13)+($G20*$F$14)+($H20*$F$15)+($I20*$F$16))</calculatedColumnFormula>
    </tableColumn>
    <tableColumn id="11" xr3:uid="{AD77DEA7-7139-4DC6-9833-61BEC2433665}" name="I3" dataDxfId="146">
      <calculatedColumnFormula>(($D20*$G$11)+($E20*$G$12)+($F20*$G$13)+($G20*$G$14)+($H20*$G$15)+($I20*$G$16))</calculatedColumnFormula>
    </tableColumn>
    <tableColumn id="12" xr3:uid="{2FFFEC42-44A8-400E-BA2A-094329FB0A46}" name="I-diff" dataDxfId="145">
      <calculatedColumnFormula>ROUND((Table35[[#This Row],[I1]]-Table35[[#This Row],[I2]])*1000000, 2)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D90376-9F80-4AEC-B837-B7D569256A69}" name="Table356" displayName="Table356" ref="B19:N83" totalsRowShown="0" headerRowDxfId="144">
  <autoFilter ref="B19:N83" xr:uid="{4DD90376-9F80-4AEC-B837-B7D569256A69}">
    <filterColumn colId="1">
      <filters>
        <filter val="MOVING_FORWARD"/>
        <filter val="SHARP_LEFT"/>
        <filter val="SHARP_RIGHT"/>
        <filter val="TURN_LEFT"/>
        <filter val="TURN_RIGHT"/>
      </filters>
    </filterColumn>
  </autoFilter>
  <sortState xmlns:xlrd2="http://schemas.microsoft.com/office/spreadsheetml/2017/richdata2" ref="B21:N81">
    <sortCondition ref="C19:C83"/>
  </sortState>
  <tableColumns count="13">
    <tableColumn id="1" xr3:uid="{BDDC4B6B-EA54-4AD6-AF7B-066E71EB1ACC}" name="n" dataDxfId="143"/>
    <tableColumn id="2" xr3:uid="{A89611E1-2350-48C3-B009-BBB897953682}" name="State" dataDxfId="142"/>
    <tableColumn id="3" xr3:uid="{DC12645F-0B85-4123-AE89-CCE19E6E8A52}" name="UltraSonic" dataDxfId="141">
      <calculatedColumnFormula>LEFT(RIGHT(DEC2BIN($B20,6),6),1)</calculatedColumnFormula>
    </tableColumn>
    <tableColumn id="4" xr3:uid="{8619B43C-6946-4B97-B1CC-7E3C5BAF1425}" name="LMS" dataDxfId="140">
      <calculatedColumnFormula>LEFT(RIGHT(DEC2BIN($B20,6),5),1)</calculatedColumnFormula>
    </tableColumn>
    <tableColumn id="5" xr3:uid="{B50E013B-AAB1-4E5A-B17C-01830D46988C}" name="LS" dataDxfId="139">
      <calculatedColumnFormula>LEFT(RIGHT(DEC2BIN($B20,6),4),1)</calculatedColumnFormula>
    </tableColumn>
    <tableColumn id="6" xr3:uid="{D55D476A-AA38-4394-B83C-E9E4491735B2}" name="MS" dataDxfId="138">
      <calculatedColumnFormula>LEFT(RIGHT(DEC2BIN($B20,6),3),1)</calculatedColumnFormula>
    </tableColumn>
    <tableColumn id="7" xr3:uid="{2A21DCB2-D773-4D93-A7D4-4208ACFA6125}" name="RS" dataDxfId="137">
      <calculatedColumnFormula>LEFT(RIGHT(DEC2BIN($B20,6),2),1)</calculatedColumnFormula>
    </tableColumn>
    <tableColumn id="8" xr3:uid="{F9C6217A-D506-41D3-8ECA-5CE17D3F924D}" name="RMS" dataDxfId="136">
      <calculatedColumnFormula>LEFT(RIGHT(DEC2BIN($B20,6),1),1)</calculatedColumnFormula>
    </tableColumn>
    <tableColumn id="9" xr3:uid="{195EBCF2-F0E8-4E20-8756-5A1FE78AABC0}" name="I1" dataDxfId="135">
      <calculatedColumnFormula>(($D20*$E$11)+($E20*$E$12)+($F20*$E$13)+($G20*$E$14)+($H20*$E$15)+($I20*$E$16))</calculatedColumnFormula>
    </tableColumn>
    <tableColumn id="10" xr3:uid="{742C108A-F0AB-44F3-8A25-CD1B5A8EAE38}" name="I2" dataDxfId="134">
      <calculatedColumnFormula>(($D20*$F$11)+($E20*$F$12)+($F20*$F$13)+($G20*$F$14)+($H20*$F$15)+($I20*$F$16))</calculatedColumnFormula>
    </tableColumn>
    <tableColumn id="11" xr3:uid="{9EC746AD-AECD-4318-91A6-8C879325219D}" name="I3" dataDxfId="133">
      <calculatedColumnFormula>(($D20*G$11)+($E20*G$12)+($F20*G$13)+($G20*G$14)+($H20*G$15)+($I20*G$16))</calculatedColumnFormula>
    </tableColumn>
    <tableColumn id="13" xr3:uid="{361629ED-7E25-4C3E-82EB-F99E52E2D5F0}" name="I4" dataDxfId="132">
      <calculatedColumnFormula>(($D20*H$11)+($E20*H$12)+($F20*H$13)+($G20*H$14)+($H20*H$15)+($I20*H$16))</calculatedColumnFormula>
    </tableColumn>
    <tableColumn id="12" xr3:uid="{02EB04FA-4BE1-497E-8F58-D6BC796BB31F}" name="I-diff" dataDxfId="131">
      <calculatedColumnFormula>ROUND(((Table356[[#This Row],[I1]]+Table356[[#This Row],[I2]])-(Table356[[#This Row],[I3]]+Table356[[#This Row],[I4]]))*1000000, 2)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13A7552-09F5-4FCD-AAD2-9B77402633C3}" name="Table323158" displayName="Table323158" ref="B19:AL83" totalsRowShown="0" headerRowDxfId="130">
  <autoFilter ref="B19:AL83" xr:uid="{613A7552-09F5-4FCD-AAD2-9B77402633C3}"/>
  <sortState xmlns:xlrd2="http://schemas.microsoft.com/office/spreadsheetml/2017/richdata2" ref="B20:AL83">
    <sortCondition ref="O19:O83"/>
  </sortState>
  <tableColumns count="37">
    <tableColumn id="1" xr3:uid="{97036297-C2B3-43B4-B8A0-254337C4C055}" name="n" dataDxfId="129"/>
    <tableColumn id="2" xr3:uid="{8520D4CC-25B6-4697-B1A0-EC73B722D362}" name="State" dataDxfId="128"/>
    <tableColumn id="3" xr3:uid="{03186C62-CBE6-4DC1-8DB2-09674FC8FAAB}" name="UltraSonic" dataDxfId="127">
      <calculatedColumnFormula>LEFT(RIGHT(DEC2BIN($B20,3),3),1)</calculatedColumnFormula>
    </tableColumn>
    <tableColumn id="4" xr3:uid="{EDCCD9A7-453C-4F66-A1E0-C0B0C6CE2D45}" name="LMS" dataDxfId="126">
      <calculatedColumnFormula>LEFT(RIGHT(DEC2BIN($B20,3),2),1)</calculatedColumnFormula>
    </tableColumn>
    <tableColumn id="5" xr3:uid="{EB7437A7-89EB-4640-B090-5425D9483807}" name="LS" dataDxfId="125">
      <calculatedColumnFormula>LEFT(RIGHT(DEC2BIN($B20,3),1),1)</calculatedColumnFormula>
    </tableColumn>
    <tableColumn id="37" xr3:uid="{21685212-2014-4B98-8C09-5348B07097A6}" name="MS" dataDxfId="124">
      <calculatedColumnFormula>LEFT(RIGHT(DEC2BIN($B20,4),1),1)</calculatedColumnFormula>
    </tableColumn>
    <tableColumn id="6" xr3:uid="{FC4023A6-FEAA-4DD2-9125-B5733CDCA709}" name="I1" dataDxfId="123">
      <calculatedColumnFormula>(($D20*$D$11)+($E20*$D$12)+($F20*$D$13))</calculatedColumnFormula>
    </tableColumn>
    <tableColumn id="7" xr3:uid="{34D20ED5-06FE-4BA2-98CF-EB9706766B37}" name="I2" dataDxfId="122">
      <calculatedColumnFormula>(($D20*$E$11)+($E20*$E$12)+($F20*$E$13))</calculatedColumnFormula>
    </tableColumn>
    <tableColumn id="8" xr3:uid="{65BB4B3F-E06A-47AE-9FFD-5BC8F5013A47}" name="I3" dataDxfId="121">
      <calculatedColumnFormula>(($D20*$F$11)+($E20*$F$12)+($F20*$F$13))</calculatedColumnFormula>
    </tableColumn>
    <tableColumn id="9" xr3:uid="{0E757CDF-9A3B-4015-9274-CF1609167809}" name="I4" dataDxfId="120">
      <calculatedColumnFormula>(($D20*$G$11)+($E20*$G$12)+($F20*$G$13))</calculatedColumnFormula>
    </tableColumn>
    <tableColumn id="10" xr3:uid="{6229F2CB-8EE9-4324-B645-5B3549D61A09}" name="I5" dataDxfId="119">
      <calculatedColumnFormula>(($D20*$H$11)+($E20*$H$12)+($F20*$H$13))</calculatedColumnFormula>
    </tableColumn>
    <tableColumn id="11" xr3:uid="{71E816FC-5573-4A58-BE43-667346D442ED}" name="I6" dataDxfId="118">
      <calculatedColumnFormula>(($D20*$I$11)+($E20*$I$12)+($F20*$I$13))</calculatedColumnFormula>
    </tableColumn>
    <tableColumn id="18" xr3:uid="{078DD057-00E9-4196-A2C0-5C61EFC28C5E}" name="I7" dataDxfId="117">
      <calculatedColumnFormula>(($D20*$J$11)+($E20*$J$12)+($F20*$J$13))</calculatedColumnFormula>
    </tableColumn>
    <tableColumn id="19" xr3:uid="{5D6D7D1F-7F20-4FDB-AD43-6DB19898B303}" name="I-Total" dataDxfId="116">
      <calculatedColumnFormula>ROUND(( SUM(Table323158[[#This Row],[I1]:[I7]]))*1000000, 0)</calculatedColumnFormula>
    </tableColumn>
    <tableColumn id="36" xr3:uid="{1802286B-C688-4021-A938-13485E379F4E}" name="Column6" dataDxfId="115"/>
    <tableColumn id="20" xr3:uid="{80B3708A-3C14-4013-AE15-2F29CCD716DD}" name="MS2" dataDxfId="114">
      <calculatedColumnFormula>LEFT(RIGHT(DEC2BIN($B20,3),3),1)</calculatedColumnFormula>
    </tableColumn>
    <tableColumn id="21" xr3:uid="{A9BA8230-A91A-4C50-A716-073B82FE986D}" name="RS" dataDxfId="113">
      <calculatedColumnFormula>LEFT(RIGHT(DEC2BIN($B20,3),2),1)</calculatedColumnFormula>
    </tableColumn>
    <tableColumn id="25" xr3:uid="{37336DD8-548E-4D05-BCED-6CCF385BE9D5}" name="RMS" dataDxfId="112">
      <calculatedColumnFormula>LEFT(RIGHT(DEC2BIN($B20,3),1),1)</calculatedColumnFormula>
    </tableColumn>
    <tableColumn id="27" xr3:uid="{A3DCC6F6-F324-4A34-BE2B-90112A4D4EEB}" name="II1" dataDxfId="111">
      <calculatedColumnFormula>(($Q20*$D$14)+($R20*$D$15)+($S20*$D$16))</calculatedColumnFormula>
    </tableColumn>
    <tableColumn id="26" xr3:uid="{5F6A0440-622F-4A91-A513-564F4AA0C374}" name="II2" dataDxfId="110">
      <calculatedColumnFormula>(($Q20*$E$14)+($R20*$E$15)+($S20*$E$16))</calculatedColumnFormula>
    </tableColumn>
    <tableColumn id="28" xr3:uid="{F02E6075-92DC-4E30-8405-6C80BC934187}" name="II3" dataDxfId="109">
      <calculatedColumnFormula>(($Q20*$F$14)+($R20*$F$15)+($S20*$F$16))</calculatedColumnFormula>
    </tableColumn>
    <tableColumn id="22" xr3:uid="{B55B1F77-8E8C-4887-944B-FAA38DBE01A8}" name="II4" dataDxfId="108">
      <calculatedColumnFormula>(($Q20*$G$14)+($R20*$G$15)+($S20*$G$16))</calculatedColumnFormula>
    </tableColumn>
    <tableColumn id="23" xr3:uid="{F0C9E3D7-E9B6-4553-BBC6-1EFF306D10C7}" name="II5" dataDxfId="107">
      <calculatedColumnFormula>(($Q20*$H$14)+($R20*$H$15)+($S20*$H$16))</calculatedColumnFormula>
    </tableColumn>
    <tableColumn id="24" xr3:uid="{62E425D5-82E4-4661-AB6E-A3AE9EF48CCA}" name="II6" dataDxfId="106">
      <calculatedColumnFormula>(($Q20*$I$14)+($R20*$I$15)+($S20*$I$16))</calculatedColumnFormula>
    </tableColumn>
    <tableColumn id="13" xr3:uid="{F853680D-3B68-4E7A-ABB4-2E50F1E829AF}" name="II7" dataDxfId="105">
      <calculatedColumnFormula>(($Q20*$J$14)+($R20*$J$15)+($S20*$J$16))</calculatedColumnFormula>
    </tableColumn>
    <tableColumn id="14" xr3:uid="{621DC72E-07B0-4A59-BC4C-DBAE52C34F93}" name="I-Total2" dataDxfId="104">
      <calculatedColumnFormula>ROUND((SUM(Table323158[[#This Row],[II1]:[II7]]))*1000000, 0)</calculatedColumnFormula>
    </tableColumn>
    <tableColumn id="15" xr3:uid="{66DAF9C4-9417-4E23-9DE2-C0B020144598}" name="State2" dataDxfId="103"/>
    <tableColumn id="16" xr3:uid="{743EEA57-32C4-4840-8166-4B752A88947D}" name="I-diff-Uniques" dataDxfId="102"/>
    <tableColumn id="12" xr3:uid="{6D8763FF-78B7-4C08-BD44-32DBD1E411C3}" name="Occurance" dataDxfId="101"/>
    <tableColumn id="17" xr3:uid="{105A0CED-50EF-434A-98EE-F0EE738AE6D3}" name="Column1" dataDxfId="100"/>
    <tableColumn id="29" xr3:uid="{FA2E5A2E-DD11-46D0-8E39-12F872B95A2A}" name="Column2" dataDxfId="99"/>
    <tableColumn id="30" xr3:uid="{DF0B9DFD-F83D-40DF-AB23-DE32B2FF6FF1}" name="Column3" dataDxfId="98"/>
    <tableColumn id="31" xr3:uid="{D1E2D2BD-CA95-430F-B29A-58C19565AA21}" name="num" dataDxfId="97"/>
    <tableColumn id="32" xr3:uid="{75CC0FF3-DF99-4F3E-A89D-23031EA15556}" name="Column4" dataDxfId="96"/>
    <tableColumn id="33" xr3:uid="{9EB21DF4-8CA1-4FA7-910D-A8871BF57BBD}" name="Column5" dataDxfId="95"/>
    <tableColumn id="34" xr3:uid="{3CB37A79-31B5-469F-9E33-3898A956D1AF}" name="Unique" dataDxfId="94"/>
    <tableColumn id="35" xr3:uid="{108CB2F3-5135-4DD6-B430-42E3BEB13DA1}" name="Occurance5" dataDxfId="93">
      <calculatedColumnFormula>IF(OR(ISBLANK(AK20), AK20 = ""),"",COUNTIF($AI$20:$AI$83,AK20))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DF323A2-FB3A-425A-BCF2-1F5C4271B5F8}" name="Table3231589" displayName="Table3231589" ref="B19:P83" totalsRowShown="0" headerRowDxfId="92">
  <sortState xmlns:xlrd2="http://schemas.microsoft.com/office/spreadsheetml/2017/richdata2" ref="B20:P83">
    <sortCondition ref="O19:O83"/>
  </sortState>
  <tableColumns count="15">
    <tableColumn id="1" xr3:uid="{57B6628D-091A-4D63-9389-D9C6F5918726}" name="n" dataDxfId="91"/>
    <tableColumn id="2" xr3:uid="{3DDC2493-CC98-4828-B438-545895E390E3}" name="State" dataDxfId="90"/>
    <tableColumn id="3" xr3:uid="{EF9771C8-5974-4D44-B6EB-72B6EEE94F63}" name="UltraSonic" dataDxfId="89">
      <calculatedColumnFormula>LEFT(RIGHT(DEC2BIN($B20,3),3),1)</calculatedColumnFormula>
    </tableColumn>
    <tableColumn id="4" xr3:uid="{34BD2CD8-6FFC-40F7-B1D5-24EC393B7AB2}" name="LMS" dataDxfId="88">
      <calculatedColumnFormula>LEFT(RIGHT(DEC2BIN($B20,3),2),1)</calculatedColumnFormula>
    </tableColumn>
    <tableColumn id="5" xr3:uid="{DA0DCB65-3937-4279-8ACD-78A2C3D5711C}" name="LS" dataDxfId="87">
      <calculatedColumnFormula>LEFT(RIGHT(DEC2BIN($B20,3),1),1)</calculatedColumnFormula>
    </tableColumn>
    <tableColumn id="37" xr3:uid="{F67B0882-EB4E-4565-9C84-BEFB602325B3}" name="MS" dataDxfId="86">
      <calculatedColumnFormula>LEFT(RIGHT(DEC2BIN($B20,4),1),1)</calculatedColumnFormula>
    </tableColumn>
    <tableColumn id="6" xr3:uid="{1A313851-88FD-472B-AECF-32DC326E02C6}" name="I1" dataDxfId="85">
      <calculatedColumnFormula>(($D20*$D$11)+($E20*$D$12)+($F20*$D$13))</calculatedColumnFormula>
    </tableColumn>
    <tableColumn id="7" xr3:uid="{E14169CB-3BDF-416D-9387-16301478B2C0}" name="I2" dataDxfId="84">
      <calculatedColumnFormula>(($D20*$E$11)+($E20*$E$12)+($F20*$E$13))</calculatedColumnFormula>
    </tableColumn>
    <tableColumn id="8" xr3:uid="{CE8DE799-A89E-405C-B2C5-6281766B8569}" name="I3" dataDxfId="83">
      <calculatedColumnFormula>(($D20*$F$11)+($E20*$F$12)+($F20*$F$13))</calculatedColumnFormula>
    </tableColumn>
    <tableColumn id="9" xr3:uid="{2ED1EE4E-EF02-4BD0-93BD-33863C1D1BC1}" name="I4" dataDxfId="82">
      <calculatedColumnFormula>(($D20*$G$11)+($E20*$G$12)+($F20*$G$13))</calculatedColumnFormula>
    </tableColumn>
    <tableColumn id="10" xr3:uid="{CE95EFA8-7AD2-4397-87C8-61CBFFD746BF}" name="I5" dataDxfId="81">
      <calculatedColumnFormula>(($D20*$H$11)+($E20*$H$12)+($F20*$H$13))</calculatedColumnFormula>
    </tableColumn>
    <tableColumn id="11" xr3:uid="{7AA0FF0B-F365-43A8-B89F-89EA0D43633F}" name="I6" dataDxfId="80">
      <calculatedColumnFormula>(($D20*$I$11)+($E20*$I$12)+($F20*$I$13))</calculatedColumnFormula>
    </tableColumn>
    <tableColumn id="18" xr3:uid="{4821EBA2-21D8-4316-A202-00FC7A85A53F}" name="I7" dataDxfId="79">
      <calculatedColumnFormula>(($D20*$J$11)+($E20*$J$12)+($F20*$J$13))</calculatedColumnFormula>
    </tableColumn>
    <tableColumn id="19" xr3:uid="{B77B631B-B753-4A36-B3F4-236C2314BAB3}" name="I-Total" dataDxfId="78">
      <calculatedColumnFormula>ROUND(( SUM(Table3231589[[#This Row],[I1]:[I3]]))*1000000, 0)</calculatedColumnFormula>
    </tableColumn>
    <tableColumn id="36" xr3:uid="{585CA131-3C54-4282-9685-F6ACD2EFB154}" name="Column6" dataDxfId="77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30F8FB3-D58F-40F8-A17A-8788F11B901E}" name="Table12" displayName="Table12" ref="R19:AD83" totalsRowShown="0" headerRowDxfId="76">
  <autoFilter ref="R19:AD83" xr:uid="{C30F8FB3-D58F-40F8-A17A-8788F11B901E}"/>
  <sortState xmlns:xlrd2="http://schemas.microsoft.com/office/spreadsheetml/2017/richdata2" ref="R20:AD83">
    <sortCondition ref="AC19:AC83"/>
  </sortState>
  <tableColumns count="13">
    <tableColumn id="1" xr3:uid="{F45B3F22-5F34-4E76-9FAC-C77151660C07}" name="n" dataDxfId="75"/>
    <tableColumn id="2" xr3:uid="{D0FB4FEA-D895-4D6E-9176-CDE9E253DB2C}" name="MS2" dataDxfId="74">
      <calculatedColumnFormula>LEFT(RIGHT(DEC2BIN($R20,3),3),1)</calculatedColumnFormula>
    </tableColumn>
    <tableColumn id="3" xr3:uid="{83635F94-75D0-45DB-9736-C2944648EB75}" name="RS" dataDxfId="73">
      <calculatedColumnFormula>LEFT(RIGHT(DEC2BIN($R20,3),2),1)</calculatedColumnFormula>
    </tableColumn>
    <tableColumn id="4" xr3:uid="{7695D180-A90D-4268-8882-73706EE35ADD}" name="RMS" dataDxfId="72">
      <calculatedColumnFormula>LEFT(RIGHT(DEC2BIN($R20,3),1),1)</calculatedColumnFormula>
    </tableColumn>
    <tableColumn id="5" xr3:uid="{3100F454-84E1-4529-817D-9D3D6078BFE4}" name="II1" dataDxfId="71">
      <calculatedColumnFormula>(($S20*$D$14)+($T20*$D$15)+($U20*$D$16))</calculatedColumnFormula>
    </tableColumn>
    <tableColumn id="6" xr3:uid="{5812EA7C-2D67-434E-99EA-C08F8B15DDC7}" name="II2" dataDxfId="70">
      <calculatedColumnFormula>(($S20*$E$14)+($T20*$E$15)+($U20*$E$16))</calculatedColumnFormula>
    </tableColumn>
    <tableColumn id="7" xr3:uid="{A6715159-62D1-4686-873F-6C8EF0825462}" name="II3" dataDxfId="69">
      <calculatedColumnFormula>(($S20*$F$14)+($T20*$F$15)+($U20*$F$16))</calculatedColumnFormula>
    </tableColumn>
    <tableColumn id="8" xr3:uid="{536166DA-F553-404D-8F5F-C2907DCBE450}" name="II4" dataDxfId="68">
      <calculatedColumnFormula>(($S20*$G$14)+($T20*$G$15)+($U20*$G$16))</calculatedColumnFormula>
    </tableColumn>
    <tableColumn id="9" xr3:uid="{59D768AB-F455-41F5-8B4A-D951A65A6F51}" name="II5" dataDxfId="67">
      <calculatedColumnFormula>(($S20*$H$14)+($T20*$H$15)+($U20*$H$16))</calculatedColumnFormula>
    </tableColumn>
    <tableColumn id="10" xr3:uid="{61FAB0F4-9137-43D5-9530-199E4ECA1AC8}" name="II6" dataDxfId="66">
      <calculatedColumnFormula>(($S20*$I$14)+($T20*$I$15)+($U20*$I$16))</calculatedColumnFormula>
    </tableColumn>
    <tableColumn id="11" xr3:uid="{86BBC469-2FB3-4A04-B7CA-5C2F0AFA0C9D}" name="II7" dataDxfId="65">
      <calculatedColumnFormula>(($S20*$J$14)+($T20*$J$15)+($U20*$J$16))</calculatedColumnFormula>
    </tableColumn>
    <tableColumn id="12" xr3:uid="{A2373D80-4B7D-4609-9911-400B5001282F}" name="I-Total2" dataDxfId="64">
      <calculatedColumnFormula>ROUND((SUM(Table12[[#This Row],[II1]:[II3]]))*1000000, 0)</calculatedColumnFormula>
    </tableColumn>
    <tableColumn id="13" xr3:uid="{50187072-CC82-4EA8-BE7C-C5C27A108C6C}" name="State2" dataDxfId="63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1DDB327-273B-4886-8660-033194CF9C38}" name="Table323158910" displayName="Table323158910" ref="B19:J83" totalsRowShown="0" headerRowDxfId="62">
  <autoFilter ref="B19:J83" xr:uid="{31DDB327-273B-4886-8660-033194CF9C38}"/>
  <sortState xmlns:xlrd2="http://schemas.microsoft.com/office/spreadsheetml/2017/richdata2" ref="B20:J83">
    <sortCondition ref="I19:I83"/>
  </sortState>
  <tableColumns count="9">
    <tableColumn id="1" xr3:uid="{6CEB664F-CE60-4BB2-BC3E-C8F7B4185B57}" name="n" dataDxfId="61"/>
    <tableColumn id="3" xr3:uid="{0D0D0F68-68A3-4280-9EC5-FF99DF2DD43C}" name="UltraSonic" dataDxfId="60">
      <calculatedColumnFormula>LEFT(RIGHT(DEC2BIN($B20,3),3),1)</calculatedColumnFormula>
    </tableColumn>
    <tableColumn id="4" xr3:uid="{58F572F2-ED57-4566-ACF2-B6028EF25FA6}" name="LMS" dataDxfId="59">
      <calculatedColumnFormula>LEFT(RIGHT(DEC2BIN($B20,3),2),1)</calculatedColumnFormula>
    </tableColumn>
    <tableColumn id="5" xr3:uid="{FA6E7B0E-77A3-4DC3-A430-0D2299499440}" name="LS" dataDxfId="58">
      <calculatedColumnFormula>LEFT(RIGHT(DEC2BIN($B20,3),1),1)</calculatedColumnFormula>
    </tableColumn>
    <tableColumn id="6" xr3:uid="{563A6571-1D8F-459D-985B-B453EC02F4C3}" name="I1" dataDxfId="57">
      <calculatedColumnFormula>(($C20*$C$11)+($D20*$C$12)+($E20*$C$13))</calculatedColumnFormula>
    </tableColumn>
    <tableColumn id="7" xr3:uid="{1840FD52-458E-46E9-8733-CAA042696BAB}" name="I2" dataDxfId="56">
      <calculatedColumnFormula>(($C20*$D$11)+($D20*$D$12)+($E20*$D$13))</calculatedColumnFormula>
    </tableColumn>
    <tableColumn id="8" xr3:uid="{180747DA-23D5-4D6B-A2E2-E4554980748F}" name="I3" dataDxfId="55">
      <calculatedColumnFormula>(($C20*$E$11)+($D20*$E$12)+($E20*$E$13))</calculatedColumnFormula>
    </tableColumn>
    <tableColumn id="19" xr3:uid="{DDA7D17C-C0E6-4E00-84C5-8A30E72259AF}" name="I-Total" dataDxfId="54">
      <calculatedColumnFormula>ROUND(( SUM(Table323158910[[#This Row],[I1]:[I3]]))*1000000, 0)</calculatedColumnFormula>
    </tableColumn>
    <tableColumn id="36" xr3:uid="{593231EE-A277-47FB-BE45-213F5913B178}" name="Column6" dataDxfId="53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7DE3015-7DAE-4DE6-901C-ED018631AC6B}" name="Table1211" displayName="Table1211" ref="L19:U83" totalsRowShown="0" headerRowDxfId="52">
  <autoFilter ref="L19:U83" xr:uid="{B7DE3015-7DAE-4DE6-901C-ED018631AC6B}"/>
  <sortState xmlns:xlrd2="http://schemas.microsoft.com/office/spreadsheetml/2017/richdata2" ref="L20:T83">
    <sortCondition ref="S19:S83"/>
  </sortState>
  <tableColumns count="10">
    <tableColumn id="1" xr3:uid="{1A223759-DA85-43C5-A1C5-96F469CB21B8}" name="n" dataDxfId="51"/>
    <tableColumn id="2" xr3:uid="{AAB8450D-9C61-431E-84FE-F9FAA0F66E11}" name="MS2" dataDxfId="50">
      <calculatedColumnFormula>LEFT(RIGHT(DEC2BIN($L20,3),3),1)</calculatedColumnFormula>
    </tableColumn>
    <tableColumn id="3" xr3:uid="{106C7801-0642-4209-B6F9-7272D844C3F6}" name="RS" dataDxfId="49">
      <calculatedColumnFormula>LEFT(RIGHT(DEC2BIN($L20,3),2),1)</calculatedColumnFormula>
    </tableColumn>
    <tableColumn id="4" xr3:uid="{DFA071DD-EDE0-4ADE-8525-409BA59B2B0E}" name="RMS" dataDxfId="48">
      <calculatedColumnFormula>LEFT(RIGHT(DEC2BIN($L20,3),1),1)</calculatedColumnFormula>
    </tableColumn>
    <tableColumn id="5" xr3:uid="{5DA0E46C-D026-4323-BD5B-A817A020D8DF}" name="II1" dataDxfId="47">
      <calculatedColumnFormula>(($M20*$G$11)+($N20*$G$12)+($O20*$G$13))</calculatedColumnFormula>
    </tableColumn>
    <tableColumn id="6" xr3:uid="{E23C7A8F-4BC1-4D42-A538-E14D74289FF0}" name="II2" dataDxfId="46">
      <calculatedColumnFormula>(($M20*$H$11)+($N20*$H$12)+($O20*$H$13))</calculatedColumnFormula>
    </tableColumn>
    <tableColumn id="7" xr3:uid="{7FF67B09-D31B-4466-8FEA-9C64E0247B67}" name="II3" dataDxfId="45">
      <calculatedColumnFormula>(($M20*$I$11)+($N20*$I$12)+($O20*$I$13))</calculatedColumnFormula>
    </tableColumn>
    <tableColumn id="12" xr3:uid="{EF9AEB6D-24A3-40BE-83FF-0580266DBD50}" name="I-Total2" dataDxfId="44">
      <calculatedColumnFormula>ROUND((SUM(Table1211[[#This Row],[II1]:[II3]]))*1000000, 0)</calculatedColumnFormula>
    </tableColumn>
    <tableColumn id="13" xr3:uid="{F5DC0C98-9757-416E-8E2B-B65022FC90C0}" name="State2" dataDxfId="43"/>
    <tableColumn id="8" xr3:uid="{B2134832-1A60-426F-9548-74B69407B273}" name="State3" dataDxfId="42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05D4FE6-A0C4-4D46-8921-806DDA718C7D}" name="Table32315891012" displayName="Table32315891012" ref="B19:J83" totalsRowShown="0" headerRowDxfId="41">
  <autoFilter ref="B19:J83" xr:uid="{E05D4FE6-A0C4-4D46-8921-806DDA718C7D}"/>
  <sortState xmlns:xlrd2="http://schemas.microsoft.com/office/spreadsheetml/2017/richdata2" ref="B20:J83">
    <sortCondition ref="I19:I83"/>
  </sortState>
  <tableColumns count="9">
    <tableColumn id="1" xr3:uid="{E5E03A96-1293-4F20-8540-D5B47F3D40C4}" name="n" dataDxfId="40"/>
    <tableColumn id="3" xr3:uid="{394603B5-F802-4AA7-80E6-B1233C9CFF05}" name="UltraSonic" dataDxfId="39">
      <calculatedColumnFormula>LEFT(RIGHT(DEC2BIN($B20,3),3),1)</calculatedColumnFormula>
    </tableColumn>
    <tableColumn id="4" xr3:uid="{53AB519B-405E-4A77-9743-6BD8E5620F7F}" name="LMS" dataDxfId="38">
      <calculatedColumnFormula>LEFT(RIGHT(DEC2BIN($B20,3),2),1)</calculatedColumnFormula>
    </tableColumn>
    <tableColumn id="5" xr3:uid="{C8477DD6-D011-45FF-89F9-8C4E3745F4B8}" name="LS" dataDxfId="37">
      <calculatedColumnFormula>LEFT(RIGHT(DEC2BIN($B20,3),1),1)</calculatedColumnFormula>
    </tableColumn>
    <tableColumn id="6" xr3:uid="{CEA7EDB6-DDD3-4B07-B564-E476DAEE3F16}" name="I1" dataDxfId="36">
      <calculatedColumnFormula>(($C20*$C$11)+($D20*$C$12)+($E20*$C$13))</calculatedColumnFormula>
    </tableColumn>
    <tableColumn id="7" xr3:uid="{9A93A991-14AD-45C7-BD43-14FE169577F7}" name="I2" dataDxfId="35">
      <calculatedColumnFormula>(($C20*$D$11)+($D20*$D$12)+($E20*$D$13))</calculatedColumnFormula>
    </tableColumn>
    <tableColumn id="8" xr3:uid="{BBC2C88A-AE14-464C-9138-83AE034B7D7B}" name="I3" dataDxfId="34">
      <calculatedColumnFormula>(($C20*$E$11)+($D20*$E$12)+($E20*$E$13))</calculatedColumnFormula>
    </tableColumn>
    <tableColumn id="19" xr3:uid="{42EF050C-1CC5-4789-A6F2-9D855FF68078}" name="I-Total" dataDxfId="33">
      <calculatedColumnFormula>ROUND(( SUM(Table32315891012[[#This Row],[I1]:[I3]]))*1000000, 0)</calculatedColumnFormula>
    </tableColumn>
    <tableColumn id="36" xr3:uid="{852F8C58-9668-4DFB-A14A-9BFCDB5218C5}" name="Column6" dataDxfId="32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F430BE7-6030-4587-9F6E-87D6C97206C3}" name="Table121114" displayName="Table121114" ref="L19:U83" totalsRowShown="0" headerRowDxfId="31">
  <autoFilter ref="L19:U83" xr:uid="{3F430BE7-6030-4587-9F6E-87D6C97206C3}"/>
  <sortState xmlns:xlrd2="http://schemas.microsoft.com/office/spreadsheetml/2017/richdata2" ref="L20:T83">
    <sortCondition ref="S19:S83"/>
  </sortState>
  <tableColumns count="10">
    <tableColumn id="1" xr3:uid="{11D3D7C7-D242-45A0-9894-7D4553BDAE24}" name="n" dataDxfId="30"/>
    <tableColumn id="2" xr3:uid="{38DE4760-5531-4455-AA7E-64B6782AE270}" name="MS2" dataDxfId="29">
      <calculatedColumnFormula>LEFT(RIGHT(DEC2BIN($L20,3),3),1)</calculatedColumnFormula>
    </tableColumn>
    <tableColumn id="3" xr3:uid="{BA8600D3-B468-460B-B552-18E7E9601162}" name="RS" dataDxfId="28">
      <calculatedColumnFormula>LEFT(RIGHT(DEC2BIN($L20,3),2),1)</calculatedColumnFormula>
    </tableColumn>
    <tableColumn id="4" xr3:uid="{AA7632B6-1B20-488B-9C69-82D18E3A0E7D}" name="RMS" dataDxfId="27">
      <calculatedColumnFormula>LEFT(RIGHT(DEC2BIN($L20,3),1),1)</calculatedColumnFormula>
    </tableColumn>
    <tableColumn id="5" xr3:uid="{E9DAAC21-196E-403C-A64C-F429E932E1CC}" name="II1" dataDxfId="26">
      <calculatedColumnFormula>(($M20*$G$11)+($N20*$G$12)+($O20*$G$13))</calculatedColumnFormula>
    </tableColumn>
    <tableColumn id="6" xr3:uid="{50A7DC21-5BC8-4495-BCDE-224111A3D720}" name="II2" dataDxfId="25">
      <calculatedColumnFormula>(($M20*$H$11)+($N20*$H$12)+($O20*$H$13))</calculatedColumnFormula>
    </tableColumn>
    <tableColumn id="7" xr3:uid="{8B71B137-7A30-4F5F-9214-F6C32087CED5}" name="II3" dataDxfId="24">
      <calculatedColumnFormula>(($M20*$I$11)+($N20*$I$12)+($O20*$I$13))</calculatedColumnFormula>
    </tableColumn>
    <tableColumn id="12" xr3:uid="{3243DC6E-3DEF-4EAA-8DAB-B41DB8571394}" name="I-Total2" dataDxfId="23">
      <calculatedColumnFormula>ROUND((SUM(Table121114[[#This Row],[II1]:[II3]]))*1000000, 0)</calculatedColumnFormula>
    </tableColumn>
    <tableColumn id="13" xr3:uid="{47F3DEE6-92F0-4DCE-B543-AE72FCE76C5E}" name="State2" dataDxfId="22"/>
    <tableColumn id="8" xr3:uid="{091AF5D5-472E-4E5D-B302-E2442045376D}" name="State3" dataDxfId="2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@" TargetMode="External"/><Relationship Id="rId2" Type="http://schemas.openxmlformats.org/officeDocument/2006/relationships/hyperlink" Target="mailto:R@" TargetMode="External"/><Relationship Id="rId1" Type="http://schemas.openxmlformats.org/officeDocument/2006/relationships/hyperlink" Target="mailto:R@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R@" TargetMode="External"/><Relationship Id="rId2" Type="http://schemas.openxmlformats.org/officeDocument/2006/relationships/hyperlink" Target="mailto:R@" TargetMode="External"/><Relationship Id="rId1" Type="http://schemas.openxmlformats.org/officeDocument/2006/relationships/hyperlink" Target="mailto:R@" TargetMode="Externa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R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R@" TargetMode="External"/><Relationship Id="rId1" Type="http://schemas.openxmlformats.org/officeDocument/2006/relationships/hyperlink" Target="mailto:R@" TargetMode="Externa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@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R@" TargetMode="External"/><Relationship Id="rId13" Type="http://schemas.openxmlformats.org/officeDocument/2006/relationships/drawing" Target="../drawings/drawing4.xml"/><Relationship Id="rId3" Type="http://schemas.openxmlformats.org/officeDocument/2006/relationships/hyperlink" Target="mailto:R@" TargetMode="External"/><Relationship Id="rId7" Type="http://schemas.openxmlformats.org/officeDocument/2006/relationships/hyperlink" Target="mailto:R@" TargetMode="External"/><Relationship Id="rId12" Type="http://schemas.openxmlformats.org/officeDocument/2006/relationships/hyperlink" Target="mailto:R@" TargetMode="External"/><Relationship Id="rId2" Type="http://schemas.openxmlformats.org/officeDocument/2006/relationships/hyperlink" Target="mailto:R@" TargetMode="External"/><Relationship Id="rId1" Type="http://schemas.openxmlformats.org/officeDocument/2006/relationships/hyperlink" Target="mailto:R@" TargetMode="External"/><Relationship Id="rId6" Type="http://schemas.openxmlformats.org/officeDocument/2006/relationships/hyperlink" Target="mailto:R@" TargetMode="External"/><Relationship Id="rId11" Type="http://schemas.openxmlformats.org/officeDocument/2006/relationships/hyperlink" Target="mailto:R@" TargetMode="External"/><Relationship Id="rId5" Type="http://schemas.openxmlformats.org/officeDocument/2006/relationships/hyperlink" Target="mailto:R@" TargetMode="External"/><Relationship Id="rId10" Type="http://schemas.openxmlformats.org/officeDocument/2006/relationships/hyperlink" Target="mailto:R@" TargetMode="External"/><Relationship Id="rId4" Type="http://schemas.openxmlformats.org/officeDocument/2006/relationships/hyperlink" Target="mailto:R@" TargetMode="External"/><Relationship Id="rId9" Type="http://schemas.openxmlformats.org/officeDocument/2006/relationships/hyperlink" Target="mailto:R@" TargetMode="External"/><Relationship Id="rId14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R@" TargetMode="External"/><Relationship Id="rId13" Type="http://schemas.openxmlformats.org/officeDocument/2006/relationships/hyperlink" Target="mailto:R@" TargetMode="External"/><Relationship Id="rId3" Type="http://schemas.openxmlformats.org/officeDocument/2006/relationships/hyperlink" Target="mailto:R@" TargetMode="External"/><Relationship Id="rId7" Type="http://schemas.openxmlformats.org/officeDocument/2006/relationships/hyperlink" Target="mailto:R@" TargetMode="External"/><Relationship Id="rId12" Type="http://schemas.openxmlformats.org/officeDocument/2006/relationships/hyperlink" Target="mailto:R@" TargetMode="External"/><Relationship Id="rId2" Type="http://schemas.openxmlformats.org/officeDocument/2006/relationships/hyperlink" Target="mailto:R@" TargetMode="External"/><Relationship Id="rId16" Type="http://schemas.openxmlformats.org/officeDocument/2006/relationships/table" Target="../tables/table3.xml"/><Relationship Id="rId1" Type="http://schemas.openxmlformats.org/officeDocument/2006/relationships/hyperlink" Target="mailto:R@" TargetMode="External"/><Relationship Id="rId6" Type="http://schemas.openxmlformats.org/officeDocument/2006/relationships/hyperlink" Target="mailto:R@" TargetMode="External"/><Relationship Id="rId11" Type="http://schemas.openxmlformats.org/officeDocument/2006/relationships/hyperlink" Target="mailto:R@" TargetMode="External"/><Relationship Id="rId5" Type="http://schemas.openxmlformats.org/officeDocument/2006/relationships/hyperlink" Target="mailto:R@" TargetMode="External"/><Relationship Id="rId15" Type="http://schemas.openxmlformats.org/officeDocument/2006/relationships/drawing" Target="../drawings/drawing5.xml"/><Relationship Id="rId10" Type="http://schemas.openxmlformats.org/officeDocument/2006/relationships/hyperlink" Target="mailto:R@" TargetMode="External"/><Relationship Id="rId4" Type="http://schemas.openxmlformats.org/officeDocument/2006/relationships/hyperlink" Target="mailto:R@" TargetMode="External"/><Relationship Id="rId9" Type="http://schemas.openxmlformats.org/officeDocument/2006/relationships/hyperlink" Target="mailto:R@" TargetMode="External"/><Relationship Id="rId14" Type="http://schemas.openxmlformats.org/officeDocument/2006/relationships/hyperlink" Target="mailto:R@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R@" TargetMode="External"/><Relationship Id="rId18" Type="http://schemas.openxmlformats.org/officeDocument/2006/relationships/hyperlink" Target="mailto:R@" TargetMode="External"/><Relationship Id="rId26" Type="http://schemas.openxmlformats.org/officeDocument/2006/relationships/hyperlink" Target="mailto:R@" TargetMode="External"/><Relationship Id="rId39" Type="http://schemas.openxmlformats.org/officeDocument/2006/relationships/hyperlink" Target="mailto:R@" TargetMode="External"/><Relationship Id="rId21" Type="http://schemas.openxmlformats.org/officeDocument/2006/relationships/hyperlink" Target="mailto:R@" TargetMode="External"/><Relationship Id="rId34" Type="http://schemas.openxmlformats.org/officeDocument/2006/relationships/hyperlink" Target="mailto:R@" TargetMode="External"/><Relationship Id="rId42" Type="http://schemas.openxmlformats.org/officeDocument/2006/relationships/table" Target="../tables/table4.xml"/><Relationship Id="rId7" Type="http://schemas.openxmlformats.org/officeDocument/2006/relationships/hyperlink" Target="mailto:R@" TargetMode="External"/><Relationship Id="rId2" Type="http://schemas.openxmlformats.org/officeDocument/2006/relationships/hyperlink" Target="mailto:R@" TargetMode="External"/><Relationship Id="rId16" Type="http://schemas.openxmlformats.org/officeDocument/2006/relationships/hyperlink" Target="mailto:R@" TargetMode="External"/><Relationship Id="rId20" Type="http://schemas.openxmlformats.org/officeDocument/2006/relationships/hyperlink" Target="mailto:R@" TargetMode="External"/><Relationship Id="rId29" Type="http://schemas.openxmlformats.org/officeDocument/2006/relationships/hyperlink" Target="mailto:R@" TargetMode="External"/><Relationship Id="rId41" Type="http://schemas.openxmlformats.org/officeDocument/2006/relationships/drawing" Target="../drawings/drawing6.xml"/><Relationship Id="rId1" Type="http://schemas.openxmlformats.org/officeDocument/2006/relationships/hyperlink" Target="mailto:R@" TargetMode="External"/><Relationship Id="rId6" Type="http://schemas.openxmlformats.org/officeDocument/2006/relationships/hyperlink" Target="mailto:R@" TargetMode="External"/><Relationship Id="rId11" Type="http://schemas.openxmlformats.org/officeDocument/2006/relationships/hyperlink" Target="mailto:R@" TargetMode="External"/><Relationship Id="rId24" Type="http://schemas.openxmlformats.org/officeDocument/2006/relationships/hyperlink" Target="mailto:R@" TargetMode="External"/><Relationship Id="rId32" Type="http://schemas.openxmlformats.org/officeDocument/2006/relationships/hyperlink" Target="mailto:R@" TargetMode="External"/><Relationship Id="rId37" Type="http://schemas.openxmlformats.org/officeDocument/2006/relationships/hyperlink" Target="mailto:R@" TargetMode="External"/><Relationship Id="rId40" Type="http://schemas.openxmlformats.org/officeDocument/2006/relationships/hyperlink" Target="mailto:R@" TargetMode="External"/><Relationship Id="rId5" Type="http://schemas.openxmlformats.org/officeDocument/2006/relationships/hyperlink" Target="mailto:R@" TargetMode="External"/><Relationship Id="rId15" Type="http://schemas.openxmlformats.org/officeDocument/2006/relationships/hyperlink" Target="mailto:R@" TargetMode="External"/><Relationship Id="rId23" Type="http://schemas.openxmlformats.org/officeDocument/2006/relationships/hyperlink" Target="mailto:R@" TargetMode="External"/><Relationship Id="rId28" Type="http://schemas.openxmlformats.org/officeDocument/2006/relationships/hyperlink" Target="mailto:R@" TargetMode="External"/><Relationship Id="rId36" Type="http://schemas.openxmlformats.org/officeDocument/2006/relationships/hyperlink" Target="mailto:R@" TargetMode="External"/><Relationship Id="rId10" Type="http://schemas.openxmlformats.org/officeDocument/2006/relationships/hyperlink" Target="mailto:R@" TargetMode="External"/><Relationship Id="rId19" Type="http://schemas.openxmlformats.org/officeDocument/2006/relationships/hyperlink" Target="mailto:R@" TargetMode="External"/><Relationship Id="rId31" Type="http://schemas.openxmlformats.org/officeDocument/2006/relationships/hyperlink" Target="mailto:R@" TargetMode="External"/><Relationship Id="rId4" Type="http://schemas.openxmlformats.org/officeDocument/2006/relationships/hyperlink" Target="mailto:R@" TargetMode="External"/><Relationship Id="rId9" Type="http://schemas.openxmlformats.org/officeDocument/2006/relationships/hyperlink" Target="mailto:R@" TargetMode="External"/><Relationship Id="rId14" Type="http://schemas.openxmlformats.org/officeDocument/2006/relationships/hyperlink" Target="mailto:R@" TargetMode="External"/><Relationship Id="rId22" Type="http://schemas.openxmlformats.org/officeDocument/2006/relationships/hyperlink" Target="mailto:R@" TargetMode="External"/><Relationship Id="rId27" Type="http://schemas.openxmlformats.org/officeDocument/2006/relationships/hyperlink" Target="mailto:R@" TargetMode="External"/><Relationship Id="rId30" Type="http://schemas.openxmlformats.org/officeDocument/2006/relationships/hyperlink" Target="mailto:R@" TargetMode="External"/><Relationship Id="rId35" Type="http://schemas.openxmlformats.org/officeDocument/2006/relationships/hyperlink" Target="mailto:R@" TargetMode="External"/><Relationship Id="rId8" Type="http://schemas.openxmlformats.org/officeDocument/2006/relationships/hyperlink" Target="mailto:R@" TargetMode="External"/><Relationship Id="rId3" Type="http://schemas.openxmlformats.org/officeDocument/2006/relationships/hyperlink" Target="mailto:R@" TargetMode="External"/><Relationship Id="rId12" Type="http://schemas.openxmlformats.org/officeDocument/2006/relationships/hyperlink" Target="mailto:R@" TargetMode="External"/><Relationship Id="rId17" Type="http://schemas.openxmlformats.org/officeDocument/2006/relationships/hyperlink" Target="mailto:R@" TargetMode="External"/><Relationship Id="rId25" Type="http://schemas.openxmlformats.org/officeDocument/2006/relationships/hyperlink" Target="mailto:R@" TargetMode="External"/><Relationship Id="rId33" Type="http://schemas.openxmlformats.org/officeDocument/2006/relationships/hyperlink" Target="mailto:R@" TargetMode="External"/><Relationship Id="rId38" Type="http://schemas.openxmlformats.org/officeDocument/2006/relationships/hyperlink" Target="mailto:R@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mailto:R@" TargetMode="External"/><Relationship Id="rId21" Type="http://schemas.openxmlformats.org/officeDocument/2006/relationships/hyperlink" Target="mailto:R@" TargetMode="External"/><Relationship Id="rId42" Type="http://schemas.openxmlformats.org/officeDocument/2006/relationships/hyperlink" Target="mailto:R@" TargetMode="External"/><Relationship Id="rId47" Type="http://schemas.openxmlformats.org/officeDocument/2006/relationships/hyperlink" Target="mailto:R@" TargetMode="External"/><Relationship Id="rId63" Type="http://schemas.openxmlformats.org/officeDocument/2006/relationships/hyperlink" Target="mailto:R@" TargetMode="External"/><Relationship Id="rId68" Type="http://schemas.openxmlformats.org/officeDocument/2006/relationships/hyperlink" Target="mailto:R@" TargetMode="External"/><Relationship Id="rId2" Type="http://schemas.openxmlformats.org/officeDocument/2006/relationships/hyperlink" Target="mailto:R@" TargetMode="External"/><Relationship Id="rId16" Type="http://schemas.openxmlformats.org/officeDocument/2006/relationships/hyperlink" Target="mailto:R@" TargetMode="External"/><Relationship Id="rId29" Type="http://schemas.openxmlformats.org/officeDocument/2006/relationships/hyperlink" Target="mailto:R@" TargetMode="External"/><Relationship Id="rId11" Type="http://schemas.openxmlformats.org/officeDocument/2006/relationships/hyperlink" Target="mailto:R@" TargetMode="External"/><Relationship Id="rId24" Type="http://schemas.openxmlformats.org/officeDocument/2006/relationships/hyperlink" Target="mailto:R@" TargetMode="External"/><Relationship Id="rId32" Type="http://schemas.openxmlformats.org/officeDocument/2006/relationships/hyperlink" Target="mailto:R@" TargetMode="External"/><Relationship Id="rId37" Type="http://schemas.openxmlformats.org/officeDocument/2006/relationships/hyperlink" Target="mailto:R@" TargetMode="External"/><Relationship Id="rId40" Type="http://schemas.openxmlformats.org/officeDocument/2006/relationships/hyperlink" Target="mailto:R@" TargetMode="External"/><Relationship Id="rId45" Type="http://schemas.openxmlformats.org/officeDocument/2006/relationships/hyperlink" Target="mailto:R@" TargetMode="External"/><Relationship Id="rId53" Type="http://schemas.openxmlformats.org/officeDocument/2006/relationships/hyperlink" Target="mailto:R@" TargetMode="External"/><Relationship Id="rId58" Type="http://schemas.openxmlformats.org/officeDocument/2006/relationships/hyperlink" Target="mailto:R@" TargetMode="External"/><Relationship Id="rId66" Type="http://schemas.openxmlformats.org/officeDocument/2006/relationships/hyperlink" Target="mailto:R@" TargetMode="External"/><Relationship Id="rId5" Type="http://schemas.openxmlformats.org/officeDocument/2006/relationships/hyperlink" Target="mailto:R@" TargetMode="External"/><Relationship Id="rId61" Type="http://schemas.openxmlformats.org/officeDocument/2006/relationships/hyperlink" Target="mailto:R@" TargetMode="External"/><Relationship Id="rId19" Type="http://schemas.openxmlformats.org/officeDocument/2006/relationships/hyperlink" Target="mailto:R@" TargetMode="External"/><Relationship Id="rId14" Type="http://schemas.openxmlformats.org/officeDocument/2006/relationships/hyperlink" Target="mailto:R@" TargetMode="External"/><Relationship Id="rId22" Type="http://schemas.openxmlformats.org/officeDocument/2006/relationships/hyperlink" Target="mailto:R@" TargetMode="External"/><Relationship Id="rId27" Type="http://schemas.openxmlformats.org/officeDocument/2006/relationships/hyperlink" Target="mailto:R@" TargetMode="External"/><Relationship Id="rId30" Type="http://schemas.openxmlformats.org/officeDocument/2006/relationships/hyperlink" Target="mailto:R@" TargetMode="External"/><Relationship Id="rId35" Type="http://schemas.openxmlformats.org/officeDocument/2006/relationships/hyperlink" Target="mailto:R@" TargetMode="External"/><Relationship Id="rId43" Type="http://schemas.openxmlformats.org/officeDocument/2006/relationships/hyperlink" Target="mailto:R@" TargetMode="External"/><Relationship Id="rId48" Type="http://schemas.openxmlformats.org/officeDocument/2006/relationships/hyperlink" Target="mailto:R@" TargetMode="External"/><Relationship Id="rId56" Type="http://schemas.openxmlformats.org/officeDocument/2006/relationships/hyperlink" Target="mailto:R@" TargetMode="External"/><Relationship Id="rId64" Type="http://schemas.openxmlformats.org/officeDocument/2006/relationships/hyperlink" Target="mailto:R@" TargetMode="External"/><Relationship Id="rId69" Type="http://schemas.openxmlformats.org/officeDocument/2006/relationships/hyperlink" Target="mailto:R@" TargetMode="External"/><Relationship Id="rId8" Type="http://schemas.openxmlformats.org/officeDocument/2006/relationships/hyperlink" Target="mailto:R@" TargetMode="External"/><Relationship Id="rId51" Type="http://schemas.openxmlformats.org/officeDocument/2006/relationships/hyperlink" Target="mailto:R@" TargetMode="External"/><Relationship Id="rId72" Type="http://schemas.openxmlformats.org/officeDocument/2006/relationships/drawing" Target="../drawings/drawing7.xml"/><Relationship Id="rId3" Type="http://schemas.openxmlformats.org/officeDocument/2006/relationships/hyperlink" Target="mailto:R@" TargetMode="External"/><Relationship Id="rId12" Type="http://schemas.openxmlformats.org/officeDocument/2006/relationships/hyperlink" Target="mailto:R@" TargetMode="External"/><Relationship Id="rId17" Type="http://schemas.openxmlformats.org/officeDocument/2006/relationships/hyperlink" Target="mailto:R@" TargetMode="External"/><Relationship Id="rId25" Type="http://schemas.openxmlformats.org/officeDocument/2006/relationships/hyperlink" Target="mailto:R@" TargetMode="External"/><Relationship Id="rId33" Type="http://schemas.openxmlformats.org/officeDocument/2006/relationships/hyperlink" Target="mailto:R@" TargetMode="External"/><Relationship Id="rId38" Type="http://schemas.openxmlformats.org/officeDocument/2006/relationships/hyperlink" Target="mailto:R@" TargetMode="External"/><Relationship Id="rId46" Type="http://schemas.openxmlformats.org/officeDocument/2006/relationships/hyperlink" Target="mailto:R@" TargetMode="External"/><Relationship Id="rId59" Type="http://schemas.openxmlformats.org/officeDocument/2006/relationships/hyperlink" Target="mailto:R@" TargetMode="External"/><Relationship Id="rId67" Type="http://schemas.openxmlformats.org/officeDocument/2006/relationships/hyperlink" Target="mailto:R@" TargetMode="External"/><Relationship Id="rId20" Type="http://schemas.openxmlformats.org/officeDocument/2006/relationships/hyperlink" Target="mailto:R@" TargetMode="External"/><Relationship Id="rId41" Type="http://schemas.openxmlformats.org/officeDocument/2006/relationships/hyperlink" Target="mailto:R@" TargetMode="External"/><Relationship Id="rId54" Type="http://schemas.openxmlformats.org/officeDocument/2006/relationships/hyperlink" Target="mailto:R@" TargetMode="External"/><Relationship Id="rId62" Type="http://schemas.openxmlformats.org/officeDocument/2006/relationships/hyperlink" Target="mailto:R@" TargetMode="External"/><Relationship Id="rId70" Type="http://schemas.openxmlformats.org/officeDocument/2006/relationships/hyperlink" Target="mailto:R@" TargetMode="External"/><Relationship Id="rId1" Type="http://schemas.openxmlformats.org/officeDocument/2006/relationships/hyperlink" Target="mailto:R@" TargetMode="External"/><Relationship Id="rId6" Type="http://schemas.openxmlformats.org/officeDocument/2006/relationships/hyperlink" Target="mailto:R@" TargetMode="External"/><Relationship Id="rId15" Type="http://schemas.openxmlformats.org/officeDocument/2006/relationships/hyperlink" Target="mailto:R@" TargetMode="External"/><Relationship Id="rId23" Type="http://schemas.openxmlformats.org/officeDocument/2006/relationships/hyperlink" Target="mailto:R@" TargetMode="External"/><Relationship Id="rId28" Type="http://schemas.openxmlformats.org/officeDocument/2006/relationships/hyperlink" Target="mailto:R@" TargetMode="External"/><Relationship Id="rId36" Type="http://schemas.openxmlformats.org/officeDocument/2006/relationships/hyperlink" Target="mailto:R@" TargetMode="External"/><Relationship Id="rId49" Type="http://schemas.openxmlformats.org/officeDocument/2006/relationships/hyperlink" Target="mailto:R@" TargetMode="External"/><Relationship Id="rId57" Type="http://schemas.openxmlformats.org/officeDocument/2006/relationships/hyperlink" Target="mailto:R@" TargetMode="External"/><Relationship Id="rId10" Type="http://schemas.openxmlformats.org/officeDocument/2006/relationships/hyperlink" Target="mailto:R@" TargetMode="External"/><Relationship Id="rId31" Type="http://schemas.openxmlformats.org/officeDocument/2006/relationships/hyperlink" Target="mailto:R@" TargetMode="External"/><Relationship Id="rId44" Type="http://schemas.openxmlformats.org/officeDocument/2006/relationships/hyperlink" Target="mailto:R@" TargetMode="External"/><Relationship Id="rId52" Type="http://schemas.openxmlformats.org/officeDocument/2006/relationships/hyperlink" Target="mailto:R@" TargetMode="External"/><Relationship Id="rId60" Type="http://schemas.openxmlformats.org/officeDocument/2006/relationships/hyperlink" Target="mailto:R@" TargetMode="External"/><Relationship Id="rId65" Type="http://schemas.openxmlformats.org/officeDocument/2006/relationships/hyperlink" Target="mailto:R@" TargetMode="External"/><Relationship Id="rId73" Type="http://schemas.openxmlformats.org/officeDocument/2006/relationships/table" Target="../tables/table5.xml"/><Relationship Id="rId4" Type="http://schemas.openxmlformats.org/officeDocument/2006/relationships/hyperlink" Target="mailto:R@" TargetMode="External"/><Relationship Id="rId9" Type="http://schemas.openxmlformats.org/officeDocument/2006/relationships/hyperlink" Target="mailto:R@" TargetMode="External"/><Relationship Id="rId13" Type="http://schemas.openxmlformats.org/officeDocument/2006/relationships/hyperlink" Target="mailto:R@" TargetMode="External"/><Relationship Id="rId18" Type="http://schemas.openxmlformats.org/officeDocument/2006/relationships/hyperlink" Target="mailto:R@" TargetMode="External"/><Relationship Id="rId39" Type="http://schemas.openxmlformats.org/officeDocument/2006/relationships/hyperlink" Target="mailto:R@" TargetMode="External"/><Relationship Id="rId34" Type="http://schemas.openxmlformats.org/officeDocument/2006/relationships/hyperlink" Target="mailto:R@" TargetMode="External"/><Relationship Id="rId50" Type="http://schemas.openxmlformats.org/officeDocument/2006/relationships/hyperlink" Target="mailto:R@" TargetMode="External"/><Relationship Id="rId55" Type="http://schemas.openxmlformats.org/officeDocument/2006/relationships/hyperlink" Target="mailto:R@" TargetMode="External"/><Relationship Id="rId7" Type="http://schemas.openxmlformats.org/officeDocument/2006/relationships/hyperlink" Target="mailto:R@" TargetMode="External"/><Relationship Id="rId71" Type="http://schemas.openxmlformats.org/officeDocument/2006/relationships/hyperlink" Target="mailto:R@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hyperlink" Target="mailto:R@" TargetMode="External"/><Relationship Id="rId1" Type="http://schemas.openxmlformats.org/officeDocument/2006/relationships/hyperlink" Target="mailto:R@" TargetMode="External"/><Relationship Id="rId4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R@" TargetMode="External"/><Relationship Id="rId2" Type="http://schemas.openxmlformats.org/officeDocument/2006/relationships/hyperlink" Target="mailto:R@" TargetMode="External"/><Relationship Id="rId1" Type="http://schemas.openxmlformats.org/officeDocument/2006/relationships/hyperlink" Target="mailto:R@" TargetMode="External"/><Relationship Id="rId6" Type="http://schemas.openxmlformats.org/officeDocument/2006/relationships/table" Target="../tables/table7.xml"/><Relationship Id="rId5" Type="http://schemas.openxmlformats.org/officeDocument/2006/relationships/drawing" Target="../drawings/drawing9.xml"/><Relationship Id="rId4" Type="http://schemas.openxmlformats.org/officeDocument/2006/relationships/hyperlink" Target="mailto:R@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mailto:R@" TargetMode="External"/><Relationship Id="rId21" Type="http://schemas.openxmlformats.org/officeDocument/2006/relationships/hyperlink" Target="mailto:R@" TargetMode="External"/><Relationship Id="rId42" Type="http://schemas.openxmlformats.org/officeDocument/2006/relationships/hyperlink" Target="mailto:R@" TargetMode="External"/><Relationship Id="rId47" Type="http://schemas.openxmlformats.org/officeDocument/2006/relationships/hyperlink" Target="mailto:R@" TargetMode="External"/><Relationship Id="rId63" Type="http://schemas.openxmlformats.org/officeDocument/2006/relationships/hyperlink" Target="mailto:R@" TargetMode="External"/><Relationship Id="rId68" Type="http://schemas.openxmlformats.org/officeDocument/2006/relationships/hyperlink" Target="mailto:R@" TargetMode="External"/><Relationship Id="rId2" Type="http://schemas.openxmlformats.org/officeDocument/2006/relationships/hyperlink" Target="mailto:R@" TargetMode="External"/><Relationship Id="rId16" Type="http://schemas.openxmlformats.org/officeDocument/2006/relationships/hyperlink" Target="mailto:R@" TargetMode="External"/><Relationship Id="rId29" Type="http://schemas.openxmlformats.org/officeDocument/2006/relationships/hyperlink" Target="mailto:R@" TargetMode="External"/><Relationship Id="rId11" Type="http://schemas.openxmlformats.org/officeDocument/2006/relationships/hyperlink" Target="mailto:R@" TargetMode="External"/><Relationship Id="rId24" Type="http://schemas.openxmlformats.org/officeDocument/2006/relationships/hyperlink" Target="mailto:R@" TargetMode="External"/><Relationship Id="rId32" Type="http://schemas.openxmlformats.org/officeDocument/2006/relationships/hyperlink" Target="mailto:R@" TargetMode="External"/><Relationship Id="rId37" Type="http://schemas.openxmlformats.org/officeDocument/2006/relationships/hyperlink" Target="mailto:R@" TargetMode="External"/><Relationship Id="rId40" Type="http://schemas.openxmlformats.org/officeDocument/2006/relationships/hyperlink" Target="mailto:R@" TargetMode="External"/><Relationship Id="rId45" Type="http://schemas.openxmlformats.org/officeDocument/2006/relationships/hyperlink" Target="mailto:R@" TargetMode="External"/><Relationship Id="rId53" Type="http://schemas.openxmlformats.org/officeDocument/2006/relationships/hyperlink" Target="mailto:R@" TargetMode="External"/><Relationship Id="rId58" Type="http://schemas.openxmlformats.org/officeDocument/2006/relationships/hyperlink" Target="mailto:R@" TargetMode="External"/><Relationship Id="rId66" Type="http://schemas.openxmlformats.org/officeDocument/2006/relationships/hyperlink" Target="mailto:R@" TargetMode="External"/><Relationship Id="rId5" Type="http://schemas.openxmlformats.org/officeDocument/2006/relationships/hyperlink" Target="mailto:R@" TargetMode="External"/><Relationship Id="rId61" Type="http://schemas.openxmlformats.org/officeDocument/2006/relationships/hyperlink" Target="mailto:R@" TargetMode="External"/><Relationship Id="rId19" Type="http://schemas.openxmlformats.org/officeDocument/2006/relationships/hyperlink" Target="mailto:R@" TargetMode="External"/><Relationship Id="rId14" Type="http://schemas.openxmlformats.org/officeDocument/2006/relationships/hyperlink" Target="mailto:R@" TargetMode="External"/><Relationship Id="rId22" Type="http://schemas.openxmlformats.org/officeDocument/2006/relationships/hyperlink" Target="mailto:R@" TargetMode="External"/><Relationship Id="rId27" Type="http://schemas.openxmlformats.org/officeDocument/2006/relationships/hyperlink" Target="mailto:R@" TargetMode="External"/><Relationship Id="rId30" Type="http://schemas.openxmlformats.org/officeDocument/2006/relationships/hyperlink" Target="mailto:R@" TargetMode="External"/><Relationship Id="rId35" Type="http://schemas.openxmlformats.org/officeDocument/2006/relationships/hyperlink" Target="mailto:R@" TargetMode="External"/><Relationship Id="rId43" Type="http://schemas.openxmlformats.org/officeDocument/2006/relationships/hyperlink" Target="mailto:R@" TargetMode="External"/><Relationship Id="rId48" Type="http://schemas.openxmlformats.org/officeDocument/2006/relationships/hyperlink" Target="mailto:R@" TargetMode="External"/><Relationship Id="rId56" Type="http://schemas.openxmlformats.org/officeDocument/2006/relationships/hyperlink" Target="mailto:R@" TargetMode="External"/><Relationship Id="rId64" Type="http://schemas.openxmlformats.org/officeDocument/2006/relationships/hyperlink" Target="mailto:R@" TargetMode="External"/><Relationship Id="rId69" Type="http://schemas.openxmlformats.org/officeDocument/2006/relationships/hyperlink" Target="mailto:R@" TargetMode="External"/><Relationship Id="rId8" Type="http://schemas.openxmlformats.org/officeDocument/2006/relationships/hyperlink" Target="mailto:R@" TargetMode="External"/><Relationship Id="rId51" Type="http://schemas.openxmlformats.org/officeDocument/2006/relationships/hyperlink" Target="mailto:R@" TargetMode="External"/><Relationship Id="rId72" Type="http://schemas.openxmlformats.org/officeDocument/2006/relationships/drawing" Target="../drawings/drawing10.xml"/><Relationship Id="rId3" Type="http://schemas.openxmlformats.org/officeDocument/2006/relationships/hyperlink" Target="mailto:R@" TargetMode="External"/><Relationship Id="rId12" Type="http://schemas.openxmlformats.org/officeDocument/2006/relationships/hyperlink" Target="mailto:R@" TargetMode="External"/><Relationship Id="rId17" Type="http://schemas.openxmlformats.org/officeDocument/2006/relationships/hyperlink" Target="mailto:R@" TargetMode="External"/><Relationship Id="rId25" Type="http://schemas.openxmlformats.org/officeDocument/2006/relationships/hyperlink" Target="mailto:R@" TargetMode="External"/><Relationship Id="rId33" Type="http://schemas.openxmlformats.org/officeDocument/2006/relationships/hyperlink" Target="mailto:R@" TargetMode="External"/><Relationship Id="rId38" Type="http://schemas.openxmlformats.org/officeDocument/2006/relationships/hyperlink" Target="mailto:R@" TargetMode="External"/><Relationship Id="rId46" Type="http://schemas.openxmlformats.org/officeDocument/2006/relationships/hyperlink" Target="mailto:R@" TargetMode="External"/><Relationship Id="rId59" Type="http://schemas.openxmlformats.org/officeDocument/2006/relationships/hyperlink" Target="mailto:R@" TargetMode="External"/><Relationship Id="rId67" Type="http://schemas.openxmlformats.org/officeDocument/2006/relationships/hyperlink" Target="mailto:R@" TargetMode="External"/><Relationship Id="rId20" Type="http://schemas.openxmlformats.org/officeDocument/2006/relationships/hyperlink" Target="mailto:R@" TargetMode="External"/><Relationship Id="rId41" Type="http://schemas.openxmlformats.org/officeDocument/2006/relationships/hyperlink" Target="mailto:R@" TargetMode="External"/><Relationship Id="rId54" Type="http://schemas.openxmlformats.org/officeDocument/2006/relationships/hyperlink" Target="mailto:R@" TargetMode="External"/><Relationship Id="rId62" Type="http://schemas.openxmlformats.org/officeDocument/2006/relationships/hyperlink" Target="mailto:R@" TargetMode="External"/><Relationship Id="rId70" Type="http://schemas.openxmlformats.org/officeDocument/2006/relationships/hyperlink" Target="mailto:R@" TargetMode="External"/><Relationship Id="rId1" Type="http://schemas.openxmlformats.org/officeDocument/2006/relationships/hyperlink" Target="mailto:R@" TargetMode="External"/><Relationship Id="rId6" Type="http://schemas.openxmlformats.org/officeDocument/2006/relationships/hyperlink" Target="mailto:R@" TargetMode="External"/><Relationship Id="rId15" Type="http://schemas.openxmlformats.org/officeDocument/2006/relationships/hyperlink" Target="mailto:R@" TargetMode="External"/><Relationship Id="rId23" Type="http://schemas.openxmlformats.org/officeDocument/2006/relationships/hyperlink" Target="mailto:R@" TargetMode="External"/><Relationship Id="rId28" Type="http://schemas.openxmlformats.org/officeDocument/2006/relationships/hyperlink" Target="mailto:R@" TargetMode="External"/><Relationship Id="rId36" Type="http://schemas.openxmlformats.org/officeDocument/2006/relationships/hyperlink" Target="mailto:R@" TargetMode="External"/><Relationship Id="rId49" Type="http://schemas.openxmlformats.org/officeDocument/2006/relationships/hyperlink" Target="mailto:R@" TargetMode="External"/><Relationship Id="rId57" Type="http://schemas.openxmlformats.org/officeDocument/2006/relationships/hyperlink" Target="mailto:R@" TargetMode="External"/><Relationship Id="rId10" Type="http://schemas.openxmlformats.org/officeDocument/2006/relationships/hyperlink" Target="mailto:R@" TargetMode="External"/><Relationship Id="rId31" Type="http://schemas.openxmlformats.org/officeDocument/2006/relationships/hyperlink" Target="mailto:R@" TargetMode="External"/><Relationship Id="rId44" Type="http://schemas.openxmlformats.org/officeDocument/2006/relationships/hyperlink" Target="mailto:R@" TargetMode="External"/><Relationship Id="rId52" Type="http://schemas.openxmlformats.org/officeDocument/2006/relationships/hyperlink" Target="mailto:R@" TargetMode="External"/><Relationship Id="rId60" Type="http://schemas.openxmlformats.org/officeDocument/2006/relationships/hyperlink" Target="mailto:R@" TargetMode="External"/><Relationship Id="rId65" Type="http://schemas.openxmlformats.org/officeDocument/2006/relationships/hyperlink" Target="mailto:R@" TargetMode="External"/><Relationship Id="rId73" Type="http://schemas.openxmlformats.org/officeDocument/2006/relationships/table" Target="../tables/table8.xml"/><Relationship Id="rId4" Type="http://schemas.openxmlformats.org/officeDocument/2006/relationships/hyperlink" Target="mailto:R@" TargetMode="External"/><Relationship Id="rId9" Type="http://schemas.openxmlformats.org/officeDocument/2006/relationships/hyperlink" Target="mailto:R@" TargetMode="External"/><Relationship Id="rId13" Type="http://schemas.openxmlformats.org/officeDocument/2006/relationships/hyperlink" Target="mailto:R@" TargetMode="External"/><Relationship Id="rId18" Type="http://schemas.openxmlformats.org/officeDocument/2006/relationships/hyperlink" Target="mailto:R@" TargetMode="External"/><Relationship Id="rId39" Type="http://schemas.openxmlformats.org/officeDocument/2006/relationships/hyperlink" Target="mailto:R@" TargetMode="External"/><Relationship Id="rId34" Type="http://schemas.openxmlformats.org/officeDocument/2006/relationships/hyperlink" Target="mailto:R@" TargetMode="External"/><Relationship Id="rId50" Type="http://schemas.openxmlformats.org/officeDocument/2006/relationships/hyperlink" Target="mailto:R@" TargetMode="External"/><Relationship Id="rId55" Type="http://schemas.openxmlformats.org/officeDocument/2006/relationships/hyperlink" Target="mailto:R@" TargetMode="External"/><Relationship Id="rId7" Type="http://schemas.openxmlformats.org/officeDocument/2006/relationships/hyperlink" Target="mailto:R@" TargetMode="External"/><Relationship Id="rId71" Type="http://schemas.openxmlformats.org/officeDocument/2006/relationships/hyperlink" Target="mailto:R@" TargetMode="Externa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mailto:R@" TargetMode="External"/><Relationship Id="rId21" Type="http://schemas.openxmlformats.org/officeDocument/2006/relationships/hyperlink" Target="mailto:R@" TargetMode="External"/><Relationship Id="rId42" Type="http://schemas.openxmlformats.org/officeDocument/2006/relationships/hyperlink" Target="mailto:R@" TargetMode="External"/><Relationship Id="rId47" Type="http://schemas.openxmlformats.org/officeDocument/2006/relationships/hyperlink" Target="mailto:R@" TargetMode="External"/><Relationship Id="rId63" Type="http://schemas.openxmlformats.org/officeDocument/2006/relationships/hyperlink" Target="mailto:R@" TargetMode="External"/><Relationship Id="rId68" Type="http://schemas.openxmlformats.org/officeDocument/2006/relationships/drawing" Target="../drawings/drawing11.xml"/><Relationship Id="rId7" Type="http://schemas.openxmlformats.org/officeDocument/2006/relationships/hyperlink" Target="mailto:R@" TargetMode="External"/><Relationship Id="rId2" Type="http://schemas.openxmlformats.org/officeDocument/2006/relationships/hyperlink" Target="mailto:R@" TargetMode="External"/><Relationship Id="rId16" Type="http://schemas.openxmlformats.org/officeDocument/2006/relationships/hyperlink" Target="mailto:R@" TargetMode="External"/><Relationship Id="rId29" Type="http://schemas.openxmlformats.org/officeDocument/2006/relationships/hyperlink" Target="mailto:R@" TargetMode="External"/><Relationship Id="rId11" Type="http://schemas.openxmlformats.org/officeDocument/2006/relationships/hyperlink" Target="mailto:R@" TargetMode="External"/><Relationship Id="rId24" Type="http://schemas.openxmlformats.org/officeDocument/2006/relationships/hyperlink" Target="mailto:R@" TargetMode="External"/><Relationship Id="rId32" Type="http://schemas.openxmlformats.org/officeDocument/2006/relationships/hyperlink" Target="mailto:R@" TargetMode="External"/><Relationship Id="rId37" Type="http://schemas.openxmlformats.org/officeDocument/2006/relationships/hyperlink" Target="mailto:R@" TargetMode="External"/><Relationship Id="rId40" Type="http://schemas.openxmlformats.org/officeDocument/2006/relationships/hyperlink" Target="mailto:R@" TargetMode="External"/><Relationship Id="rId45" Type="http://schemas.openxmlformats.org/officeDocument/2006/relationships/hyperlink" Target="mailto:R@" TargetMode="External"/><Relationship Id="rId53" Type="http://schemas.openxmlformats.org/officeDocument/2006/relationships/hyperlink" Target="mailto:R@" TargetMode="External"/><Relationship Id="rId58" Type="http://schemas.openxmlformats.org/officeDocument/2006/relationships/hyperlink" Target="mailto:R@" TargetMode="External"/><Relationship Id="rId66" Type="http://schemas.openxmlformats.org/officeDocument/2006/relationships/hyperlink" Target="mailto:R@" TargetMode="External"/><Relationship Id="rId5" Type="http://schemas.openxmlformats.org/officeDocument/2006/relationships/hyperlink" Target="mailto:R@" TargetMode="External"/><Relationship Id="rId61" Type="http://schemas.openxmlformats.org/officeDocument/2006/relationships/hyperlink" Target="mailto:R@" TargetMode="External"/><Relationship Id="rId19" Type="http://schemas.openxmlformats.org/officeDocument/2006/relationships/hyperlink" Target="mailto:R@" TargetMode="External"/><Relationship Id="rId14" Type="http://schemas.openxmlformats.org/officeDocument/2006/relationships/hyperlink" Target="mailto:R@" TargetMode="External"/><Relationship Id="rId22" Type="http://schemas.openxmlformats.org/officeDocument/2006/relationships/hyperlink" Target="mailto:R@" TargetMode="External"/><Relationship Id="rId27" Type="http://schemas.openxmlformats.org/officeDocument/2006/relationships/hyperlink" Target="mailto:R@" TargetMode="External"/><Relationship Id="rId30" Type="http://schemas.openxmlformats.org/officeDocument/2006/relationships/hyperlink" Target="mailto:R@" TargetMode="External"/><Relationship Id="rId35" Type="http://schemas.openxmlformats.org/officeDocument/2006/relationships/hyperlink" Target="mailto:R@" TargetMode="External"/><Relationship Id="rId43" Type="http://schemas.openxmlformats.org/officeDocument/2006/relationships/hyperlink" Target="mailto:R@" TargetMode="External"/><Relationship Id="rId48" Type="http://schemas.openxmlformats.org/officeDocument/2006/relationships/hyperlink" Target="mailto:R@" TargetMode="External"/><Relationship Id="rId56" Type="http://schemas.openxmlformats.org/officeDocument/2006/relationships/hyperlink" Target="mailto:R@" TargetMode="External"/><Relationship Id="rId64" Type="http://schemas.openxmlformats.org/officeDocument/2006/relationships/hyperlink" Target="mailto:R@" TargetMode="External"/><Relationship Id="rId69" Type="http://schemas.openxmlformats.org/officeDocument/2006/relationships/table" Target="../tables/table9.xml"/><Relationship Id="rId8" Type="http://schemas.openxmlformats.org/officeDocument/2006/relationships/hyperlink" Target="mailto:R@" TargetMode="External"/><Relationship Id="rId51" Type="http://schemas.openxmlformats.org/officeDocument/2006/relationships/hyperlink" Target="mailto:R@" TargetMode="External"/><Relationship Id="rId3" Type="http://schemas.openxmlformats.org/officeDocument/2006/relationships/hyperlink" Target="mailto:R@" TargetMode="External"/><Relationship Id="rId12" Type="http://schemas.openxmlformats.org/officeDocument/2006/relationships/hyperlink" Target="mailto:R@" TargetMode="External"/><Relationship Id="rId17" Type="http://schemas.openxmlformats.org/officeDocument/2006/relationships/hyperlink" Target="mailto:R@" TargetMode="External"/><Relationship Id="rId25" Type="http://schemas.openxmlformats.org/officeDocument/2006/relationships/hyperlink" Target="mailto:R@" TargetMode="External"/><Relationship Id="rId33" Type="http://schemas.openxmlformats.org/officeDocument/2006/relationships/hyperlink" Target="mailto:R@" TargetMode="External"/><Relationship Id="rId38" Type="http://schemas.openxmlformats.org/officeDocument/2006/relationships/hyperlink" Target="mailto:R@" TargetMode="External"/><Relationship Id="rId46" Type="http://schemas.openxmlformats.org/officeDocument/2006/relationships/hyperlink" Target="mailto:R@" TargetMode="External"/><Relationship Id="rId59" Type="http://schemas.openxmlformats.org/officeDocument/2006/relationships/hyperlink" Target="mailto:R@" TargetMode="External"/><Relationship Id="rId67" Type="http://schemas.openxmlformats.org/officeDocument/2006/relationships/hyperlink" Target="mailto:R@" TargetMode="External"/><Relationship Id="rId20" Type="http://schemas.openxmlformats.org/officeDocument/2006/relationships/hyperlink" Target="mailto:R@" TargetMode="External"/><Relationship Id="rId41" Type="http://schemas.openxmlformats.org/officeDocument/2006/relationships/hyperlink" Target="mailto:R@" TargetMode="External"/><Relationship Id="rId54" Type="http://schemas.openxmlformats.org/officeDocument/2006/relationships/hyperlink" Target="mailto:R@" TargetMode="External"/><Relationship Id="rId62" Type="http://schemas.openxmlformats.org/officeDocument/2006/relationships/hyperlink" Target="mailto:R@" TargetMode="External"/><Relationship Id="rId70" Type="http://schemas.openxmlformats.org/officeDocument/2006/relationships/table" Target="../tables/table10.xml"/><Relationship Id="rId1" Type="http://schemas.openxmlformats.org/officeDocument/2006/relationships/hyperlink" Target="mailto:R@" TargetMode="External"/><Relationship Id="rId6" Type="http://schemas.openxmlformats.org/officeDocument/2006/relationships/hyperlink" Target="mailto:R@" TargetMode="External"/><Relationship Id="rId15" Type="http://schemas.openxmlformats.org/officeDocument/2006/relationships/hyperlink" Target="mailto:R@" TargetMode="External"/><Relationship Id="rId23" Type="http://schemas.openxmlformats.org/officeDocument/2006/relationships/hyperlink" Target="mailto:R@" TargetMode="External"/><Relationship Id="rId28" Type="http://schemas.openxmlformats.org/officeDocument/2006/relationships/hyperlink" Target="mailto:R@" TargetMode="External"/><Relationship Id="rId36" Type="http://schemas.openxmlformats.org/officeDocument/2006/relationships/hyperlink" Target="mailto:R@" TargetMode="External"/><Relationship Id="rId49" Type="http://schemas.openxmlformats.org/officeDocument/2006/relationships/hyperlink" Target="mailto:R@" TargetMode="External"/><Relationship Id="rId57" Type="http://schemas.openxmlformats.org/officeDocument/2006/relationships/hyperlink" Target="mailto:R@" TargetMode="External"/><Relationship Id="rId10" Type="http://schemas.openxmlformats.org/officeDocument/2006/relationships/hyperlink" Target="mailto:R@" TargetMode="External"/><Relationship Id="rId31" Type="http://schemas.openxmlformats.org/officeDocument/2006/relationships/hyperlink" Target="mailto:R@" TargetMode="External"/><Relationship Id="rId44" Type="http://schemas.openxmlformats.org/officeDocument/2006/relationships/hyperlink" Target="mailto:R@" TargetMode="External"/><Relationship Id="rId52" Type="http://schemas.openxmlformats.org/officeDocument/2006/relationships/hyperlink" Target="mailto:R@" TargetMode="External"/><Relationship Id="rId60" Type="http://schemas.openxmlformats.org/officeDocument/2006/relationships/hyperlink" Target="mailto:R@" TargetMode="External"/><Relationship Id="rId65" Type="http://schemas.openxmlformats.org/officeDocument/2006/relationships/hyperlink" Target="mailto:R@" TargetMode="External"/><Relationship Id="rId4" Type="http://schemas.openxmlformats.org/officeDocument/2006/relationships/hyperlink" Target="mailto:R@" TargetMode="External"/><Relationship Id="rId9" Type="http://schemas.openxmlformats.org/officeDocument/2006/relationships/hyperlink" Target="mailto:R@" TargetMode="External"/><Relationship Id="rId13" Type="http://schemas.openxmlformats.org/officeDocument/2006/relationships/hyperlink" Target="mailto:R@" TargetMode="External"/><Relationship Id="rId18" Type="http://schemas.openxmlformats.org/officeDocument/2006/relationships/hyperlink" Target="mailto:R@" TargetMode="External"/><Relationship Id="rId39" Type="http://schemas.openxmlformats.org/officeDocument/2006/relationships/hyperlink" Target="mailto:R@" TargetMode="External"/><Relationship Id="rId34" Type="http://schemas.openxmlformats.org/officeDocument/2006/relationships/hyperlink" Target="mailto:R@" TargetMode="External"/><Relationship Id="rId50" Type="http://schemas.openxmlformats.org/officeDocument/2006/relationships/hyperlink" Target="mailto:R@" TargetMode="External"/><Relationship Id="rId55" Type="http://schemas.openxmlformats.org/officeDocument/2006/relationships/hyperlink" Target="mailto:R@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R@" TargetMode="External"/><Relationship Id="rId3" Type="http://schemas.openxmlformats.org/officeDocument/2006/relationships/hyperlink" Target="mailto:R@" TargetMode="External"/><Relationship Id="rId7" Type="http://schemas.openxmlformats.org/officeDocument/2006/relationships/hyperlink" Target="mailto:R@" TargetMode="External"/><Relationship Id="rId2" Type="http://schemas.openxmlformats.org/officeDocument/2006/relationships/hyperlink" Target="mailto:R@" TargetMode="External"/><Relationship Id="rId1" Type="http://schemas.openxmlformats.org/officeDocument/2006/relationships/hyperlink" Target="mailto:R@" TargetMode="External"/><Relationship Id="rId6" Type="http://schemas.openxmlformats.org/officeDocument/2006/relationships/hyperlink" Target="mailto:R@" TargetMode="External"/><Relationship Id="rId11" Type="http://schemas.openxmlformats.org/officeDocument/2006/relationships/table" Target="../tables/table12.xml"/><Relationship Id="rId5" Type="http://schemas.openxmlformats.org/officeDocument/2006/relationships/hyperlink" Target="mailto:R@" TargetMode="External"/><Relationship Id="rId10" Type="http://schemas.openxmlformats.org/officeDocument/2006/relationships/table" Target="../tables/table11.xml"/><Relationship Id="rId4" Type="http://schemas.openxmlformats.org/officeDocument/2006/relationships/hyperlink" Target="mailto:R@" TargetMode="External"/><Relationship Id="rId9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mailto:R@" TargetMode="External"/><Relationship Id="rId3" Type="http://schemas.openxmlformats.org/officeDocument/2006/relationships/hyperlink" Target="mailto:R@" TargetMode="External"/><Relationship Id="rId7" Type="http://schemas.openxmlformats.org/officeDocument/2006/relationships/hyperlink" Target="mailto:R@" TargetMode="External"/><Relationship Id="rId2" Type="http://schemas.openxmlformats.org/officeDocument/2006/relationships/hyperlink" Target="mailto:R@" TargetMode="External"/><Relationship Id="rId1" Type="http://schemas.openxmlformats.org/officeDocument/2006/relationships/hyperlink" Target="mailto:R@" TargetMode="External"/><Relationship Id="rId6" Type="http://schemas.openxmlformats.org/officeDocument/2006/relationships/hyperlink" Target="mailto:R@" TargetMode="External"/><Relationship Id="rId11" Type="http://schemas.openxmlformats.org/officeDocument/2006/relationships/table" Target="../tables/table14.xml"/><Relationship Id="rId5" Type="http://schemas.openxmlformats.org/officeDocument/2006/relationships/hyperlink" Target="mailto:R@" TargetMode="External"/><Relationship Id="rId10" Type="http://schemas.openxmlformats.org/officeDocument/2006/relationships/table" Target="../tables/table13.xml"/><Relationship Id="rId4" Type="http://schemas.openxmlformats.org/officeDocument/2006/relationships/hyperlink" Target="mailto:R@" TargetMode="External"/><Relationship Id="rId9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0BA2B-173E-4085-9982-6BB4E200B17E}">
  <dimension ref="A1:AN126"/>
  <sheetViews>
    <sheetView tabSelected="1" zoomScale="110" zoomScaleNormal="100" workbookViewId="0">
      <selection activeCell="G16" sqref="G16"/>
    </sheetView>
  </sheetViews>
  <sheetFormatPr defaultRowHeight="14.5" x14ac:dyDescent="0.35"/>
  <cols>
    <col min="1" max="2" width="8.7265625" customWidth="1"/>
    <col min="4" max="4" width="8.7265625" customWidth="1"/>
    <col min="12" max="12" width="14.08984375" customWidth="1"/>
    <col min="16" max="20" width="8.7265625" customWidth="1"/>
    <col min="25" max="27" width="8.7265625" customWidth="1"/>
    <col min="30" max="30" width="8.7265625" customWidth="1"/>
    <col min="32" max="32" width="8.7265625" customWidth="1"/>
    <col min="37" max="37" width="8.7265625" customWidth="1"/>
  </cols>
  <sheetData>
    <row r="1" spans="1:15" x14ac:dyDescent="0.35">
      <c r="C1" t="s">
        <v>68</v>
      </c>
      <c r="H1" t="s">
        <v>68</v>
      </c>
    </row>
    <row r="2" spans="1:15" x14ac:dyDescent="0.35">
      <c r="C2" t="s">
        <v>64</v>
      </c>
      <c r="H2" t="s">
        <v>65</v>
      </c>
      <c r="M2" t="s">
        <v>66</v>
      </c>
    </row>
    <row r="3" spans="1:15" x14ac:dyDescent="0.35">
      <c r="B3" t="s">
        <v>61</v>
      </c>
      <c r="C3" s="11">
        <v>1.4060808</v>
      </c>
      <c r="D3" s="11">
        <v>0.68034740000000005</v>
      </c>
      <c r="E3" s="11">
        <v>0</v>
      </c>
      <c r="G3" t="s">
        <v>61</v>
      </c>
      <c r="H3" s="11">
        <v>1.0067588999999999</v>
      </c>
      <c r="I3" s="11">
        <v>0.43470530000000002</v>
      </c>
      <c r="J3" s="11">
        <v>0</v>
      </c>
      <c r="L3" t="s">
        <v>61</v>
      </c>
      <c r="M3" s="11">
        <v>1.58</v>
      </c>
      <c r="N3" s="11">
        <v>0.46</v>
      </c>
      <c r="O3" s="11">
        <v>0</v>
      </c>
    </row>
    <row r="4" spans="1:15" x14ac:dyDescent="0.35">
      <c r="B4" t="s">
        <v>63</v>
      </c>
      <c r="C4" s="11">
        <v>0.46280559999999998</v>
      </c>
      <c r="D4" s="11">
        <v>1.1647407999999999</v>
      </c>
      <c r="E4" s="11">
        <v>0.59203625000000004</v>
      </c>
      <c r="G4" t="s">
        <v>63</v>
      </c>
      <c r="H4" s="11">
        <v>0.12932410999999999</v>
      </c>
      <c r="I4" s="11">
        <v>0.56802695999999997</v>
      </c>
      <c r="J4" s="11">
        <v>2.1223390000000002E-2</v>
      </c>
      <c r="L4" t="s">
        <v>63</v>
      </c>
      <c r="M4" s="11">
        <v>0</v>
      </c>
      <c r="N4" s="11">
        <v>1.04</v>
      </c>
      <c r="O4" s="11">
        <v>0</v>
      </c>
    </row>
    <row r="5" spans="1:15" x14ac:dyDescent="0.35">
      <c r="B5" t="s">
        <v>60</v>
      </c>
      <c r="C5" s="11">
        <v>3.8154899999999999E-2</v>
      </c>
      <c r="D5" s="11">
        <v>0.64930885999999999</v>
      </c>
      <c r="E5" s="11">
        <v>1.3707594999999999</v>
      </c>
      <c r="G5" t="s">
        <v>60</v>
      </c>
      <c r="H5" s="11">
        <v>0</v>
      </c>
      <c r="I5" s="11">
        <v>0.48172635000000003</v>
      </c>
      <c r="J5" s="11">
        <v>1.1991639000000001</v>
      </c>
      <c r="L5" t="s">
        <v>60</v>
      </c>
      <c r="M5" s="11">
        <v>0</v>
      </c>
      <c r="N5" s="11">
        <v>0.36</v>
      </c>
      <c r="O5" s="11">
        <v>1.54</v>
      </c>
    </row>
    <row r="7" spans="1:15" x14ac:dyDescent="0.35">
      <c r="C7" s="11">
        <f>SUM(C3:C5)</f>
        <v>1.9070413000000002</v>
      </c>
      <c r="D7" s="11">
        <f t="shared" ref="D7:E7" si="0">SUM(D3:D5)</f>
        <v>2.4943970599999998</v>
      </c>
      <c r="E7" s="11">
        <f t="shared" si="0"/>
        <v>1.96279575</v>
      </c>
      <c r="F7" s="11"/>
      <c r="H7" s="11">
        <f>SUM(H4:H5)</f>
        <v>0.12932410999999999</v>
      </c>
      <c r="I7" s="11">
        <f t="shared" ref="I7:J7" si="1">SUM(I4:I5)</f>
        <v>1.0497533100000001</v>
      </c>
      <c r="J7" s="11">
        <f t="shared" si="1"/>
        <v>1.2203872900000001</v>
      </c>
      <c r="K7" s="11"/>
      <c r="L7" s="11"/>
      <c r="M7" s="11">
        <f>SUM(M3:M5)</f>
        <v>1.58</v>
      </c>
      <c r="N7" s="11">
        <f>SUM(N3:N5)</f>
        <v>1.8599999999999999</v>
      </c>
      <c r="O7" s="11">
        <f>SUM(O3:O5)</f>
        <v>1.54</v>
      </c>
    </row>
    <row r="8" spans="1:15" x14ac:dyDescent="0.35">
      <c r="A8" s="25" t="s">
        <v>153</v>
      </c>
      <c r="B8" s="25"/>
      <c r="C8" s="22"/>
      <c r="D8" s="22"/>
      <c r="E8" s="22"/>
      <c r="F8" s="22"/>
      <c r="G8" s="11"/>
      <c r="H8" s="11"/>
      <c r="I8" s="11"/>
    </row>
    <row r="9" spans="1:15" x14ac:dyDescent="0.35">
      <c r="A9" s="25" t="s">
        <v>151</v>
      </c>
      <c r="B9" s="25"/>
      <c r="C9" s="22"/>
      <c r="D9" s="22"/>
      <c r="E9" s="22"/>
      <c r="F9" s="22"/>
      <c r="G9" s="11" t="s">
        <v>61</v>
      </c>
      <c r="H9" s="11">
        <v>1</v>
      </c>
      <c r="I9" s="11">
        <v>0.5</v>
      </c>
      <c r="J9">
        <v>0</v>
      </c>
      <c r="L9" s="11">
        <v>7</v>
      </c>
      <c r="M9" s="11">
        <v>15</v>
      </c>
      <c r="N9">
        <v>120</v>
      </c>
      <c r="O9" s="11"/>
    </row>
    <row r="10" spans="1:15" x14ac:dyDescent="0.35">
      <c r="A10" s="25" t="s">
        <v>152</v>
      </c>
      <c r="B10" s="25"/>
      <c r="C10" s="25"/>
      <c r="D10" s="25"/>
      <c r="E10" s="25"/>
      <c r="F10" s="25"/>
      <c r="G10" t="s">
        <v>63</v>
      </c>
      <c r="H10">
        <v>0.25</v>
      </c>
      <c r="I10">
        <v>0.5</v>
      </c>
      <c r="J10">
        <v>0.25</v>
      </c>
      <c r="L10">
        <v>60</v>
      </c>
      <c r="M10" s="11">
        <v>15</v>
      </c>
      <c r="N10">
        <v>60</v>
      </c>
    </row>
    <row r="11" spans="1:15" x14ac:dyDescent="0.35">
      <c r="A11" s="25" t="s">
        <v>156</v>
      </c>
      <c r="B11" s="25"/>
      <c r="C11" s="25"/>
      <c r="D11" s="25"/>
      <c r="E11" s="25"/>
      <c r="F11" s="25"/>
      <c r="G11" t="s">
        <v>60</v>
      </c>
      <c r="H11">
        <v>0</v>
      </c>
      <c r="I11">
        <v>0.5</v>
      </c>
      <c r="J11">
        <v>1</v>
      </c>
      <c r="L11">
        <v>120</v>
      </c>
      <c r="M11" s="11">
        <v>15</v>
      </c>
      <c r="N11" s="11">
        <v>7</v>
      </c>
    </row>
    <row r="12" spans="1:15" x14ac:dyDescent="0.35">
      <c r="A12" s="25" t="s">
        <v>154</v>
      </c>
      <c r="B12" s="25"/>
      <c r="C12" s="25"/>
      <c r="D12" s="25"/>
      <c r="E12" s="25"/>
      <c r="F12" s="25"/>
    </row>
    <row r="13" spans="1:15" x14ac:dyDescent="0.35">
      <c r="A13" s="25" t="s">
        <v>155</v>
      </c>
      <c r="B13" s="25"/>
      <c r="C13" s="25"/>
      <c r="D13" s="25"/>
      <c r="E13" s="25"/>
      <c r="F13" s="25"/>
      <c r="H13" s="11">
        <f>SUM(H10:H11)</f>
        <v>0.25</v>
      </c>
      <c r="I13" s="11">
        <f t="shared" ref="I13:J13" si="2">SUM(I10:I11)</f>
        <v>1</v>
      </c>
      <c r="J13" s="11">
        <f t="shared" si="2"/>
        <v>1.25</v>
      </c>
      <c r="L13" s="11"/>
      <c r="M13" s="11"/>
      <c r="N13" s="11"/>
    </row>
    <row r="15" spans="1:15" x14ac:dyDescent="0.35">
      <c r="B15" t="s">
        <v>69</v>
      </c>
    </row>
    <row r="16" spans="1:15" x14ac:dyDescent="0.35">
      <c r="B16" t="s">
        <v>67</v>
      </c>
    </row>
    <row r="17" spans="1:16" x14ac:dyDescent="0.35">
      <c r="B17" t="s">
        <v>61</v>
      </c>
      <c r="C17" s="11">
        <v>1.1060314</v>
      </c>
      <c r="D17" s="11">
        <v>0.63928300000000005</v>
      </c>
      <c r="E17" s="11">
        <v>0</v>
      </c>
      <c r="F17" s="11">
        <v>0.53109720000000005</v>
      </c>
      <c r="H17" s="11">
        <v>1</v>
      </c>
      <c r="I17" s="11">
        <v>0.6</v>
      </c>
      <c r="J17" s="11">
        <v>0</v>
      </c>
      <c r="K17" s="11">
        <v>0.5</v>
      </c>
      <c r="M17" s="11"/>
      <c r="N17" s="11"/>
      <c r="O17" s="11"/>
      <c r="P17" s="11"/>
    </row>
    <row r="18" spans="1:16" x14ac:dyDescent="0.35">
      <c r="B18" t="s">
        <v>63</v>
      </c>
      <c r="C18" s="11">
        <v>0.6796354</v>
      </c>
      <c r="D18" s="11">
        <v>0.89504519999999999</v>
      </c>
      <c r="E18" s="11">
        <v>0.74656920000000004</v>
      </c>
      <c r="F18" s="11">
        <v>0.7421413</v>
      </c>
      <c r="H18" s="11">
        <v>0.7</v>
      </c>
      <c r="I18" s="11">
        <v>0.9</v>
      </c>
      <c r="J18" s="11">
        <v>0.8</v>
      </c>
      <c r="K18" s="11">
        <v>0.6</v>
      </c>
      <c r="M18" s="11"/>
      <c r="N18" s="11"/>
      <c r="O18" s="11"/>
      <c r="P18" s="11"/>
    </row>
    <row r="19" spans="1:16" x14ac:dyDescent="0.35">
      <c r="B19" t="s">
        <v>60</v>
      </c>
      <c r="C19" s="11">
        <v>0</v>
      </c>
      <c r="D19" s="11">
        <v>0.61864730000000001</v>
      </c>
      <c r="E19" s="11">
        <v>1.0373337</v>
      </c>
      <c r="F19" s="11">
        <v>0.74619219999999997</v>
      </c>
      <c r="H19" s="11">
        <v>0</v>
      </c>
      <c r="I19" s="11">
        <v>0.6</v>
      </c>
      <c r="J19" s="11">
        <v>1</v>
      </c>
      <c r="K19" s="11">
        <v>0.6</v>
      </c>
      <c r="M19" s="11"/>
      <c r="N19" s="11"/>
      <c r="O19" s="11"/>
      <c r="P19" s="11"/>
    </row>
    <row r="20" spans="1:16" x14ac:dyDescent="0.35">
      <c r="B20" t="s">
        <v>62</v>
      </c>
      <c r="C20" s="11">
        <v>0.11474311</v>
      </c>
      <c r="D20" s="11">
        <v>0.16757499000000001</v>
      </c>
      <c r="E20" s="11">
        <v>1.052115E-2</v>
      </c>
      <c r="F20" s="11">
        <v>1.1659139999999999</v>
      </c>
      <c r="H20" s="11">
        <v>0.1</v>
      </c>
      <c r="I20" s="11">
        <v>0.2</v>
      </c>
      <c r="J20" s="11">
        <v>0</v>
      </c>
      <c r="K20" s="11">
        <v>1</v>
      </c>
      <c r="M20" s="11"/>
      <c r="N20" s="11"/>
      <c r="O20" s="11"/>
      <c r="P20" s="11"/>
    </row>
    <row r="22" spans="1:16" x14ac:dyDescent="0.35">
      <c r="C22" s="11">
        <f>SUM(C19,C20)</f>
        <v>0.11474311</v>
      </c>
      <c r="D22" s="11">
        <f t="shared" ref="D22:F22" si="3">SUM(D19,D20)</f>
        <v>0.78622228999999999</v>
      </c>
      <c r="E22" s="11">
        <f t="shared" si="3"/>
        <v>1.04785485</v>
      </c>
      <c r="F22" s="11">
        <f t="shared" si="3"/>
        <v>1.9121061999999998</v>
      </c>
      <c r="H22" s="11">
        <f>SUM(H17:H19,H20)</f>
        <v>1.8</v>
      </c>
      <c r="I22" s="11">
        <f t="shared" ref="I22:K22" si="4">SUM(I17:I19,I20)</f>
        <v>2.3000000000000003</v>
      </c>
      <c r="J22" s="11">
        <f t="shared" si="4"/>
        <v>1.8</v>
      </c>
      <c r="K22" s="11">
        <f t="shared" si="4"/>
        <v>2.7</v>
      </c>
      <c r="M22" s="11"/>
      <c r="N22" s="11"/>
      <c r="O22" s="11"/>
      <c r="P22" s="11"/>
    </row>
    <row r="23" spans="1:16" x14ac:dyDescent="0.3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</row>
    <row r="24" spans="1:16" x14ac:dyDescent="0.35">
      <c r="B24" s="30" t="s">
        <v>83</v>
      </c>
      <c r="C24" t="s">
        <v>78</v>
      </c>
      <c r="G24" t="s">
        <v>71</v>
      </c>
      <c r="K24" t="s">
        <v>72</v>
      </c>
    </row>
    <row r="25" spans="1:16" x14ac:dyDescent="0.35">
      <c r="C25" s="11">
        <v>1.1415474000000001</v>
      </c>
      <c r="D25" s="11">
        <v>0.46434817</v>
      </c>
      <c r="E25" s="11">
        <v>0</v>
      </c>
      <c r="F25" t="s">
        <v>70</v>
      </c>
      <c r="G25" s="11">
        <f>1/C25*10</f>
        <v>8.7600392239516296</v>
      </c>
      <c r="H25" s="11">
        <f t="shared" ref="H25" si="5">1/D25*10</f>
        <v>21.535564574315003</v>
      </c>
      <c r="I25" s="11">
        <v>100</v>
      </c>
      <c r="J25" t="s">
        <v>70</v>
      </c>
      <c r="K25">
        <f>200/G25</f>
        <v>22.830947999999999</v>
      </c>
      <c r="L25">
        <f t="shared" ref="L25:M25" si="6">200/H25</f>
        <v>9.2869633999999994</v>
      </c>
      <c r="M25">
        <f t="shared" si="6"/>
        <v>2</v>
      </c>
    </row>
    <row r="26" spans="1:16" x14ac:dyDescent="0.35">
      <c r="C26" s="11">
        <v>0.60530483999999996</v>
      </c>
      <c r="D26" s="11">
        <v>1.1415474000000001</v>
      </c>
      <c r="E26" s="11">
        <v>0.60530483999999996</v>
      </c>
      <c r="G26" s="11">
        <f t="shared" ref="G26" si="7">1/C26*10</f>
        <v>16.520601421260732</v>
      </c>
      <c r="H26" s="11">
        <f t="shared" ref="H26:H27" si="8">1/D26*10</f>
        <v>8.7600392239516296</v>
      </c>
      <c r="I26" s="11">
        <f t="shared" ref="I26:I27" si="9">1/E26*10</f>
        <v>16.520601421260732</v>
      </c>
      <c r="K26">
        <f t="shared" ref="K26:K27" si="10">200/G26</f>
        <v>12.1060968</v>
      </c>
      <c r="L26">
        <f t="shared" ref="L26:L27" si="11">200/H26</f>
        <v>22.830947999999999</v>
      </c>
      <c r="M26">
        <f t="shared" ref="M26:M27" si="12">200/I26</f>
        <v>12.1060968</v>
      </c>
    </row>
    <row r="27" spans="1:16" x14ac:dyDescent="0.35">
      <c r="C27" s="11">
        <v>0</v>
      </c>
      <c r="D27" s="11">
        <v>0.46434817</v>
      </c>
      <c r="E27" s="11">
        <v>1.1415474000000001</v>
      </c>
      <c r="G27" s="11">
        <v>100</v>
      </c>
      <c r="H27" s="11">
        <f t="shared" si="8"/>
        <v>21.535564574315003</v>
      </c>
      <c r="I27" s="11">
        <f t="shared" si="9"/>
        <v>8.7600392239516296</v>
      </c>
      <c r="K27">
        <f t="shared" si="10"/>
        <v>2</v>
      </c>
      <c r="L27">
        <f t="shared" si="11"/>
        <v>9.2869633999999994</v>
      </c>
      <c r="M27">
        <f t="shared" si="12"/>
        <v>22.830947999999999</v>
      </c>
    </row>
    <row r="28" spans="1:16" x14ac:dyDescent="0.35">
      <c r="H28" s="40"/>
      <c r="I28" s="40"/>
    </row>
    <row r="29" spans="1:16" x14ac:dyDescent="0.35">
      <c r="C29" s="11"/>
      <c r="D29" s="11"/>
      <c r="E29" s="11"/>
      <c r="G29" s="33" t="s">
        <v>73</v>
      </c>
      <c r="H29" s="33" t="s">
        <v>74</v>
      </c>
      <c r="I29" s="33" t="s">
        <v>75</v>
      </c>
      <c r="K29" s="11"/>
      <c r="L29" s="11"/>
      <c r="M29" s="11"/>
    </row>
    <row r="30" spans="1:16" x14ac:dyDescent="0.35">
      <c r="F30" s="34"/>
      <c r="G30" s="36" t="s">
        <v>76</v>
      </c>
      <c r="H30" s="39" t="s">
        <v>73</v>
      </c>
      <c r="I30" s="39" t="s">
        <v>76</v>
      </c>
    </row>
    <row r="31" spans="1:16" x14ac:dyDescent="0.35">
      <c r="F31" s="35"/>
      <c r="G31" s="37" t="s">
        <v>75</v>
      </c>
      <c r="H31" s="32" t="s">
        <v>74</v>
      </c>
      <c r="I31" s="39" t="s">
        <v>73</v>
      </c>
    </row>
    <row r="32" spans="1:16" x14ac:dyDescent="0.35">
      <c r="C32" s="11"/>
      <c r="D32" s="11"/>
      <c r="E32" s="11"/>
      <c r="H32" s="38"/>
    </row>
    <row r="33" spans="2:16" x14ac:dyDescent="0.35">
      <c r="C33" s="11"/>
      <c r="D33" s="11"/>
      <c r="E33" s="11"/>
    </row>
    <row r="34" spans="2:16" x14ac:dyDescent="0.35">
      <c r="B34" s="30" t="s">
        <v>84</v>
      </c>
      <c r="C34" s="11" t="s">
        <v>77</v>
      </c>
      <c r="D34" s="11"/>
      <c r="E34" s="11"/>
      <c r="H34" t="s">
        <v>71</v>
      </c>
      <c r="M34" t="s">
        <v>72</v>
      </c>
    </row>
    <row r="35" spans="2:16" x14ac:dyDescent="0.35">
      <c r="C35" s="11">
        <v>1.0872073</v>
      </c>
      <c r="D35" s="11">
        <v>0.52844703000000004</v>
      </c>
      <c r="E35" s="11">
        <v>6.9885879999999997E-2</v>
      </c>
      <c r="F35" s="11">
        <v>0.52844703000000004</v>
      </c>
      <c r="G35" t="s">
        <v>70</v>
      </c>
      <c r="H35">
        <f>10/C35</f>
        <v>9.1978779024018689</v>
      </c>
      <c r="I35">
        <f t="shared" ref="I35:K35" si="13">10/D35</f>
        <v>18.923372509066802</v>
      </c>
      <c r="J35">
        <v>100</v>
      </c>
      <c r="K35">
        <f t="shared" si="13"/>
        <v>18.923372509066802</v>
      </c>
      <c r="L35" t="s">
        <v>70</v>
      </c>
      <c r="M35">
        <f>200/H35</f>
        <v>21.744146000000001</v>
      </c>
      <c r="N35">
        <f t="shared" ref="N35:P35" si="14">200/I35</f>
        <v>10.568940600000001</v>
      </c>
      <c r="O35">
        <f t="shared" si="14"/>
        <v>2</v>
      </c>
      <c r="P35">
        <f t="shared" si="14"/>
        <v>10.568940600000001</v>
      </c>
    </row>
    <row r="36" spans="2:16" x14ac:dyDescent="0.35">
      <c r="C36" s="11">
        <v>0.52844703000000004</v>
      </c>
      <c r="D36" s="11">
        <v>0.90900000000000003</v>
      </c>
      <c r="E36" s="11">
        <v>0.52844703000000004</v>
      </c>
      <c r="F36" s="11">
        <v>0.52844703000000004</v>
      </c>
      <c r="H36">
        <f t="shared" ref="H36" si="15">10/C36</f>
        <v>18.923372509066802</v>
      </c>
      <c r="I36">
        <f t="shared" ref="I36:I37" si="16">10/D36</f>
        <v>11.001100110011</v>
      </c>
      <c r="J36">
        <f t="shared" ref="J36:J37" si="17">10/E36</f>
        <v>18.923372509066802</v>
      </c>
      <c r="K36">
        <f t="shared" ref="K36:K38" si="18">10/F36</f>
        <v>18.923372509066802</v>
      </c>
      <c r="M36">
        <f t="shared" ref="M36:M38" si="19">200/H36</f>
        <v>10.568940600000001</v>
      </c>
      <c r="N36">
        <f t="shared" ref="N36:N38" si="20">200/I36</f>
        <v>18.18</v>
      </c>
      <c r="O36">
        <f t="shared" ref="O36:O38" si="21">200/J36</f>
        <v>10.568940600000001</v>
      </c>
      <c r="P36">
        <f t="shared" ref="P36:P38" si="22">200/K36</f>
        <v>10.568940600000001</v>
      </c>
    </row>
    <row r="37" spans="2:16" x14ac:dyDescent="0.35">
      <c r="C37" s="11">
        <v>6.9885879999999997E-2</v>
      </c>
      <c r="D37" s="11">
        <v>0.52844703000000004</v>
      </c>
      <c r="E37" s="11">
        <v>1.0872073</v>
      </c>
      <c r="F37" s="11">
        <v>0.52844703000000004</v>
      </c>
      <c r="H37">
        <v>100</v>
      </c>
      <c r="I37">
        <f t="shared" si="16"/>
        <v>18.923372509066802</v>
      </c>
      <c r="J37">
        <f t="shared" si="17"/>
        <v>9.1978779024018689</v>
      </c>
      <c r="K37">
        <f t="shared" si="18"/>
        <v>18.923372509066802</v>
      </c>
      <c r="M37">
        <f t="shared" si="19"/>
        <v>2</v>
      </c>
      <c r="N37">
        <f t="shared" si="20"/>
        <v>10.568940600000001</v>
      </c>
      <c r="O37">
        <f t="shared" si="21"/>
        <v>21.744146000000001</v>
      </c>
      <c r="P37">
        <f t="shared" si="22"/>
        <v>10.568940600000001</v>
      </c>
    </row>
    <row r="38" spans="2:16" x14ac:dyDescent="0.35">
      <c r="C38" s="11">
        <v>6.9885879999999997E-2</v>
      </c>
      <c r="D38" s="11">
        <v>6.9885879999999997E-2</v>
      </c>
      <c r="E38" s="11">
        <v>6.9885879999999997E-2</v>
      </c>
      <c r="F38" s="11">
        <v>1.6117032</v>
      </c>
      <c r="H38">
        <v>100</v>
      </c>
      <c r="I38">
        <v>100</v>
      </c>
      <c r="J38">
        <v>100</v>
      </c>
      <c r="K38">
        <f t="shared" si="18"/>
        <v>6.2046163338262277</v>
      </c>
      <c r="M38">
        <f t="shared" si="19"/>
        <v>2</v>
      </c>
      <c r="N38">
        <f t="shared" si="20"/>
        <v>2</v>
      </c>
      <c r="O38">
        <f t="shared" si="21"/>
        <v>2</v>
      </c>
      <c r="P38">
        <f t="shared" si="22"/>
        <v>32.234064000000004</v>
      </c>
    </row>
    <row r="40" spans="2:16" x14ac:dyDescent="0.35">
      <c r="H40" t="s">
        <v>79</v>
      </c>
      <c r="I40" t="s">
        <v>74</v>
      </c>
      <c r="J40" t="s">
        <v>75</v>
      </c>
      <c r="K40" t="s">
        <v>74</v>
      </c>
    </row>
    <row r="41" spans="2:16" x14ac:dyDescent="0.35">
      <c r="H41" t="s">
        <v>74</v>
      </c>
      <c r="I41" t="s">
        <v>80</v>
      </c>
      <c r="J41" t="s">
        <v>74</v>
      </c>
      <c r="K41" t="s">
        <v>74</v>
      </c>
    </row>
    <row r="42" spans="2:16" x14ac:dyDescent="0.35">
      <c r="H42" t="s">
        <v>75</v>
      </c>
      <c r="I42" t="s">
        <v>74</v>
      </c>
      <c r="J42" t="s">
        <v>79</v>
      </c>
      <c r="K42" t="s">
        <v>74</v>
      </c>
    </row>
    <row r="43" spans="2:16" x14ac:dyDescent="0.35">
      <c r="H43" t="s">
        <v>75</v>
      </c>
      <c r="I43" t="s">
        <v>75</v>
      </c>
      <c r="J43" t="s">
        <v>75</v>
      </c>
      <c r="K43" t="s">
        <v>81</v>
      </c>
    </row>
    <row r="45" spans="2:16" x14ac:dyDescent="0.35">
      <c r="B45" s="30" t="s">
        <v>85</v>
      </c>
      <c r="C45" t="s">
        <v>91</v>
      </c>
      <c r="G45" t="s">
        <v>71</v>
      </c>
      <c r="K45" t="s">
        <v>72</v>
      </c>
    </row>
    <row r="46" spans="2:16" x14ac:dyDescent="0.35">
      <c r="C46" s="11">
        <v>1.4313133</v>
      </c>
      <c r="D46" s="11">
        <v>0.68486380000000002</v>
      </c>
      <c r="E46" s="11">
        <v>4.8630949999999999E-2</v>
      </c>
      <c r="F46" t="s">
        <v>70</v>
      </c>
      <c r="G46">
        <f>10/C46</f>
        <v>6.9865905668591219</v>
      </c>
      <c r="H46">
        <f t="shared" ref="H46" si="23">10/D46</f>
        <v>14.601443381881186</v>
      </c>
      <c r="I46">
        <v>100</v>
      </c>
      <c r="J46" t="s">
        <v>70</v>
      </c>
      <c r="K46">
        <f>200/G46</f>
        <v>28.626265999999998</v>
      </c>
      <c r="L46">
        <f t="shared" ref="L46:M46" si="24">200/H46</f>
        <v>13.697276</v>
      </c>
      <c r="M46">
        <f t="shared" si="24"/>
        <v>2</v>
      </c>
      <c r="O46" t="s">
        <v>82</v>
      </c>
    </row>
    <row r="47" spans="2:16" x14ac:dyDescent="0.35">
      <c r="C47" s="11">
        <v>4.8630949999999999E-2</v>
      </c>
      <c r="D47" s="11">
        <v>0.68486380000000002</v>
      </c>
      <c r="E47" s="11">
        <v>0.26434940000000001</v>
      </c>
      <c r="G47">
        <v>100</v>
      </c>
      <c r="H47">
        <f t="shared" ref="H47:H48" si="25">10/D47</f>
        <v>14.601443381881186</v>
      </c>
      <c r="I47">
        <f t="shared" ref="I47:I48" si="26">10/E47</f>
        <v>37.828722138200426</v>
      </c>
      <c r="K47">
        <f t="shared" ref="K47:K48" si="27">200/G47</f>
        <v>2</v>
      </c>
      <c r="L47">
        <f t="shared" ref="L47:L48" si="28">200/H47</f>
        <v>13.697276</v>
      </c>
      <c r="M47">
        <f t="shared" ref="M47:M48" si="29">200/I47</f>
        <v>5.286988</v>
      </c>
    </row>
    <row r="48" spans="2:16" x14ac:dyDescent="0.35">
      <c r="C48" s="11">
        <v>4.8630949999999999E-2</v>
      </c>
      <c r="D48" s="11">
        <v>0.68486380000000002</v>
      </c>
      <c r="E48" s="11">
        <v>1.4313133</v>
      </c>
      <c r="G48">
        <v>100</v>
      </c>
      <c r="H48">
        <f t="shared" si="25"/>
        <v>14.601443381881186</v>
      </c>
      <c r="I48">
        <f t="shared" si="26"/>
        <v>6.9865905668591219</v>
      </c>
      <c r="K48">
        <f t="shared" si="27"/>
        <v>2</v>
      </c>
      <c r="L48">
        <f t="shared" si="28"/>
        <v>13.697276</v>
      </c>
      <c r="M48">
        <f t="shared" si="29"/>
        <v>28.626265999999998</v>
      </c>
    </row>
    <row r="50" spans="2:34" x14ac:dyDescent="0.35">
      <c r="G50" t="s">
        <v>81</v>
      </c>
      <c r="H50" t="s">
        <v>76</v>
      </c>
      <c r="I50" t="s">
        <v>75</v>
      </c>
    </row>
    <row r="51" spans="2:34" x14ac:dyDescent="0.35">
      <c r="G51" t="s">
        <v>75</v>
      </c>
      <c r="H51" t="s">
        <v>76</v>
      </c>
      <c r="I51" t="s">
        <v>86</v>
      </c>
    </row>
    <row r="52" spans="2:34" x14ac:dyDescent="0.35">
      <c r="G52" t="s">
        <v>75</v>
      </c>
      <c r="H52" t="s">
        <v>76</v>
      </c>
      <c r="I52" t="s">
        <v>81</v>
      </c>
    </row>
    <row r="54" spans="2:34" x14ac:dyDescent="0.35">
      <c r="B54" s="30" t="s">
        <v>87</v>
      </c>
      <c r="C54" t="s">
        <v>92</v>
      </c>
      <c r="H54" t="s">
        <v>71</v>
      </c>
      <c r="M54" t="s">
        <v>72</v>
      </c>
    </row>
    <row r="55" spans="2:34" x14ac:dyDescent="0.35">
      <c r="C55" s="11">
        <v>1.1490442999999999</v>
      </c>
      <c r="D55" s="11">
        <v>0.7170453</v>
      </c>
      <c r="E55" s="11">
        <v>3.7859499999999997E-2</v>
      </c>
      <c r="F55" s="11">
        <v>0.7170453</v>
      </c>
      <c r="G55" t="s">
        <v>70</v>
      </c>
      <c r="H55" s="11">
        <f>10/C55</f>
        <v>8.7028846494430212</v>
      </c>
      <c r="I55" s="11">
        <f t="shared" ref="I55:K55" si="30">10/D55</f>
        <v>13.946120279987889</v>
      </c>
      <c r="J55" s="11">
        <v>100</v>
      </c>
      <c r="K55" s="11">
        <f t="shared" si="30"/>
        <v>13.946120279987889</v>
      </c>
      <c r="L55" t="s">
        <v>70</v>
      </c>
      <c r="M55">
        <f>200/H55</f>
        <v>22.980885999999995</v>
      </c>
      <c r="N55">
        <f t="shared" ref="N55:P55" si="31">200/I55</f>
        <v>14.340906</v>
      </c>
      <c r="O55">
        <f t="shared" si="31"/>
        <v>2</v>
      </c>
      <c r="P55">
        <f t="shared" si="31"/>
        <v>14.340906</v>
      </c>
      <c r="R55" t="s">
        <v>90</v>
      </c>
      <c r="Z55" s="11"/>
      <c r="AA55" s="11"/>
      <c r="AB55" s="11"/>
      <c r="AC55" s="11"/>
      <c r="AE55" s="11"/>
      <c r="AF55" s="11"/>
      <c r="AG55" s="11"/>
      <c r="AH55" s="11"/>
    </row>
    <row r="56" spans="2:34" x14ac:dyDescent="0.35">
      <c r="C56" s="11">
        <v>0.49652780000000002</v>
      </c>
      <c r="D56" s="11">
        <v>0.7170453</v>
      </c>
      <c r="E56" s="11">
        <v>0.49652780000000002</v>
      </c>
      <c r="F56" s="11">
        <v>0.49652780000000002</v>
      </c>
      <c r="H56" s="11">
        <f t="shared" ref="H56" si="32">10/C56</f>
        <v>20.139859238495809</v>
      </c>
      <c r="I56" s="11">
        <f t="shared" ref="I56:I57" si="33">10/D56</f>
        <v>13.946120279987889</v>
      </c>
      <c r="J56" s="11">
        <f t="shared" ref="J56:J57" si="34">10/E56</f>
        <v>20.139859238495809</v>
      </c>
      <c r="K56" s="11">
        <f t="shared" ref="K56:K58" si="35">10/F56</f>
        <v>20.139859238495809</v>
      </c>
      <c r="M56">
        <f t="shared" ref="M56:M58" si="36">200/H56</f>
        <v>9.930556000000001</v>
      </c>
      <c r="N56">
        <f t="shared" ref="N56:N58" si="37">200/I56</f>
        <v>14.340906</v>
      </c>
      <c r="O56">
        <f t="shared" ref="O56:O58" si="38">200/J56</f>
        <v>9.930556000000001</v>
      </c>
      <c r="P56">
        <f t="shared" ref="P56:P58" si="39">200/K56</f>
        <v>9.930556000000001</v>
      </c>
      <c r="Z56" s="11"/>
      <c r="AA56" s="11"/>
      <c r="AB56" s="11"/>
      <c r="AC56" s="11"/>
      <c r="AE56" s="11"/>
      <c r="AF56" s="11"/>
      <c r="AG56" s="11"/>
      <c r="AH56" s="11"/>
    </row>
    <row r="57" spans="2:34" x14ac:dyDescent="0.35">
      <c r="C57" s="11">
        <v>3.7859499999999997E-2</v>
      </c>
      <c r="D57" s="11">
        <v>0.7170453</v>
      </c>
      <c r="E57" s="11">
        <v>1.1490442999999999</v>
      </c>
      <c r="F57" s="11">
        <v>0.7170453</v>
      </c>
      <c r="H57" s="11">
        <v>100</v>
      </c>
      <c r="I57" s="11">
        <f t="shared" si="33"/>
        <v>13.946120279987889</v>
      </c>
      <c r="J57" s="11">
        <f t="shared" si="34"/>
        <v>8.7028846494430212</v>
      </c>
      <c r="K57" s="11">
        <f t="shared" si="35"/>
        <v>13.946120279987889</v>
      </c>
      <c r="M57">
        <f t="shared" si="36"/>
        <v>2</v>
      </c>
      <c r="N57">
        <f t="shared" si="37"/>
        <v>14.340906</v>
      </c>
      <c r="O57">
        <f t="shared" si="38"/>
        <v>22.980885999999995</v>
      </c>
      <c r="P57">
        <f t="shared" si="39"/>
        <v>14.340906</v>
      </c>
      <c r="Z57" s="11"/>
      <c r="AA57" s="11"/>
      <c r="AB57" s="11"/>
      <c r="AC57" s="11"/>
      <c r="AE57" s="11"/>
      <c r="AF57" s="11"/>
      <c r="AG57" s="11"/>
      <c r="AH57" s="11"/>
    </row>
    <row r="58" spans="2:34" x14ac:dyDescent="0.35">
      <c r="C58" s="11">
        <v>3.7859499999999997E-2</v>
      </c>
      <c r="D58" s="11">
        <v>3.7859499999999997E-2</v>
      </c>
      <c r="E58" s="11">
        <v>3.7859499999999997E-2</v>
      </c>
      <c r="F58" s="11">
        <v>1.857429</v>
      </c>
      <c r="H58" s="11">
        <v>100</v>
      </c>
      <c r="I58" s="11">
        <v>100</v>
      </c>
      <c r="J58" s="11">
        <v>100</v>
      </c>
      <c r="K58" s="11">
        <f t="shared" si="35"/>
        <v>5.3837858674544226</v>
      </c>
      <c r="M58">
        <f t="shared" si="36"/>
        <v>2</v>
      </c>
      <c r="N58">
        <f t="shared" si="37"/>
        <v>2</v>
      </c>
      <c r="O58">
        <f t="shared" si="38"/>
        <v>2</v>
      </c>
      <c r="P58">
        <f t="shared" si="39"/>
        <v>37.148579999999995</v>
      </c>
      <c r="Z58" s="11"/>
      <c r="AA58" s="11"/>
      <c r="AB58" s="11"/>
      <c r="AC58" s="11"/>
      <c r="AE58" s="11"/>
      <c r="AF58" s="11"/>
      <c r="AG58" s="11"/>
      <c r="AH58" s="11"/>
    </row>
    <row r="60" spans="2:34" x14ac:dyDescent="0.35">
      <c r="H60" t="s">
        <v>73</v>
      </c>
      <c r="I60" t="s">
        <v>89</v>
      </c>
      <c r="J60" t="s">
        <v>75</v>
      </c>
      <c r="K60" t="s">
        <v>89</v>
      </c>
      <c r="L60" t="s">
        <v>114</v>
      </c>
      <c r="M60" t="s">
        <v>115</v>
      </c>
      <c r="N60" t="s">
        <v>116</v>
      </c>
      <c r="O60" t="s">
        <v>123</v>
      </c>
      <c r="P60" t="s">
        <v>124</v>
      </c>
    </row>
    <row r="61" spans="2:34" x14ac:dyDescent="0.35">
      <c r="H61" t="s">
        <v>74</v>
      </c>
      <c r="I61" t="s">
        <v>89</v>
      </c>
      <c r="J61" t="s">
        <v>74</v>
      </c>
      <c r="K61" t="s">
        <v>74</v>
      </c>
      <c r="L61" t="s">
        <v>110</v>
      </c>
      <c r="M61" t="s">
        <v>117</v>
      </c>
      <c r="N61" t="s">
        <v>118</v>
      </c>
      <c r="O61" t="s">
        <v>125</v>
      </c>
      <c r="P61" t="s">
        <v>126</v>
      </c>
    </row>
    <row r="62" spans="2:34" x14ac:dyDescent="0.35">
      <c r="H62" t="s">
        <v>75</v>
      </c>
      <c r="I62" t="s">
        <v>89</v>
      </c>
      <c r="J62" t="s">
        <v>73</v>
      </c>
      <c r="K62" t="s">
        <v>89</v>
      </c>
      <c r="L62" t="s">
        <v>111</v>
      </c>
      <c r="M62" t="s">
        <v>119</v>
      </c>
      <c r="N62" t="s">
        <v>120</v>
      </c>
      <c r="O62" t="s">
        <v>127</v>
      </c>
      <c r="P62" t="s">
        <v>128</v>
      </c>
    </row>
    <row r="63" spans="2:34" x14ac:dyDescent="0.35">
      <c r="H63" t="s">
        <v>75</v>
      </c>
      <c r="I63" t="s">
        <v>75</v>
      </c>
      <c r="J63" t="s">
        <v>75</v>
      </c>
      <c r="K63" t="s">
        <v>88</v>
      </c>
      <c r="L63" t="s">
        <v>112</v>
      </c>
      <c r="M63" t="s">
        <v>121</v>
      </c>
      <c r="N63" t="s">
        <v>122</v>
      </c>
      <c r="O63" t="s">
        <v>129</v>
      </c>
      <c r="P63" t="s">
        <v>130</v>
      </c>
    </row>
    <row r="64" spans="2:34" x14ac:dyDescent="0.35">
      <c r="L64" t="s">
        <v>113</v>
      </c>
    </row>
    <row r="65" spans="2:22" x14ac:dyDescent="0.35">
      <c r="B65" s="30" t="s">
        <v>97</v>
      </c>
      <c r="C65" t="s">
        <v>94</v>
      </c>
    </row>
    <row r="66" spans="2:22" x14ac:dyDescent="0.35">
      <c r="C66" s="11">
        <v>1.3776176</v>
      </c>
      <c r="D66" s="11">
        <v>1.178923E-2</v>
      </c>
      <c r="E66" s="11">
        <v>0.5663106</v>
      </c>
      <c r="F66" s="11">
        <v>1.178923E-2</v>
      </c>
      <c r="G66" s="11">
        <v>1.178923E-2</v>
      </c>
      <c r="H66" s="11">
        <v>0.5663106</v>
      </c>
      <c r="J66" s="11">
        <f>20/C66</f>
        <v>14.517816845545527</v>
      </c>
      <c r="K66" s="11">
        <f t="shared" ref="K66:O66" si="40">20/D66</f>
        <v>1696.4636367260628</v>
      </c>
      <c r="L66" s="11">
        <f t="shared" si="40"/>
        <v>35.316308753535601</v>
      </c>
      <c r="M66" s="11">
        <f t="shared" si="40"/>
        <v>1696.4636367260628</v>
      </c>
      <c r="N66" s="11">
        <f t="shared" si="40"/>
        <v>1696.4636367260628</v>
      </c>
      <c r="O66" s="11">
        <f t="shared" si="40"/>
        <v>35.316308753535601</v>
      </c>
      <c r="Q66" s="11">
        <f>200/J66</f>
        <v>13.776176000000001</v>
      </c>
      <c r="R66" s="11">
        <f t="shared" ref="R66:V66" si="41">200/K66</f>
        <v>0.11789229999999999</v>
      </c>
      <c r="S66" s="11">
        <f t="shared" si="41"/>
        <v>5.6631060000000009</v>
      </c>
      <c r="T66" s="11">
        <f t="shared" si="41"/>
        <v>0.11789229999999999</v>
      </c>
      <c r="U66" s="11">
        <f t="shared" si="41"/>
        <v>0.11789229999999999</v>
      </c>
      <c r="V66" s="11">
        <f t="shared" si="41"/>
        <v>5.6631060000000009</v>
      </c>
    </row>
    <row r="67" spans="2:22" x14ac:dyDescent="0.35">
      <c r="C67" s="11">
        <v>0.5663106</v>
      </c>
      <c r="D67" s="11">
        <v>0.80009779999999997</v>
      </c>
      <c r="E67" s="11">
        <v>0.5663106</v>
      </c>
      <c r="F67" s="11">
        <v>0.18228548999999999</v>
      </c>
      <c r="G67" s="11">
        <v>1.178923E-2</v>
      </c>
      <c r="H67" s="11">
        <v>0.37601321999999998</v>
      </c>
      <c r="J67" s="11">
        <f t="shared" ref="J67:J71" si="42">20/C67</f>
        <v>35.316308753535601</v>
      </c>
      <c r="K67" s="11">
        <f t="shared" ref="K67:K71" si="43">20/D67</f>
        <v>24.996944123580892</v>
      </c>
      <c r="L67" s="11">
        <f t="shared" ref="L67:L71" si="44">20/E67</f>
        <v>35.316308753535601</v>
      </c>
      <c r="M67" s="11">
        <f t="shared" ref="M67:M71" si="45">20/F67</f>
        <v>109.71800333641477</v>
      </c>
      <c r="N67" s="11">
        <f t="shared" ref="N67:N71" si="46">20/G67</f>
        <v>1696.4636367260628</v>
      </c>
      <c r="O67" s="11">
        <f t="shared" ref="O67:O71" si="47">20/H67</f>
        <v>53.189619237323626</v>
      </c>
      <c r="Q67" s="11">
        <f t="shared" ref="Q67:Q71" si="48">200/J67</f>
        <v>5.6631060000000009</v>
      </c>
      <c r="R67" s="11">
        <f t="shared" ref="R67:R71" si="49">200/K67</f>
        <v>8.0009779999999999</v>
      </c>
      <c r="S67" s="11">
        <f t="shared" ref="S67:S71" si="50">200/L67</f>
        <v>5.6631060000000009</v>
      </c>
      <c r="T67" s="11">
        <f t="shared" ref="T67:T71" si="51">200/M67</f>
        <v>1.8228548999999998</v>
      </c>
      <c r="U67" s="11">
        <f t="shared" ref="U67:U71" si="52">200/N67</f>
        <v>0.11789229999999999</v>
      </c>
      <c r="V67" s="11">
        <f t="shared" ref="V67:V71" si="53">200/O67</f>
        <v>3.7601321999999997</v>
      </c>
    </row>
    <row r="68" spans="2:22" x14ac:dyDescent="0.35">
      <c r="C68" s="11">
        <v>0.5663106</v>
      </c>
      <c r="D68" s="11">
        <v>0.80009779999999997</v>
      </c>
      <c r="E68" s="11">
        <v>1.0148311000000001</v>
      </c>
      <c r="F68" s="11">
        <v>0.5663106</v>
      </c>
      <c r="G68" s="11">
        <v>0.5663106</v>
      </c>
      <c r="H68" s="11">
        <v>0.5663106</v>
      </c>
      <c r="J68" s="11">
        <f t="shared" si="42"/>
        <v>35.316308753535601</v>
      </c>
      <c r="K68" s="11">
        <f t="shared" si="43"/>
        <v>24.996944123580892</v>
      </c>
      <c r="L68" s="11">
        <f t="shared" si="44"/>
        <v>19.707712938635797</v>
      </c>
      <c r="M68" s="11">
        <f t="shared" si="45"/>
        <v>35.316308753535601</v>
      </c>
      <c r="N68" s="11">
        <f t="shared" si="46"/>
        <v>35.316308753535601</v>
      </c>
      <c r="O68" s="11">
        <f t="shared" si="47"/>
        <v>35.316308753535601</v>
      </c>
      <c r="Q68" s="11">
        <f t="shared" si="48"/>
        <v>5.6631060000000009</v>
      </c>
      <c r="R68" s="11">
        <f t="shared" si="49"/>
        <v>8.0009779999999999</v>
      </c>
      <c r="S68" s="11">
        <f t="shared" si="50"/>
        <v>10.148311000000001</v>
      </c>
      <c r="T68" s="11">
        <f t="shared" si="51"/>
        <v>5.6631060000000009</v>
      </c>
      <c r="U68" s="11">
        <f t="shared" si="52"/>
        <v>5.6631060000000009</v>
      </c>
      <c r="V68" s="11">
        <f t="shared" si="53"/>
        <v>5.6631060000000009</v>
      </c>
    </row>
    <row r="69" spans="2:22" x14ac:dyDescent="0.35">
      <c r="C69" s="11">
        <v>1.178923E-2</v>
      </c>
      <c r="D69" s="11">
        <v>1.178923E-2</v>
      </c>
      <c r="E69" s="11">
        <v>0.37601321999999998</v>
      </c>
      <c r="F69" s="11">
        <v>0.80009779999999997</v>
      </c>
      <c r="G69" s="11">
        <v>0.5663106</v>
      </c>
      <c r="H69" s="11">
        <v>0.37601321999999998</v>
      </c>
      <c r="J69" s="11">
        <f t="shared" si="42"/>
        <v>1696.4636367260628</v>
      </c>
      <c r="K69" s="11">
        <f t="shared" si="43"/>
        <v>1696.4636367260628</v>
      </c>
      <c r="L69" s="11">
        <f t="shared" si="44"/>
        <v>53.189619237323626</v>
      </c>
      <c r="M69" s="11">
        <f t="shared" si="45"/>
        <v>24.996944123580892</v>
      </c>
      <c r="N69" s="11">
        <f t="shared" si="46"/>
        <v>35.316308753535601</v>
      </c>
      <c r="O69" s="11">
        <f t="shared" si="47"/>
        <v>53.189619237323626</v>
      </c>
      <c r="Q69" s="11">
        <f t="shared" si="48"/>
        <v>0.11789229999999999</v>
      </c>
      <c r="R69" s="11">
        <f t="shared" si="49"/>
        <v>0.11789229999999999</v>
      </c>
      <c r="S69" s="11">
        <f t="shared" si="50"/>
        <v>3.7601321999999997</v>
      </c>
      <c r="T69" s="11">
        <f t="shared" si="51"/>
        <v>8.0009779999999999</v>
      </c>
      <c r="U69" s="11">
        <f t="shared" si="52"/>
        <v>5.6631060000000009</v>
      </c>
      <c r="V69" s="11">
        <f t="shared" si="53"/>
        <v>3.7601321999999997</v>
      </c>
    </row>
    <row r="70" spans="2:22" x14ac:dyDescent="0.35">
      <c r="C70" s="11">
        <v>1.178923E-2</v>
      </c>
      <c r="D70" s="11">
        <v>0.5663106</v>
      </c>
      <c r="E70" s="11">
        <v>0.37601321999999998</v>
      </c>
      <c r="F70" s="11">
        <v>0.37601321999999998</v>
      </c>
      <c r="G70" s="11">
        <v>1.3776176</v>
      </c>
      <c r="H70" s="11">
        <v>0.5663106</v>
      </c>
      <c r="J70" s="11">
        <f t="shared" si="42"/>
        <v>1696.4636367260628</v>
      </c>
      <c r="K70" s="11">
        <f t="shared" si="43"/>
        <v>35.316308753535601</v>
      </c>
      <c r="L70" s="11">
        <f t="shared" si="44"/>
        <v>53.189619237323626</v>
      </c>
      <c r="M70" s="11">
        <f t="shared" si="45"/>
        <v>53.189619237323626</v>
      </c>
      <c r="N70" s="11">
        <f t="shared" si="46"/>
        <v>14.517816845545527</v>
      </c>
      <c r="O70" s="11">
        <f t="shared" si="47"/>
        <v>35.316308753535601</v>
      </c>
      <c r="Q70" s="11">
        <f t="shared" si="48"/>
        <v>0.11789229999999999</v>
      </c>
      <c r="R70" s="11">
        <f t="shared" si="49"/>
        <v>5.6631060000000009</v>
      </c>
      <c r="S70" s="11">
        <f t="shared" si="50"/>
        <v>3.7601321999999997</v>
      </c>
      <c r="T70" s="11">
        <f t="shared" si="51"/>
        <v>3.7601321999999997</v>
      </c>
      <c r="U70" s="11">
        <f t="shared" si="52"/>
        <v>13.776176000000001</v>
      </c>
      <c r="V70" s="11">
        <f t="shared" si="53"/>
        <v>5.6631060000000009</v>
      </c>
    </row>
    <row r="71" spans="2:22" x14ac:dyDescent="0.35">
      <c r="C71" s="11">
        <v>1.178923E-2</v>
      </c>
      <c r="D71" s="11">
        <v>0.37601321999999998</v>
      </c>
      <c r="E71" s="11">
        <v>1.178923E-2</v>
      </c>
      <c r="F71" s="11">
        <v>1.178923E-2</v>
      </c>
      <c r="G71" s="11">
        <v>0.18228548999999999</v>
      </c>
      <c r="H71" s="11">
        <v>2.9612818000000001</v>
      </c>
      <c r="J71" s="11">
        <f t="shared" si="42"/>
        <v>1696.4636367260628</v>
      </c>
      <c r="K71" s="11">
        <f t="shared" si="43"/>
        <v>53.189619237323626</v>
      </c>
      <c r="L71" s="11">
        <f t="shared" si="44"/>
        <v>1696.4636367260628</v>
      </c>
      <c r="M71" s="11">
        <f t="shared" si="45"/>
        <v>1696.4636367260628</v>
      </c>
      <c r="N71" s="11">
        <f t="shared" si="46"/>
        <v>109.71800333641477</v>
      </c>
      <c r="O71" s="11">
        <f t="shared" si="47"/>
        <v>6.7538320736648565</v>
      </c>
      <c r="Q71" s="11">
        <f t="shared" si="48"/>
        <v>0.11789229999999999</v>
      </c>
      <c r="R71" s="11">
        <f t="shared" si="49"/>
        <v>3.7601321999999997</v>
      </c>
      <c r="S71" s="11">
        <f t="shared" si="50"/>
        <v>0.11789229999999999</v>
      </c>
      <c r="T71" s="11">
        <f t="shared" si="51"/>
        <v>0.11789229999999999</v>
      </c>
      <c r="U71" s="11">
        <f t="shared" si="52"/>
        <v>1.8228548999999998</v>
      </c>
      <c r="V71" s="11">
        <f t="shared" si="53"/>
        <v>29.612818000000001</v>
      </c>
    </row>
    <row r="73" spans="2:22" x14ac:dyDescent="0.35">
      <c r="B73" s="30" t="s">
        <v>98</v>
      </c>
      <c r="C73" t="s">
        <v>96</v>
      </c>
      <c r="Q73" s="11">
        <f>SUM(Q66:Q69)</f>
        <v>25.220280300000006</v>
      </c>
      <c r="R73" s="11">
        <f t="shared" ref="R73:V73" si="54">SUM(R66:R69)</f>
        <v>16.237740600000002</v>
      </c>
      <c r="S73" s="11">
        <f t="shared" si="54"/>
        <v>25.234655200000006</v>
      </c>
      <c r="T73" s="11">
        <f t="shared" si="54"/>
        <v>15.6048312</v>
      </c>
      <c r="U73" s="11">
        <f t="shared" si="54"/>
        <v>11.561996600000001</v>
      </c>
      <c r="V73" s="11">
        <f t="shared" si="54"/>
        <v>18.8464764</v>
      </c>
    </row>
    <row r="74" spans="2:22" x14ac:dyDescent="0.35">
      <c r="C74" s="11">
        <v>1.4455500999999999</v>
      </c>
      <c r="D74" s="11">
        <v>7.8767200000000002E-3</v>
      </c>
      <c r="E74" s="11">
        <v>0.3920034</v>
      </c>
      <c r="F74" s="11">
        <v>7.8767200000000002E-3</v>
      </c>
      <c r="G74" s="11">
        <v>7.8767200000000002E-3</v>
      </c>
      <c r="H74" s="11">
        <v>0.3920034</v>
      </c>
      <c r="J74">
        <f>20/C74</f>
        <v>13.835563360965491</v>
      </c>
      <c r="K74">
        <f t="shared" ref="K74:O74" si="55">20/D74</f>
        <v>2539.1279618927674</v>
      </c>
      <c r="L74">
        <f t="shared" si="55"/>
        <v>51.019965643155139</v>
      </c>
      <c r="M74">
        <f t="shared" si="55"/>
        <v>2539.1279618927674</v>
      </c>
      <c r="N74">
        <f t="shared" si="55"/>
        <v>2539.1279618927674</v>
      </c>
      <c r="O74">
        <f t="shared" si="55"/>
        <v>51.019965643155139</v>
      </c>
    </row>
    <row r="75" spans="2:22" x14ac:dyDescent="0.35">
      <c r="C75" s="11">
        <v>0.65096927000000004</v>
      </c>
      <c r="D75" s="11">
        <v>0.97811700000000001</v>
      </c>
      <c r="E75" s="11">
        <v>0.3920034</v>
      </c>
      <c r="F75" s="11">
        <v>7.8767200000000002E-3</v>
      </c>
      <c r="G75" s="11">
        <v>7.8767200000000002E-3</v>
      </c>
      <c r="H75" s="11">
        <v>0.3920034</v>
      </c>
      <c r="J75">
        <f t="shared" ref="J75:J79" si="56">20/C75</f>
        <v>30.723416483238907</v>
      </c>
      <c r="K75">
        <f t="shared" ref="K75:K79" si="57">20/D75</f>
        <v>20.447451582990581</v>
      </c>
      <c r="L75">
        <f t="shared" ref="L75:L79" si="58">20/E75</f>
        <v>51.019965643155139</v>
      </c>
      <c r="M75">
        <f t="shared" ref="M75:M79" si="59">20/F75</f>
        <v>2539.1279618927674</v>
      </c>
      <c r="N75">
        <f t="shared" ref="N75:N79" si="60">20/G75</f>
        <v>2539.1279618927674</v>
      </c>
      <c r="O75">
        <f t="shared" ref="O75:O79" si="61">20/H75</f>
        <v>51.019965643155139</v>
      </c>
    </row>
    <row r="76" spans="2:22" x14ac:dyDescent="0.35">
      <c r="C76" s="11">
        <v>7.8767200000000002E-3</v>
      </c>
      <c r="D76" s="11">
        <v>0.20257422</v>
      </c>
      <c r="E76" s="11">
        <v>0.65096927000000004</v>
      </c>
      <c r="F76" s="11">
        <v>0.65096927000000004</v>
      </c>
      <c r="G76" s="11">
        <v>0.3920034</v>
      </c>
      <c r="H76" s="11">
        <v>0.20257422</v>
      </c>
      <c r="J76">
        <f t="shared" si="56"/>
        <v>2539.1279618927674</v>
      </c>
      <c r="K76">
        <f t="shared" si="57"/>
        <v>98.729246001786407</v>
      </c>
      <c r="L76">
        <f t="shared" si="58"/>
        <v>30.723416483238907</v>
      </c>
      <c r="M76">
        <f t="shared" si="59"/>
        <v>30.723416483238907</v>
      </c>
      <c r="N76">
        <f t="shared" si="60"/>
        <v>51.019965643155139</v>
      </c>
      <c r="O76">
        <f t="shared" si="61"/>
        <v>98.729246001786407</v>
      </c>
    </row>
    <row r="77" spans="2:22" x14ac:dyDescent="0.35">
      <c r="C77" s="11">
        <v>0.20257422</v>
      </c>
      <c r="D77" s="11">
        <v>7.8767200000000002E-3</v>
      </c>
      <c r="E77" s="11">
        <v>0.65096927000000004</v>
      </c>
      <c r="F77" s="11">
        <v>0.97811700000000001</v>
      </c>
      <c r="G77" s="11">
        <v>0.65096927000000004</v>
      </c>
      <c r="H77" s="11">
        <v>0.3920034</v>
      </c>
      <c r="J77">
        <f t="shared" si="56"/>
        <v>98.729246001786407</v>
      </c>
      <c r="K77">
        <f t="shared" si="57"/>
        <v>2539.1279618927674</v>
      </c>
      <c r="L77">
        <f t="shared" si="58"/>
        <v>30.723416483238907</v>
      </c>
      <c r="M77">
        <f t="shared" si="59"/>
        <v>20.447451582990581</v>
      </c>
      <c r="N77">
        <f t="shared" si="60"/>
        <v>30.723416483238907</v>
      </c>
      <c r="O77">
        <f t="shared" si="61"/>
        <v>51.019965643155139</v>
      </c>
    </row>
    <row r="78" spans="2:22" x14ac:dyDescent="0.35">
      <c r="C78" s="11">
        <v>0.20257422</v>
      </c>
      <c r="D78" s="11">
        <v>0.20257422</v>
      </c>
      <c r="E78" s="11">
        <v>0.65096927000000004</v>
      </c>
      <c r="F78" s="11">
        <v>7.8767200000000002E-3</v>
      </c>
      <c r="G78" s="11">
        <v>1.4455500999999999</v>
      </c>
      <c r="H78" s="11">
        <v>0.65096927000000004</v>
      </c>
      <c r="J78">
        <f t="shared" si="56"/>
        <v>98.729246001786407</v>
      </c>
      <c r="K78">
        <f t="shared" si="57"/>
        <v>98.729246001786407</v>
      </c>
      <c r="L78">
        <f t="shared" si="58"/>
        <v>30.723416483238907</v>
      </c>
      <c r="M78">
        <f t="shared" si="59"/>
        <v>2539.1279618927674</v>
      </c>
      <c r="N78">
        <f t="shared" si="60"/>
        <v>13.835563360965491</v>
      </c>
      <c r="O78">
        <f t="shared" si="61"/>
        <v>30.723416483238907</v>
      </c>
    </row>
    <row r="79" spans="2:22" x14ac:dyDescent="0.35">
      <c r="C79" s="11">
        <v>7.8767200000000002E-3</v>
      </c>
      <c r="D79" s="11">
        <v>7.8767200000000002E-3</v>
      </c>
      <c r="E79" s="11">
        <v>7.8767200000000002E-3</v>
      </c>
      <c r="F79" s="11">
        <v>0.3920034</v>
      </c>
      <c r="G79" s="11">
        <v>0.20257422</v>
      </c>
      <c r="H79" s="11">
        <v>3.1314777999999999</v>
      </c>
      <c r="J79">
        <f t="shared" si="56"/>
        <v>2539.1279618927674</v>
      </c>
      <c r="K79">
        <f t="shared" si="57"/>
        <v>2539.1279618927674</v>
      </c>
      <c r="L79">
        <f t="shared" si="58"/>
        <v>2539.1279618927674</v>
      </c>
      <c r="M79">
        <f t="shared" si="59"/>
        <v>51.019965643155139</v>
      </c>
      <c r="N79">
        <f t="shared" si="60"/>
        <v>98.729246001786407</v>
      </c>
      <c r="O79">
        <f t="shared" si="61"/>
        <v>6.3867609088590696</v>
      </c>
    </row>
    <row r="81" spans="2:22" x14ac:dyDescent="0.35">
      <c r="B81" s="30" t="s">
        <v>99</v>
      </c>
      <c r="C81" t="s">
        <v>93</v>
      </c>
    </row>
    <row r="82" spans="2:22" x14ac:dyDescent="0.35">
      <c r="C82" s="11">
        <v>1.7114301000000001</v>
      </c>
      <c r="D82" s="11">
        <v>0.30079535000000002</v>
      </c>
      <c r="E82" s="11">
        <v>0.73391293999999996</v>
      </c>
      <c r="F82" s="11">
        <v>0.30079535000000002</v>
      </c>
      <c r="G82" s="11">
        <v>1.8291829999999999E-2</v>
      </c>
      <c r="H82" s="11">
        <v>0.54102545999999996</v>
      </c>
      <c r="J82" s="11">
        <f>16/C82</f>
        <v>9.348906508071817</v>
      </c>
      <c r="K82" s="11">
        <f t="shared" ref="K82:O82" si="62">16/D82</f>
        <v>53.192311649764527</v>
      </c>
      <c r="L82" s="11">
        <f t="shared" si="62"/>
        <v>21.80095094112934</v>
      </c>
      <c r="M82" s="11">
        <f t="shared" si="62"/>
        <v>53.192311649764527</v>
      </c>
      <c r="N82" s="11">
        <f t="shared" si="62"/>
        <v>874.70745135943207</v>
      </c>
      <c r="O82" s="11">
        <f t="shared" si="62"/>
        <v>29.57346961083865</v>
      </c>
      <c r="Q82" s="11" t="s">
        <v>95</v>
      </c>
      <c r="R82" s="11"/>
      <c r="S82" s="11"/>
      <c r="T82" s="11"/>
      <c r="U82" s="11"/>
      <c r="V82" s="11"/>
    </row>
    <row r="83" spans="2:22" x14ac:dyDescent="0.35">
      <c r="C83" s="11">
        <v>0.54102545999999996</v>
      </c>
      <c r="D83" s="11">
        <v>1.2590262999999999</v>
      </c>
      <c r="E83" s="11">
        <v>0.54102545999999996</v>
      </c>
      <c r="F83" s="11">
        <v>1.8291829999999999E-2</v>
      </c>
      <c r="G83" s="11">
        <v>0.30079535000000002</v>
      </c>
      <c r="H83" s="11">
        <v>0.54102545999999996</v>
      </c>
      <c r="J83" s="11">
        <f t="shared" ref="J83:J87" si="63">16/C83</f>
        <v>29.57346961083865</v>
      </c>
      <c r="K83" s="11">
        <f t="shared" ref="K83:K87" si="64">16/D83</f>
        <v>12.708233338731686</v>
      </c>
      <c r="L83" s="11">
        <f t="shared" ref="L83:L87" si="65">16/E83</f>
        <v>29.57346961083865</v>
      </c>
      <c r="M83" s="11">
        <f t="shared" ref="M83:M87" si="66">16/F83</f>
        <v>874.70745135943207</v>
      </c>
      <c r="N83" s="11">
        <f t="shared" ref="N83:N87" si="67">16/G83</f>
        <v>53.192311649764527</v>
      </c>
      <c r="O83" s="11">
        <f t="shared" ref="O83:O87" si="68">16/H83</f>
        <v>29.57346961083865</v>
      </c>
      <c r="Q83" s="11"/>
      <c r="R83" s="11"/>
      <c r="S83" s="11"/>
      <c r="T83" s="11"/>
      <c r="U83" s="11"/>
      <c r="V83" s="11"/>
    </row>
    <row r="84" spans="2:22" x14ac:dyDescent="0.35">
      <c r="C84" s="11">
        <v>0.54102545999999996</v>
      </c>
      <c r="D84" s="11">
        <v>0.30079535000000002</v>
      </c>
      <c r="E84" s="11">
        <v>0.73391293999999996</v>
      </c>
      <c r="F84" s="11">
        <v>0.30079535000000002</v>
      </c>
      <c r="G84" s="11">
        <v>0.30079535000000002</v>
      </c>
      <c r="H84" s="11">
        <v>0.30079535000000002</v>
      </c>
      <c r="J84" s="11">
        <f t="shared" si="63"/>
        <v>29.57346961083865</v>
      </c>
      <c r="K84" s="11">
        <f t="shared" si="64"/>
        <v>53.192311649764527</v>
      </c>
      <c r="L84" s="11">
        <f t="shared" si="65"/>
        <v>21.80095094112934</v>
      </c>
      <c r="M84" s="11">
        <f t="shared" si="66"/>
        <v>53.192311649764527</v>
      </c>
      <c r="N84" s="11">
        <f t="shared" si="67"/>
        <v>53.192311649764527</v>
      </c>
      <c r="O84" s="11">
        <f t="shared" si="68"/>
        <v>53.192311649764527</v>
      </c>
      <c r="Q84" s="11"/>
      <c r="R84" s="11"/>
      <c r="S84" s="11"/>
      <c r="T84" s="11"/>
      <c r="U84" s="11"/>
      <c r="V84" s="11"/>
    </row>
    <row r="85" spans="2:22" x14ac:dyDescent="0.35">
      <c r="C85" s="11">
        <v>1.8291829999999999E-2</v>
      </c>
      <c r="D85" s="11">
        <v>1.8291829999999999E-2</v>
      </c>
      <c r="E85" s="11">
        <v>0.54102545999999996</v>
      </c>
      <c r="F85" s="11">
        <v>1.2590262999999999</v>
      </c>
      <c r="G85" s="11">
        <v>0.73391293999999996</v>
      </c>
      <c r="H85" s="11">
        <v>0.54102545999999996</v>
      </c>
      <c r="J85" s="11">
        <f t="shared" si="63"/>
        <v>874.70745135943207</v>
      </c>
      <c r="K85" s="11">
        <f t="shared" si="64"/>
        <v>874.70745135943207</v>
      </c>
      <c r="L85" s="11">
        <f t="shared" si="65"/>
        <v>29.57346961083865</v>
      </c>
      <c r="M85" s="11">
        <f t="shared" si="66"/>
        <v>12.708233338731686</v>
      </c>
      <c r="N85" s="11">
        <f t="shared" si="67"/>
        <v>21.80095094112934</v>
      </c>
      <c r="O85" s="11">
        <f t="shared" si="68"/>
        <v>29.57346961083865</v>
      </c>
      <c r="Q85" s="11"/>
      <c r="R85" s="11"/>
      <c r="S85" s="11"/>
      <c r="T85" s="11"/>
      <c r="U85" s="11"/>
      <c r="V85" s="11"/>
    </row>
    <row r="86" spans="2:22" x14ac:dyDescent="0.35">
      <c r="C86" s="11">
        <v>1.8291829999999999E-2</v>
      </c>
      <c r="D86" s="11">
        <v>0.30079535000000002</v>
      </c>
      <c r="E86" s="11">
        <v>0.30079535000000002</v>
      </c>
      <c r="F86" s="11">
        <v>1.8291829999999999E-2</v>
      </c>
      <c r="G86" s="11">
        <v>1.2590262999999999</v>
      </c>
      <c r="H86" s="11">
        <v>0.54102545999999996</v>
      </c>
      <c r="J86" s="11">
        <f t="shared" si="63"/>
        <v>874.70745135943207</v>
      </c>
      <c r="K86" s="11">
        <f t="shared" si="64"/>
        <v>53.192311649764527</v>
      </c>
      <c r="L86" s="11">
        <f t="shared" si="65"/>
        <v>53.192311649764527</v>
      </c>
      <c r="M86" s="11">
        <f t="shared" si="66"/>
        <v>874.70745135943207</v>
      </c>
      <c r="N86" s="11">
        <f t="shared" si="67"/>
        <v>12.708233338731686</v>
      </c>
      <c r="O86" s="11">
        <f t="shared" si="68"/>
        <v>29.57346961083865</v>
      </c>
      <c r="Q86" s="11"/>
      <c r="R86" s="11"/>
      <c r="S86" s="11"/>
      <c r="T86" s="11"/>
      <c r="U86" s="11"/>
      <c r="V86" s="11"/>
    </row>
    <row r="87" spans="2:22" x14ac:dyDescent="0.35">
      <c r="C87" s="11">
        <v>1.8291829999999999E-2</v>
      </c>
      <c r="D87" s="11">
        <v>0.30079535000000002</v>
      </c>
      <c r="E87" s="11">
        <v>0.30079535000000002</v>
      </c>
      <c r="F87" s="11">
        <v>1.8291829999999999E-2</v>
      </c>
      <c r="G87" s="11">
        <v>0.30079535000000002</v>
      </c>
      <c r="H87" s="11">
        <v>2.9955729999999998</v>
      </c>
      <c r="J87" s="11">
        <f t="shared" si="63"/>
        <v>874.70745135943207</v>
      </c>
      <c r="K87" s="11">
        <f t="shared" si="64"/>
        <v>53.192311649764527</v>
      </c>
      <c r="L87" s="11">
        <f t="shared" si="65"/>
        <v>53.192311649764527</v>
      </c>
      <c r="M87" s="11">
        <f t="shared" si="66"/>
        <v>874.70745135943207</v>
      </c>
      <c r="N87" s="11">
        <f t="shared" si="67"/>
        <v>53.192311649764527</v>
      </c>
      <c r="O87" s="11">
        <f t="shared" si="68"/>
        <v>5.3412151865436099</v>
      </c>
      <c r="Q87" s="11"/>
      <c r="R87" s="11"/>
      <c r="S87" s="11"/>
      <c r="T87" s="11"/>
      <c r="U87" s="11"/>
      <c r="V87" s="11"/>
    </row>
    <row r="88" spans="2:22" x14ac:dyDescent="0.35">
      <c r="Q88" s="11"/>
      <c r="R88" s="11"/>
      <c r="S88" s="11"/>
      <c r="T88" s="11"/>
      <c r="U88" s="11"/>
      <c r="V88" s="11"/>
    </row>
    <row r="89" spans="2:22" x14ac:dyDescent="0.35">
      <c r="J89">
        <v>10</v>
      </c>
      <c r="K89">
        <v>50</v>
      </c>
      <c r="L89">
        <v>20</v>
      </c>
      <c r="M89">
        <v>50</v>
      </c>
      <c r="N89">
        <v>100</v>
      </c>
      <c r="O89">
        <v>30</v>
      </c>
      <c r="Q89">
        <f>200/J89</f>
        <v>20</v>
      </c>
      <c r="R89">
        <f t="shared" ref="R89:V89" si="69">200/K89</f>
        <v>4</v>
      </c>
      <c r="S89">
        <f t="shared" si="69"/>
        <v>10</v>
      </c>
      <c r="T89">
        <f t="shared" si="69"/>
        <v>4</v>
      </c>
      <c r="U89">
        <f t="shared" si="69"/>
        <v>2</v>
      </c>
      <c r="V89">
        <f t="shared" si="69"/>
        <v>6.666666666666667</v>
      </c>
    </row>
    <row r="90" spans="2:22" x14ac:dyDescent="0.35">
      <c r="J90">
        <v>30</v>
      </c>
      <c r="K90">
        <v>13</v>
      </c>
      <c r="L90">
        <v>30</v>
      </c>
      <c r="M90">
        <v>100</v>
      </c>
      <c r="N90">
        <v>50</v>
      </c>
      <c r="O90">
        <v>30</v>
      </c>
      <c r="Q90">
        <f t="shared" ref="Q90:Q94" si="70">200/J90</f>
        <v>6.666666666666667</v>
      </c>
      <c r="R90">
        <f t="shared" ref="R90:R94" si="71">200/K90</f>
        <v>15.384615384615385</v>
      </c>
      <c r="S90">
        <f t="shared" ref="S90:S94" si="72">200/L90</f>
        <v>6.666666666666667</v>
      </c>
      <c r="T90">
        <f t="shared" ref="T90:T94" si="73">200/M90</f>
        <v>2</v>
      </c>
      <c r="U90">
        <f t="shared" ref="U90:U94" si="74">200/N90</f>
        <v>4</v>
      </c>
      <c r="V90">
        <f t="shared" ref="V90:V94" si="75">200/O90</f>
        <v>6.666666666666667</v>
      </c>
    </row>
    <row r="91" spans="2:22" x14ac:dyDescent="0.35">
      <c r="J91">
        <v>30</v>
      </c>
      <c r="K91">
        <v>50</v>
      </c>
      <c r="L91">
        <v>20</v>
      </c>
      <c r="M91">
        <v>50</v>
      </c>
      <c r="N91">
        <v>50</v>
      </c>
      <c r="O91">
        <v>50</v>
      </c>
      <c r="Q91">
        <f t="shared" si="70"/>
        <v>6.666666666666667</v>
      </c>
      <c r="R91">
        <f t="shared" si="71"/>
        <v>4</v>
      </c>
      <c r="S91">
        <f t="shared" si="72"/>
        <v>10</v>
      </c>
      <c r="T91">
        <f t="shared" si="73"/>
        <v>4</v>
      </c>
      <c r="U91">
        <f t="shared" si="74"/>
        <v>4</v>
      </c>
      <c r="V91">
        <f t="shared" si="75"/>
        <v>4</v>
      </c>
    </row>
    <row r="92" spans="2:22" x14ac:dyDescent="0.35">
      <c r="J92">
        <v>100</v>
      </c>
      <c r="K92">
        <v>100</v>
      </c>
      <c r="L92">
        <v>30</v>
      </c>
      <c r="M92">
        <v>13</v>
      </c>
      <c r="N92">
        <v>20</v>
      </c>
      <c r="O92">
        <v>30</v>
      </c>
      <c r="Q92">
        <f t="shared" si="70"/>
        <v>2</v>
      </c>
      <c r="R92">
        <f t="shared" si="71"/>
        <v>2</v>
      </c>
      <c r="S92">
        <f t="shared" si="72"/>
        <v>6.666666666666667</v>
      </c>
      <c r="T92">
        <f t="shared" si="73"/>
        <v>15.384615384615385</v>
      </c>
      <c r="U92">
        <f t="shared" si="74"/>
        <v>10</v>
      </c>
      <c r="V92">
        <f t="shared" si="75"/>
        <v>6.666666666666667</v>
      </c>
    </row>
    <row r="93" spans="2:22" x14ac:dyDescent="0.35">
      <c r="J93">
        <v>100</v>
      </c>
      <c r="K93">
        <v>50</v>
      </c>
      <c r="L93">
        <v>50</v>
      </c>
      <c r="M93">
        <v>100</v>
      </c>
      <c r="N93">
        <v>13</v>
      </c>
      <c r="O93">
        <v>30</v>
      </c>
      <c r="Q93">
        <f t="shared" si="70"/>
        <v>2</v>
      </c>
      <c r="R93">
        <f t="shared" si="71"/>
        <v>4</v>
      </c>
      <c r="S93">
        <f t="shared" si="72"/>
        <v>4</v>
      </c>
      <c r="T93">
        <f t="shared" si="73"/>
        <v>2</v>
      </c>
      <c r="U93">
        <f t="shared" si="74"/>
        <v>15.384615384615385</v>
      </c>
      <c r="V93">
        <f t="shared" si="75"/>
        <v>6.666666666666667</v>
      </c>
    </row>
    <row r="94" spans="2:22" x14ac:dyDescent="0.35">
      <c r="J94">
        <v>100</v>
      </c>
      <c r="K94">
        <v>50</v>
      </c>
      <c r="L94">
        <v>50</v>
      </c>
      <c r="M94">
        <v>100</v>
      </c>
      <c r="N94">
        <v>50</v>
      </c>
      <c r="O94">
        <v>6</v>
      </c>
      <c r="Q94">
        <f t="shared" si="70"/>
        <v>2</v>
      </c>
      <c r="R94">
        <f t="shared" si="71"/>
        <v>4</v>
      </c>
      <c r="S94">
        <f t="shared" si="72"/>
        <v>4</v>
      </c>
      <c r="T94">
        <f t="shared" si="73"/>
        <v>2</v>
      </c>
      <c r="U94">
        <f t="shared" si="74"/>
        <v>4</v>
      </c>
      <c r="V94">
        <f t="shared" si="75"/>
        <v>33.333333333333336</v>
      </c>
    </row>
    <row r="96" spans="2:22" x14ac:dyDescent="0.35">
      <c r="Q96">
        <f>SUM(Q90:Q92)</f>
        <v>15.333333333333334</v>
      </c>
      <c r="R96">
        <f t="shared" ref="R96:V96" si="76">SUM(R90:R92)</f>
        <v>21.384615384615387</v>
      </c>
      <c r="S96">
        <f t="shared" si="76"/>
        <v>23.333333333333336</v>
      </c>
      <c r="T96">
        <f t="shared" si="76"/>
        <v>21.384615384615387</v>
      </c>
      <c r="U96">
        <f t="shared" si="76"/>
        <v>18</v>
      </c>
      <c r="V96">
        <f t="shared" si="76"/>
        <v>17.333333333333336</v>
      </c>
    </row>
    <row r="99" spans="1:40" x14ac:dyDescent="0.35">
      <c r="A99" t="s">
        <v>101</v>
      </c>
      <c r="C99" t="s">
        <v>93</v>
      </c>
      <c r="Q99" t="s">
        <v>100</v>
      </c>
    </row>
    <row r="100" spans="1:40" x14ac:dyDescent="0.35">
      <c r="C100">
        <v>0.72803530000000005</v>
      </c>
      <c r="D100">
        <v>0.72803530000000005</v>
      </c>
      <c r="E100">
        <v>0.39281874999999999</v>
      </c>
      <c r="F100">
        <v>2.1568E-2</v>
      </c>
      <c r="G100">
        <v>2.1568E-2</v>
      </c>
      <c r="H100">
        <v>0.39281874999999999</v>
      </c>
      <c r="J100">
        <f>22/C100</f>
        <v>30.218314963573878</v>
      </c>
      <c r="K100">
        <f t="shared" ref="K100:O100" si="77">22/D100</f>
        <v>30.218314963573878</v>
      </c>
      <c r="L100">
        <f t="shared" si="77"/>
        <v>56.005473262159711</v>
      </c>
      <c r="M100">
        <f t="shared" si="77"/>
        <v>1020.0296735905044</v>
      </c>
      <c r="N100">
        <f t="shared" si="77"/>
        <v>1020.0296735905044</v>
      </c>
      <c r="O100">
        <f t="shared" si="77"/>
        <v>56.005473262159711</v>
      </c>
      <c r="Q100" s="41">
        <v>19.950188007851306</v>
      </c>
      <c r="R100">
        <v>30.218314963573878</v>
      </c>
      <c r="S100">
        <v>56.005473262159711</v>
      </c>
      <c r="T100">
        <v>1020.0296735905044</v>
      </c>
      <c r="U100">
        <v>1020.0296735905044</v>
      </c>
      <c r="V100">
        <v>56.005473262159711</v>
      </c>
      <c r="X100" s="41">
        <v>20</v>
      </c>
      <c r="Y100">
        <v>30</v>
      </c>
      <c r="Z100" s="41">
        <v>56</v>
      </c>
      <c r="AA100">
        <v>100</v>
      </c>
      <c r="AB100" s="41">
        <v>100</v>
      </c>
      <c r="AC100">
        <v>56</v>
      </c>
      <c r="AE100">
        <v>8</v>
      </c>
      <c r="AF100" t="s">
        <v>104</v>
      </c>
      <c r="AI100" s="41" t="s">
        <v>115</v>
      </c>
      <c r="AJ100" t="s">
        <v>116</v>
      </c>
      <c r="AK100" s="41" t="s">
        <v>123</v>
      </c>
      <c r="AL100" t="s">
        <v>124</v>
      </c>
      <c r="AM100" s="41" t="s">
        <v>135</v>
      </c>
      <c r="AN100" t="s">
        <v>136</v>
      </c>
    </row>
    <row r="101" spans="1:40" x14ac:dyDescent="0.35">
      <c r="C101">
        <v>0.72803530000000005</v>
      </c>
      <c r="D101">
        <v>1.1027465000000001</v>
      </c>
      <c r="E101">
        <v>0.72803530000000005</v>
      </c>
      <c r="F101">
        <v>0.39281874999999999</v>
      </c>
      <c r="G101">
        <v>0.72803530000000005</v>
      </c>
      <c r="H101">
        <v>0.72803530000000005</v>
      </c>
      <c r="J101">
        <f t="shared" ref="J101:J105" si="78">22/C101</f>
        <v>30.218314963573878</v>
      </c>
      <c r="K101">
        <f t="shared" ref="K101:K105" si="79">22/D101</f>
        <v>19.950188007851306</v>
      </c>
      <c r="L101">
        <f t="shared" ref="L101:L105" si="80">22/E101</f>
        <v>30.218314963573878</v>
      </c>
      <c r="M101">
        <f t="shared" ref="M101:M105" si="81">22/F101</f>
        <v>56.005473262159711</v>
      </c>
      <c r="N101">
        <f t="shared" ref="N101:N105" si="82">22/G101</f>
        <v>30.218314963573878</v>
      </c>
      <c r="O101">
        <f t="shared" ref="O101:O105" si="83">22/H101</f>
        <v>30.218314963573878</v>
      </c>
      <c r="Q101" s="41">
        <v>56.005473262159711</v>
      </c>
      <c r="R101">
        <v>19.950188007851306</v>
      </c>
      <c r="S101">
        <v>30.218314963573878</v>
      </c>
      <c r="T101">
        <v>56.005473262159711</v>
      </c>
      <c r="U101">
        <v>30.218314963573878</v>
      </c>
      <c r="V101">
        <v>30.218314963573878</v>
      </c>
      <c r="X101" s="41">
        <v>56</v>
      </c>
      <c r="Y101">
        <v>20</v>
      </c>
      <c r="Z101" s="41">
        <v>30</v>
      </c>
      <c r="AA101">
        <v>56</v>
      </c>
      <c r="AB101" s="41">
        <v>30</v>
      </c>
      <c r="AC101">
        <v>30</v>
      </c>
      <c r="AE101">
        <v>10</v>
      </c>
      <c r="AF101" t="s">
        <v>105</v>
      </c>
      <c r="AI101" s="41" t="s">
        <v>117</v>
      </c>
      <c r="AJ101" t="s">
        <v>118</v>
      </c>
      <c r="AK101" s="41" t="s">
        <v>125</v>
      </c>
      <c r="AL101" t="s">
        <v>126</v>
      </c>
      <c r="AM101" s="41" t="s">
        <v>137</v>
      </c>
      <c r="AN101" t="s">
        <v>138</v>
      </c>
    </row>
    <row r="102" spans="1:40" x14ac:dyDescent="0.35">
      <c r="C102">
        <v>2.1568E-2</v>
      </c>
      <c r="D102">
        <v>0.39281874999999999</v>
      </c>
      <c r="E102">
        <v>2.2705275999999999</v>
      </c>
      <c r="F102">
        <v>0.39281874999999999</v>
      </c>
      <c r="G102">
        <v>0.39281874999999999</v>
      </c>
      <c r="H102">
        <v>1.1027465000000001</v>
      </c>
      <c r="J102">
        <f t="shared" si="78"/>
        <v>1020.0296735905044</v>
      </c>
      <c r="K102">
        <f t="shared" si="79"/>
        <v>56.005473262159711</v>
      </c>
      <c r="L102">
        <f t="shared" si="80"/>
        <v>9.6893779225586165</v>
      </c>
      <c r="M102">
        <f t="shared" si="81"/>
        <v>56.005473262159711</v>
      </c>
      <c r="N102">
        <f t="shared" si="82"/>
        <v>56.005473262159711</v>
      </c>
      <c r="O102">
        <f t="shared" si="83"/>
        <v>19.950188007851306</v>
      </c>
      <c r="Q102">
        <v>1020.0296735905044</v>
      </c>
      <c r="R102">
        <v>56.005473262159711</v>
      </c>
      <c r="S102">
        <v>9.6893779225586165</v>
      </c>
      <c r="T102">
        <v>56.005473262159711</v>
      </c>
      <c r="U102">
        <v>56.005473262159711</v>
      </c>
      <c r="V102">
        <v>19.950188007851306</v>
      </c>
      <c r="X102" s="41">
        <v>100</v>
      </c>
      <c r="Y102">
        <v>56</v>
      </c>
      <c r="Z102" s="41">
        <v>10</v>
      </c>
      <c r="AA102">
        <v>56</v>
      </c>
      <c r="AB102" s="41">
        <v>56</v>
      </c>
      <c r="AC102">
        <v>20</v>
      </c>
      <c r="AE102">
        <v>20</v>
      </c>
      <c r="AF102" t="s">
        <v>106</v>
      </c>
      <c r="AI102" s="41" t="s">
        <v>119</v>
      </c>
      <c r="AJ102" t="s">
        <v>120</v>
      </c>
      <c r="AK102" s="41" t="s">
        <v>127</v>
      </c>
      <c r="AL102" t="s">
        <v>128</v>
      </c>
      <c r="AM102" s="41" t="s">
        <v>139</v>
      </c>
      <c r="AN102" t="s">
        <v>140</v>
      </c>
    </row>
    <row r="103" spans="1:40" x14ac:dyDescent="0.35">
      <c r="C103">
        <v>2.1568E-2</v>
      </c>
      <c r="D103">
        <v>2.1568E-2</v>
      </c>
      <c r="E103">
        <v>0.72803530000000005</v>
      </c>
      <c r="F103">
        <v>1.1027465000000001</v>
      </c>
      <c r="G103">
        <v>2.1568E-2</v>
      </c>
      <c r="H103">
        <v>0.72803530000000005</v>
      </c>
      <c r="J103">
        <f t="shared" si="78"/>
        <v>1020.0296735905044</v>
      </c>
      <c r="K103">
        <f t="shared" si="79"/>
        <v>1020.0296735905044</v>
      </c>
      <c r="L103">
        <f t="shared" si="80"/>
        <v>30.218314963573878</v>
      </c>
      <c r="M103">
        <f t="shared" si="81"/>
        <v>19.950188007851306</v>
      </c>
      <c r="N103">
        <f t="shared" si="82"/>
        <v>1020.0296735905044</v>
      </c>
      <c r="O103">
        <f t="shared" si="83"/>
        <v>30.218314963573878</v>
      </c>
      <c r="Q103">
        <v>1020.0296735905044</v>
      </c>
      <c r="R103">
        <v>1020.0296735905044</v>
      </c>
      <c r="S103">
        <v>30.218314963573878</v>
      </c>
      <c r="T103">
        <v>19.950188007851306</v>
      </c>
      <c r="U103">
        <v>1020.0296735905044</v>
      </c>
      <c r="V103">
        <v>30.218314963573878</v>
      </c>
      <c r="X103" s="41">
        <v>100</v>
      </c>
      <c r="Y103">
        <v>100</v>
      </c>
      <c r="Z103" s="41">
        <v>30</v>
      </c>
      <c r="AA103">
        <v>20</v>
      </c>
      <c r="AB103" s="41">
        <v>100</v>
      </c>
      <c r="AC103">
        <v>30</v>
      </c>
      <c r="AE103">
        <v>30</v>
      </c>
      <c r="AF103" t="s">
        <v>107</v>
      </c>
      <c r="AI103" s="41" t="s">
        <v>121</v>
      </c>
      <c r="AJ103" t="s">
        <v>122</v>
      </c>
      <c r="AK103" s="41" t="s">
        <v>129</v>
      </c>
      <c r="AL103" t="s">
        <v>130</v>
      </c>
      <c r="AM103" s="41" t="s">
        <v>141</v>
      </c>
      <c r="AN103" t="s">
        <v>142</v>
      </c>
    </row>
    <row r="104" spans="1:40" x14ac:dyDescent="0.35">
      <c r="C104">
        <v>0.39281874999999999</v>
      </c>
      <c r="D104">
        <v>0.39281874999999999</v>
      </c>
      <c r="E104">
        <v>0.39281874999999999</v>
      </c>
      <c r="F104">
        <v>0.39281874999999999</v>
      </c>
      <c r="G104">
        <v>0.72803530000000005</v>
      </c>
      <c r="H104">
        <v>0.39281874999999999</v>
      </c>
      <c r="J104">
        <f t="shared" si="78"/>
        <v>56.005473262159711</v>
      </c>
      <c r="K104">
        <f t="shared" si="79"/>
        <v>56.005473262159711</v>
      </c>
      <c r="L104">
        <f t="shared" si="80"/>
        <v>56.005473262159711</v>
      </c>
      <c r="M104">
        <f t="shared" si="81"/>
        <v>56.005473262159711</v>
      </c>
      <c r="N104">
        <f t="shared" si="82"/>
        <v>30.218314963573878</v>
      </c>
      <c r="O104">
        <f t="shared" si="83"/>
        <v>56.005473262159711</v>
      </c>
      <c r="Q104">
        <v>56.005473262159711</v>
      </c>
      <c r="R104">
        <v>56.005473262159711</v>
      </c>
      <c r="S104">
        <v>56.005473262159711</v>
      </c>
      <c r="T104">
        <v>56.005473262159711</v>
      </c>
      <c r="U104">
        <v>30.218314963573878</v>
      </c>
      <c r="V104">
        <v>56.005473262159711</v>
      </c>
      <c r="X104" s="41">
        <v>56</v>
      </c>
      <c r="Y104">
        <v>56</v>
      </c>
      <c r="Z104" s="41">
        <v>56</v>
      </c>
      <c r="AA104">
        <v>56</v>
      </c>
      <c r="AB104" s="41">
        <v>30</v>
      </c>
      <c r="AC104">
        <v>56</v>
      </c>
      <c r="AE104">
        <v>56</v>
      </c>
      <c r="AF104" t="s">
        <v>108</v>
      </c>
      <c r="AI104" s="41" t="s">
        <v>131</v>
      </c>
      <c r="AJ104" t="s">
        <v>132</v>
      </c>
      <c r="AK104" s="41" t="s">
        <v>143</v>
      </c>
      <c r="AL104" t="s">
        <v>144</v>
      </c>
      <c r="AM104" s="41" t="s">
        <v>145</v>
      </c>
      <c r="AN104" t="s">
        <v>146</v>
      </c>
    </row>
    <row r="105" spans="1:40" x14ac:dyDescent="0.35">
      <c r="C105">
        <v>2.1568E-2</v>
      </c>
      <c r="D105">
        <v>2.1568E-2</v>
      </c>
      <c r="E105">
        <v>2.1568E-2</v>
      </c>
      <c r="F105">
        <v>2.1568E-2</v>
      </c>
      <c r="G105">
        <v>2.1568E-2</v>
      </c>
      <c r="H105">
        <v>2.7471332999999998</v>
      </c>
      <c r="J105">
        <f t="shared" si="78"/>
        <v>1020.0296735905044</v>
      </c>
      <c r="K105">
        <f t="shared" si="79"/>
        <v>1020.0296735905044</v>
      </c>
      <c r="L105">
        <f t="shared" si="80"/>
        <v>1020.0296735905044</v>
      </c>
      <c r="M105">
        <f t="shared" si="81"/>
        <v>1020.0296735905044</v>
      </c>
      <c r="N105">
        <f t="shared" si="82"/>
        <v>1020.0296735905044</v>
      </c>
      <c r="O105">
        <f t="shared" si="83"/>
        <v>8.0083481933694305</v>
      </c>
      <c r="Q105">
        <v>1020.0296735905044</v>
      </c>
      <c r="R105">
        <v>1020.0296735905044</v>
      </c>
      <c r="S105">
        <v>1020.0296735905044</v>
      </c>
      <c r="T105">
        <v>1020.0296735905044</v>
      </c>
      <c r="U105">
        <v>1020.0296735905044</v>
      </c>
      <c r="V105">
        <v>8.0083481933694305</v>
      </c>
      <c r="X105" s="41">
        <v>100</v>
      </c>
      <c r="Y105">
        <v>100</v>
      </c>
      <c r="Z105" s="41">
        <v>100</v>
      </c>
      <c r="AA105">
        <v>100</v>
      </c>
      <c r="AB105" s="41">
        <v>100</v>
      </c>
      <c r="AC105">
        <v>8</v>
      </c>
      <c r="AE105">
        <v>100</v>
      </c>
      <c r="AF105" t="s">
        <v>109</v>
      </c>
      <c r="AI105" s="41" t="s">
        <v>133</v>
      </c>
      <c r="AJ105" t="s">
        <v>134</v>
      </c>
      <c r="AK105" s="41" t="s">
        <v>147</v>
      </c>
      <c r="AL105" t="s">
        <v>148</v>
      </c>
      <c r="AM105" s="41" t="s">
        <v>149</v>
      </c>
      <c r="AN105" t="s">
        <v>150</v>
      </c>
    </row>
    <row r="107" spans="1:40" x14ac:dyDescent="0.35">
      <c r="A107" t="s">
        <v>102</v>
      </c>
      <c r="C107" t="s">
        <v>103</v>
      </c>
    </row>
    <row r="108" spans="1:40" x14ac:dyDescent="0.35">
      <c r="C108">
        <v>1.2127568</v>
      </c>
      <c r="D108">
        <v>0.36281404</v>
      </c>
      <c r="E108">
        <v>0.75880769999999997</v>
      </c>
      <c r="F108">
        <v>1.9776459999999999E-2</v>
      </c>
      <c r="G108">
        <v>0.36281404</v>
      </c>
      <c r="H108">
        <v>0.75880769999999997</v>
      </c>
      <c r="J108">
        <f>23/C108</f>
        <v>18.965055483506671</v>
      </c>
      <c r="K108">
        <f t="shared" ref="K108:O108" si="84">23/D108</f>
        <v>63.39335710382101</v>
      </c>
      <c r="L108">
        <f t="shared" si="84"/>
        <v>30.310709814884589</v>
      </c>
      <c r="M108">
        <f t="shared" si="84"/>
        <v>1162.9988380124653</v>
      </c>
      <c r="N108">
        <f t="shared" si="84"/>
        <v>63.39335710382101</v>
      </c>
      <c r="O108">
        <f t="shared" si="84"/>
        <v>30.310709814884589</v>
      </c>
    </row>
    <row r="109" spans="1:40" x14ac:dyDescent="0.35">
      <c r="C109">
        <v>0.75880769999999997</v>
      </c>
      <c r="D109">
        <v>1.2127568</v>
      </c>
      <c r="E109">
        <v>0.75880769999999997</v>
      </c>
      <c r="F109">
        <v>0.36281404</v>
      </c>
      <c r="G109">
        <v>1.9776459999999999E-2</v>
      </c>
      <c r="H109">
        <v>0.75880769999999997</v>
      </c>
      <c r="J109">
        <f t="shared" ref="J109:J113" si="85">23/C109</f>
        <v>30.310709814884589</v>
      </c>
      <c r="K109">
        <f t="shared" ref="K109:K113" si="86">23/D109</f>
        <v>18.965055483506671</v>
      </c>
      <c r="L109">
        <f t="shared" ref="L109:L113" si="87">23/E109</f>
        <v>30.310709814884589</v>
      </c>
      <c r="M109">
        <f t="shared" ref="M109:M113" si="88">23/F109</f>
        <v>63.39335710382101</v>
      </c>
      <c r="N109">
        <f t="shared" ref="N109:N113" si="89">23/G109</f>
        <v>1162.9988380124653</v>
      </c>
      <c r="O109">
        <f t="shared" ref="O109:O113" si="90">23/H109</f>
        <v>30.310709814884589</v>
      </c>
    </row>
    <row r="110" spans="1:40" x14ac:dyDescent="0.35">
      <c r="C110">
        <v>1.9776459999999999E-2</v>
      </c>
      <c r="D110">
        <v>1.9776459999999999E-2</v>
      </c>
      <c r="E110">
        <v>2.6520271000000002</v>
      </c>
      <c r="F110">
        <v>1.9776459999999999E-2</v>
      </c>
      <c r="G110">
        <v>1.9776459999999999E-2</v>
      </c>
      <c r="H110">
        <v>1.2127568</v>
      </c>
      <c r="J110">
        <f t="shared" si="85"/>
        <v>1162.9988380124653</v>
      </c>
      <c r="K110">
        <f t="shared" si="86"/>
        <v>1162.9988380124653</v>
      </c>
      <c r="L110">
        <f t="shared" si="87"/>
        <v>8.6726112263332453</v>
      </c>
      <c r="M110">
        <f t="shared" si="88"/>
        <v>1162.9988380124653</v>
      </c>
      <c r="N110">
        <f t="shared" si="89"/>
        <v>1162.9988380124653</v>
      </c>
      <c r="O110">
        <f t="shared" si="90"/>
        <v>18.965055483506671</v>
      </c>
    </row>
    <row r="111" spans="1:40" x14ac:dyDescent="0.35">
      <c r="C111">
        <v>0.36281404</v>
      </c>
      <c r="D111">
        <v>0.36281404</v>
      </c>
      <c r="E111">
        <v>0.75880769999999997</v>
      </c>
      <c r="F111">
        <v>1.2127568</v>
      </c>
      <c r="G111">
        <v>0.75880769999999997</v>
      </c>
      <c r="H111">
        <v>0.75880769999999997</v>
      </c>
      <c r="J111">
        <f t="shared" si="85"/>
        <v>63.39335710382101</v>
      </c>
      <c r="K111">
        <f t="shared" si="86"/>
        <v>63.39335710382101</v>
      </c>
      <c r="L111">
        <f t="shared" si="87"/>
        <v>30.310709814884589</v>
      </c>
      <c r="M111">
        <f t="shared" si="88"/>
        <v>18.965055483506671</v>
      </c>
      <c r="N111">
        <f t="shared" si="89"/>
        <v>30.310709814884589</v>
      </c>
      <c r="O111">
        <f t="shared" si="90"/>
        <v>30.310709814884589</v>
      </c>
    </row>
    <row r="112" spans="1:40" x14ac:dyDescent="0.35">
      <c r="C112">
        <v>1.9776459999999999E-2</v>
      </c>
      <c r="D112">
        <v>1.9776459999999999E-2</v>
      </c>
      <c r="E112">
        <v>0.75880769999999997</v>
      </c>
      <c r="F112">
        <v>0.36281404</v>
      </c>
      <c r="G112">
        <v>1.2127568</v>
      </c>
      <c r="H112">
        <v>0.75880769999999997</v>
      </c>
      <c r="J112">
        <f t="shared" si="85"/>
        <v>1162.9988380124653</v>
      </c>
      <c r="K112">
        <f t="shared" si="86"/>
        <v>1162.9988380124653</v>
      </c>
      <c r="L112">
        <f t="shared" si="87"/>
        <v>30.310709814884589</v>
      </c>
      <c r="M112">
        <f t="shared" si="88"/>
        <v>63.39335710382101</v>
      </c>
      <c r="N112">
        <f t="shared" si="89"/>
        <v>18.965055483506671</v>
      </c>
      <c r="O112">
        <f t="shared" si="90"/>
        <v>30.310709814884589</v>
      </c>
    </row>
    <row r="113" spans="3:15" x14ac:dyDescent="0.35">
      <c r="C113">
        <v>1.9776459999999999E-2</v>
      </c>
      <c r="D113">
        <v>1.9776459999999999E-2</v>
      </c>
      <c r="E113">
        <v>1.9776459999999999E-2</v>
      </c>
      <c r="F113">
        <v>0.36281404</v>
      </c>
      <c r="G113">
        <v>1.9776459999999999E-2</v>
      </c>
      <c r="H113">
        <v>3.7883263</v>
      </c>
      <c r="J113">
        <f t="shared" si="85"/>
        <v>1162.9988380124653</v>
      </c>
      <c r="K113">
        <f t="shared" si="86"/>
        <v>1162.9988380124653</v>
      </c>
      <c r="L113">
        <f t="shared" si="87"/>
        <v>1162.9988380124653</v>
      </c>
      <c r="M113">
        <f t="shared" si="88"/>
        <v>63.39335710382101</v>
      </c>
      <c r="N113">
        <f t="shared" si="89"/>
        <v>1162.9988380124653</v>
      </c>
      <c r="O113">
        <f t="shared" si="90"/>
        <v>6.0712827192314451</v>
      </c>
    </row>
    <row r="121" spans="3:15" x14ac:dyDescent="0.35">
      <c r="J121" s="11"/>
      <c r="K121" s="11"/>
      <c r="L121" s="11"/>
      <c r="M121" s="11"/>
      <c r="N121" s="11"/>
      <c r="O121" s="11"/>
    </row>
    <row r="122" spans="3:15" x14ac:dyDescent="0.35">
      <c r="J122" s="11"/>
      <c r="K122" s="11"/>
      <c r="L122" s="11"/>
      <c r="M122" s="11"/>
      <c r="N122" s="11"/>
      <c r="O122" s="11"/>
    </row>
    <row r="123" spans="3:15" x14ac:dyDescent="0.35">
      <c r="J123" s="11"/>
      <c r="K123" s="11"/>
      <c r="L123" s="11"/>
      <c r="M123" s="11"/>
      <c r="N123" s="11"/>
      <c r="O123" s="11"/>
    </row>
    <row r="124" spans="3:15" x14ac:dyDescent="0.35">
      <c r="J124" s="11"/>
      <c r="K124" s="11"/>
      <c r="L124" s="11"/>
      <c r="M124" s="11"/>
      <c r="N124" s="11"/>
      <c r="O124" s="11"/>
    </row>
    <row r="125" spans="3:15" x14ac:dyDescent="0.35">
      <c r="J125" s="11"/>
      <c r="K125" s="11"/>
      <c r="L125" s="11"/>
      <c r="M125" s="11"/>
      <c r="N125" s="11"/>
      <c r="O125" s="11"/>
    </row>
    <row r="126" spans="3:15" x14ac:dyDescent="0.35">
      <c r="J126" s="11"/>
      <c r="K126" s="11"/>
      <c r="L126" s="11"/>
      <c r="M126" s="11"/>
      <c r="N126" s="11"/>
      <c r="O126" s="11"/>
    </row>
  </sheetData>
  <phoneticPr fontId="5" type="noConversion"/>
  <conditionalFormatting sqref="L60:L64">
    <cfRule type="cellIs" dxfId="12" priority="1" operator="equal">
      <formula>"8k"</formula>
    </cfRule>
  </conditionalFormatting>
  <pageMargins left="0.7" right="0.7" top="0.75" bottom="0.75" header="0.3" footer="0.3"/>
  <ignoredErrors>
    <ignoredError sqref="H7:J7 H13 I13:J1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D1:T74"/>
  <sheetViews>
    <sheetView workbookViewId="0"/>
  </sheetViews>
  <sheetFormatPr defaultRowHeight="14.5" x14ac:dyDescent="0.35"/>
  <cols>
    <col min="4" max="4" width="9.1796875" style="1" customWidth="1"/>
    <col min="5" max="5" width="19.1796875" bestFit="1" customWidth="1"/>
    <col min="14" max="14" width="12" bestFit="1" customWidth="1"/>
    <col min="15" max="15" width="16.54296875" customWidth="1"/>
    <col min="16" max="16" width="19.1796875" bestFit="1" customWidth="1"/>
    <col min="18" max="18" width="13.54296875" bestFit="1" customWidth="1"/>
    <col min="19" max="19" width="10.54296875" customWidth="1"/>
  </cols>
  <sheetData>
    <row r="1" spans="4:20" x14ac:dyDescent="0.35">
      <c r="H1" s="4" t="s">
        <v>10</v>
      </c>
      <c r="I1" s="5" t="s">
        <v>11</v>
      </c>
      <c r="L1" s="4" t="s">
        <v>10</v>
      </c>
      <c r="M1" s="5" t="s">
        <v>11</v>
      </c>
      <c r="N1" s="7"/>
      <c r="Q1" s="4" t="s">
        <v>10</v>
      </c>
      <c r="R1" s="5" t="s">
        <v>11</v>
      </c>
    </row>
    <row r="2" spans="4:20" x14ac:dyDescent="0.35">
      <c r="H2">
        <v>7</v>
      </c>
      <c r="I2">
        <v>7</v>
      </c>
      <c r="L2">
        <f>0.2/(H2*1000)</f>
        <v>2.8571428571428574E-5</v>
      </c>
      <c r="M2">
        <f>0.2/(I2*1000)</f>
        <v>2.8571428571428574E-5</v>
      </c>
      <c r="N2">
        <f>SUM(L2:M2)*1000000</f>
        <v>57.142857142857146</v>
      </c>
      <c r="Q2">
        <v>7</v>
      </c>
      <c r="R2">
        <v>7</v>
      </c>
    </row>
    <row r="3" spans="4:20" x14ac:dyDescent="0.35">
      <c r="H3">
        <v>7</v>
      </c>
      <c r="I3">
        <v>15</v>
      </c>
      <c r="L3">
        <f t="shared" ref="L3:L7" si="0">0.2/(H3*1000)</f>
        <v>2.8571428571428574E-5</v>
      </c>
      <c r="M3">
        <f t="shared" ref="M3:M7" si="1">0.2/(I3*1000)</f>
        <v>1.3333333333333333E-5</v>
      </c>
      <c r="N3">
        <f t="shared" ref="N3:N7" si="2">SUM(L3:M3)*1000000</f>
        <v>41.904761904761905</v>
      </c>
      <c r="Q3">
        <v>7</v>
      </c>
      <c r="R3">
        <v>15</v>
      </c>
    </row>
    <row r="4" spans="4:20" x14ac:dyDescent="0.35">
      <c r="H4">
        <v>15</v>
      </c>
      <c r="I4">
        <v>30</v>
      </c>
      <c r="L4">
        <f t="shared" si="0"/>
        <v>1.3333333333333333E-5</v>
      </c>
      <c r="M4">
        <f t="shared" si="1"/>
        <v>6.6666666666666666E-6</v>
      </c>
      <c r="N4">
        <f t="shared" si="2"/>
        <v>20</v>
      </c>
      <c r="Q4">
        <v>15</v>
      </c>
      <c r="R4">
        <v>30</v>
      </c>
    </row>
    <row r="5" spans="4:20" x14ac:dyDescent="0.35">
      <c r="H5">
        <v>30</v>
      </c>
      <c r="I5">
        <v>50</v>
      </c>
      <c r="L5">
        <f t="shared" si="0"/>
        <v>6.6666666666666666E-6</v>
      </c>
      <c r="M5">
        <f t="shared" si="1"/>
        <v>3.9999999999999998E-6</v>
      </c>
      <c r="N5">
        <f t="shared" si="2"/>
        <v>10.666666666666668</v>
      </c>
      <c r="Q5">
        <v>30</v>
      </c>
      <c r="R5">
        <v>50</v>
      </c>
    </row>
    <row r="6" spans="4:20" x14ac:dyDescent="0.35">
      <c r="H6">
        <v>50</v>
      </c>
      <c r="I6">
        <v>100</v>
      </c>
      <c r="L6">
        <f t="shared" si="0"/>
        <v>3.9999999999999998E-6</v>
      </c>
      <c r="M6">
        <f t="shared" si="1"/>
        <v>1.9999999999999999E-6</v>
      </c>
      <c r="N6">
        <f t="shared" si="2"/>
        <v>6</v>
      </c>
      <c r="Q6">
        <v>50</v>
      </c>
      <c r="R6">
        <v>100</v>
      </c>
    </row>
    <row r="7" spans="4:20" x14ac:dyDescent="0.35">
      <c r="H7">
        <v>100</v>
      </c>
      <c r="I7">
        <v>100</v>
      </c>
      <c r="L7">
        <f t="shared" si="0"/>
        <v>1.9999999999999999E-6</v>
      </c>
      <c r="M7">
        <f t="shared" si="1"/>
        <v>1.9999999999999999E-6</v>
      </c>
      <c r="N7">
        <f t="shared" si="2"/>
        <v>4</v>
      </c>
      <c r="Q7">
        <v>100</v>
      </c>
      <c r="R7">
        <v>100</v>
      </c>
    </row>
    <row r="10" spans="4:20" s="2" customFormat="1" x14ac:dyDescent="0.35">
      <c r="D10" s="3" t="s">
        <v>6</v>
      </c>
      <c r="E10" s="4" t="s">
        <v>23</v>
      </c>
      <c r="F10" s="3" t="s">
        <v>5</v>
      </c>
      <c r="G10" s="3" t="s">
        <v>0</v>
      </c>
      <c r="H10" s="3" t="s">
        <v>1</v>
      </c>
      <c r="I10" s="3" t="s">
        <v>2</v>
      </c>
      <c r="J10" s="3" t="s">
        <v>3</v>
      </c>
      <c r="K10" s="3" t="s">
        <v>4</v>
      </c>
      <c r="M10" s="4" t="s">
        <v>7</v>
      </c>
      <c r="N10" s="4" t="s">
        <v>8</v>
      </c>
      <c r="O10" s="4" t="s">
        <v>9</v>
      </c>
      <c r="P10" s="4" t="s">
        <v>23</v>
      </c>
      <c r="S10" s="29"/>
      <c r="T10" s="29"/>
    </row>
    <row r="11" spans="4:20" hidden="1" x14ac:dyDescent="0.35">
      <c r="D11" s="6">
        <v>0</v>
      </c>
      <c r="E11" s="2" t="s">
        <v>16</v>
      </c>
      <c r="F11" s="6" t="str">
        <f t="shared" ref="F11:F42" si="3">LEFT(RIGHT(DEC2BIN($D11,6),6),1)</f>
        <v>0</v>
      </c>
      <c r="G11" s="6" t="str">
        <f t="shared" ref="G11:G42" si="4">LEFT(RIGHT(DEC2BIN($D11,6),5),1)</f>
        <v>0</v>
      </c>
      <c r="H11" s="6" t="str">
        <f t="shared" ref="H11:H42" si="5">LEFT(RIGHT(DEC2BIN($D11,6),4),1)</f>
        <v>0</v>
      </c>
      <c r="I11" s="6" t="str">
        <f t="shared" ref="I11:I42" si="6">LEFT(RIGHT(DEC2BIN($D11,6),3),1)</f>
        <v>0</v>
      </c>
      <c r="J11" s="6" t="str">
        <f t="shared" ref="J11:J42" si="7">LEFT(RIGHT(DEC2BIN($D11,6),2),1)</f>
        <v>0</v>
      </c>
      <c r="K11" s="6" t="str">
        <f t="shared" ref="K11:K42" si="8">LEFT(RIGHT(DEC2BIN($D11,6),1),1)</f>
        <v>0</v>
      </c>
      <c r="M11">
        <f t="shared" ref="M11:M42" si="9">(($F11*$L$2)+($G11*$L$3)+($H11*$L$4)+($I11*$L$5)+($J11*$L$6)+($K11*$L$7))</f>
        <v>0</v>
      </c>
      <c r="N11">
        <f t="shared" ref="N11:N42" si="10">(($F11*$M$2)+($G11*$M$3)+($H11*$M$4)+($I11*$M$5)+($J11*$M$6)+($K11*$M$7))</f>
        <v>0</v>
      </c>
      <c r="O11">
        <f t="shared" ref="O11:O42" si="11" xml:space="preserve"> (M11+N11)*1000000*D11</f>
        <v>0</v>
      </c>
      <c r="P11" s="2" t="s">
        <v>16</v>
      </c>
      <c r="Q11" t="s">
        <v>58</v>
      </c>
    </row>
    <row r="12" spans="4:20" hidden="1" x14ac:dyDescent="0.35">
      <c r="D12" s="6">
        <v>1</v>
      </c>
      <c r="E12" s="2" t="s">
        <v>16</v>
      </c>
      <c r="F12" s="6" t="str">
        <f t="shared" si="3"/>
        <v>0</v>
      </c>
      <c r="G12" s="6" t="str">
        <f t="shared" si="4"/>
        <v>0</v>
      </c>
      <c r="H12" s="6" t="str">
        <f t="shared" si="5"/>
        <v>0</v>
      </c>
      <c r="I12" s="6" t="str">
        <f t="shared" si="6"/>
        <v>0</v>
      </c>
      <c r="J12" s="6" t="str">
        <f t="shared" si="7"/>
        <v>0</v>
      </c>
      <c r="K12" s="6" t="str">
        <f t="shared" si="8"/>
        <v>1</v>
      </c>
      <c r="M12">
        <f t="shared" si="9"/>
        <v>1.9999999999999999E-6</v>
      </c>
      <c r="N12">
        <f t="shared" si="10"/>
        <v>1.9999999999999999E-6</v>
      </c>
      <c r="O12">
        <f t="shared" si="11"/>
        <v>4</v>
      </c>
      <c r="P12" s="2" t="s">
        <v>16</v>
      </c>
    </row>
    <row r="13" spans="4:20" hidden="1" x14ac:dyDescent="0.35">
      <c r="D13" s="6">
        <v>2</v>
      </c>
      <c r="E13" s="2" t="s">
        <v>17</v>
      </c>
      <c r="F13" s="6" t="str">
        <f t="shared" si="3"/>
        <v>0</v>
      </c>
      <c r="G13" s="6" t="str">
        <f t="shared" si="4"/>
        <v>0</v>
      </c>
      <c r="H13" s="6" t="str">
        <f t="shared" si="5"/>
        <v>0</v>
      </c>
      <c r="I13" s="6" t="str">
        <f t="shared" si="6"/>
        <v>0</v>
      </c>
      <c r="J13" s="6" t="str">
        <f t="shared" si="7"/>
        <v>1</v>
      </c>
      <c r="K13" s="6" t="str">
        <f t="shared" si="8"/>
        <v>0</v>
      </c>
      <c r="M13">
        <f t="shared" si="9"/>
        <v>3.9999999999999998E-6</v>
      </c>
      <c r="N13">
        <f t="shared" si="10"/>
        <v>1.9999999999999999E-6</v>
      </c>
      <c r="O13">
        <f t="shared" si="11"/>
        <v>12</v>
      </c>
      <c r="P13" s="2" t="s">
        <v>17</v>
      </c>
    </row>
    <row r="14" spans="4:20" hidden="1" x14ac:dyDescent="0.35">
      <c r="D14" s="6">
        <v>3</v>
      </c>
      <c r="E14" s="2" t="s">
        <v>16</v>
      </c>
      <c r="F14" s="6" t="str">
        <f t="shared" si="3"/>
        <v>0</v>
      </c>
      <c r="G14" s="6" t="str">
        <f t="shared" si="4"/>
        <v>0</v>
      </c>
      <c r="H14" s="6" t="str">
        <f t="shared" si="5"/>
        <v>0</v>
      </c>
      <c r="I14" s="6" t="str">
        <f t="shared" si="6"/>
        <v>0</v>
      </c>
      <c r="J14" s="6" t="str">
        <f t="shared" si="7"/>
        <v>1</v>
      </c>
      <c r="K14" s="6" t="str">
        <f t="shared" si="8"/>
        <v>1</v>
      </c>
      <c r="M14">
        <f t="shared" si="9"/>
        <v>6.0000000000000002E-6</v>
      </c>
      <c r="N14">
        <f t="shared" si="10"/>
        <v>3.9999999999999998E-6</v>
      </c>
      <c r="O14">
        <f t="shared" si="11"/>
        <v>30</v>
      </c>
      <c r="P14" s="2" t="s">
        <v>16</v>
      </c>
    </row>
    <row r="15" spans="4:20" hidden="1" x14ac:dyDescent="0.35">
      <c r="D15" s="6">
        <v>4</v>
      </c>
      <c r="E15" s="2" t="s">
        <v>18</v>
      </c>
      <c r="F15" s="6" t="str">
        <f t="shared" si="3"/>
        <v>0</v>
      </c>
      <c r="G15" s="6" t="str">
        <f t="shared" si="4"/>
        <v>0</v>
      </c>
      <c r="H15" s="6" t="str">
        <f t="shared" si="5"/>
        <v>0</v>
      </c>
      <c r="I15" s="6" t="str">
        <f t="shared" si="6"/>
        <v>1</v>
      </c>
      <c r="J15" s="6" t="str">
        <f t="shared" si="7"/>
        <v>0</v>
      </c>
      <c r="K15" s="6" t="str">
        <f t="shared" si="8"/>
        <v>0</v>
      </c>
      <c r="M15">
        <f t="shared" si="9"/>
        <v>6.6666666666666666E-6</v>
      </c>
      <c r="N15">
        <f t="shared" si="10"/>
        <v>3.9999999999999998E-6</v>
      </c>
      <c r="O15">
        <f t="shared" si="11"/>
        <v>42.666666666666671</v>
      </c>
      <c r="P15" s="2" t="s">
        <v>18</v>
      </c>
    </row>
    <row r="16" spans="4:20" hidden="1" x14ac:dyDescent="0.35">
      <c r="D16" s="6">
        <v>5</v>
      </c>
      <c r="E16" s="2" t="s">
        <v>20</v>
      </c>
      <c r="F16" s="6" t="str">
        <f t="shared" si="3"/>
        <v>0</v>
      </c>
      <c r="G16" s="6" t="str">
        <f t="shared" si="4"/>
        <v>0</v>
      </c>
      <c r="H16" s="6" t="str">
        <f t="shared" si="5"/>
        <v>0</v>
      </c>
      <c r="I16" s="6" t="str">
        <f t="shared" si="6"/>
        <v>1</v>
      </c>
      <c r="J16" s="6" t="str">
        <f t="shared" si="7"/>
        <v>0</v>
      </c>
      <c r="K16" s="6" t="str">
        <f t="shared" si="8"/>
        <v>1</v>
      </c>
      <c r="M16">
        <f t="shared" si="9"/>
        <v>8.6666666666666661E-6</v>
      </c>
      <c r="N16">
        <f t="shared" si="10"/>
        <v>6.0000000000000002E-6</v>
      </c>
      <c r="O16">
        <f t="shared" si="11"/>
        <v>73.333333333333329</v>
      </c>
      <c r="P16" s="2" t="s">
        <v>20</v>
      </c>
    </row>
    <row r="17" spans="4:16" hidden="1" x14ac:dyDescent="0.35">
      <c r="D17" s="6">
        <v>6</v>
      </c>
      <c r="E17" s="2" t="s">
        <v>17</v>
      </c>
      <c r="F17" s="6" t="str">
        <f t="shared" si="3"/>
        <v>0</v>
      </c>
      <c r="G17" s="6" t="str">
        <f t="shared" si="4"/>
        <v>0</v>
      </c>
      <c r="H17" s="6" t="str">
        <f t="shared" si="5"/>
        <v>0</v>
      </c>
      <c r="I17" s="6" t="str">
        <f t="shared" si="6"/>
        <v>1</v>
      </c>
      <c r="J17" s="6" t="str">
        <f t="shared" si="7"/>
        <v>1</v>
      </c>
      <c r="K17" s="6" t="str">
        <f t="shared" si="8"/>
        <v>0</v>
      </c>
      <c r="M17">
        <f t="shared" si="9"/>
        <v>1.0666666666666667E-5</v>
      </c>
      <c r="N17">
        <f t="shared" si="10"/>
        <v>6.0000000000000002E-6</v>
      </c>
      <c r="O17">
        <f t="shared" si="11"/>
        <v>100</v>
      </c>
      <c r="P17" s="2" t="s">
        <v>17</v>
      </c>
    </row>
    <row r="18" spans="4:16" hidden="1" x14ac:dyDescent="0.35">
      <c r="D18" s="6">
        <v>7</v>
      </c>
      <c r="E18" s="2" t="s">
        <v>16</v>
      </c>
      <c r="F18" s="6" t="str">
        <f t="shared" si="3"/>
        <v>0</v>
      </c>
      <c r="G18" s="6" t="str">
        <f t="shared" si="4"/>
        <v>0</v>
      </c>
      <c r="H18" s="6" t="str">
        <f t="shared" si="5"/>
        <v>0</v>
      </c>
      <c r="I18" s="6" t="str">
        <f t="shared" si="6"/>
        <v>1</v>
      </c>
      <c r="J18" s="6" t="str">
        <f t="shared" si="7"/>
        <v>1</v>
      </c>
      <c r="K18" s="6" t="str">
        <f t="shared" si="8"/>
        <v>1</v>
      </c>
      <c r="M18">
        <f t="shared" si="9"/>
        <v>1.2666666666666667E-5</v>
      </c>
      <c r="N18">
        <f t="shared" si="10"/>
        <v>7.9999999999999996E-6</v>
      </c>
      <c r="O18">
        <f t="shared" si="11"/>
        <v>144.66666666666669</v>
      </c>
      <c r="P18" s="2" t="s">
        <v>16</v>
      </c>
    </row>
    <row r="19" spans="4:16" hidden="1" x14ac:dyDescent="0.35">
      <c r="D19" s="6">
        <v>8</v>
      </c>
      <c r="E19" s="2" t="s">
        <v>19</v>
      </c>
      <c r="F19" s="6" t="str">
        <f t="shared" si="3"/>
        <v>0</v>
      </c>
      <c r="G19" s="6" t="str">
        <f t="shared" si="4"/>
        <v>0</v>
      </c>
      <c r="H19" s="6" t="str">
        <f t="shared" si="5"/>
        <v>1</v>
      </c>
      <c r="I19" s="6" t="str">
        <f t="shared" si="6"/>
        <v>0</v>
      </c>
      <c r="J19" s="6" t="str">
        <f t="shared" si="7"/>
        <v>0</v>
      </c>
      <c r="K19" s="6" t="str">
        <f t="shared" si="8"/>
        <v>0</v>
      </c>
      <c r="M19">
        <f t="shared" si="9"/>
        <v>1.3333333333333333E-5</v>
      </c>
      <c r="N19">
        <f t="shared" si="10"/>
        <v>6.6666666666666666E-6</v>
      </c>
      <c r="O19">
        <f t="shared" si="11"/>
        <v>160</v>
      </c>
      <c r="P19" s="2" t="s">
        <v>19</v>
      </c>
    </row>
    <row r="20" spans="4:16" hidden="1" x14ac:dyDescent="0.35">
      <c r="D20" s="6">
        <v>9</v>
      </c>
      <c r="E20" s="2" t="s">
        <v>20</v>
      </c>
      <c r="F20" s="6" t="str">
        <f t="shared" si="3"/>
        <v>0</v>
      </c>
      <c r="G20" s="6" t="str">
        <f t="shared" si="4"/>
        <v>0</v>
      </c>
      <c r="H20" s="6" t="str">
        <f t="shared" si="5"/>
        <v>1</v>
      </c>
      <c r="I20" s="6" t="str">
        <f t="shared" si="6"/>
        <v>0</v>
      </c>
      <c r="J20" s="6" t="str">
        <f t="shared" si="7"/>
        <v>0</v>
      </c>
      <c r="K20" s="6" t="str">
        <f t="shared" si="8"/>
        <v>1</v>
      </c>
      <c r="M20">
        <f t="shared" si="9"/>
        <v>1.5333333333333334E-5</v>
      </c>
      <c r="N20">
        <f t="shared" si="10"/>
        <v>8.6666666666666661E-6</v>
      </c>
      <c r="O20">
        <f t="shared" si="11"/>
        <v>216</v>
      </c>
      <c r="P20" s="2" t="s">
        <v>20</v>
      </c>
    </row>
    <row r="21" spans="4:16" hidden="1" x14ac:dyDescent="0.35">
      <c r="D21" s="6">
        <v>10</v>
      </c>
      <c r="E21" s="2" t="s">
        <v>20</v>
      </c>
      <c r="F21" s="6" t="str">
        <f t="shared" si="3"/>
        <v>0</v>
      </c>
      <c r="G21" s="6" t="str">
        <f t="shared" si="4"/>
        <v>0</v>
      </c>
      <c r="H21" s="6" t="str">
        <f t="shared" si="5"/>
        <v>1</v>
      </c>
      <c r="I21" s="6" t="str">
        <f t="shared" si="6"/>
        <v>0</v>
      </c>
      <c r="J21" s="6" t="str">
        <f t="shared" si="7"/>
        <v>1</v>
      </c>
      <c r="K21" s="6" t="str">
        <f t="shared" si="8"/>
        <v>0</v>
      </c>
      <c r="M21">
        <f t="shared" si="9"/>
        <v>1.7333333333333332E-5</v>
      </c>
      <c r="N21">
        <f t="shared" si="10"/>
        <v>8.6666666666666661E-6</v>
      </c>
      <c r="O21">
        <f t="shared" si="11"/>
        <v>260</v>
      </c>
      <c r="P21" s="2" t="s">
        <v>20</v>
      </c>
    </row>
    <row r="22" spans="4:16" hidden="1" x14ac:dyDescent="0.35">
      <c r="D22" s="6">
        <v>11</v>
      </c>
      <c r="E22" s="2" t="s">
        <v>20</v>
      </c>
      <c r="F22" s="6" t="str">
        <f t="shared" si="3"/>
        <v>0</v>
      </c>
      <c r="G22" s="6" t="str">
        <f t="shared" si="4"/>
        <v>0</v>
      </c>
      <c r="H22" s="6" t="str">
        <f t="shared" si="5"/>
        <v>1</v>
      </c>
      <c r="I22" s="6" t="str">
        <f t="shared" si="6"/>
        <v>0</v>
      </c>
      <c r="J22" s="6" t="str">
        <f t="shared" si="7"/>
        <v>1</v>
      </c>
      <c r="K22" s="6" t="str">
        <f t="shared" si="8"/>
        <v>1</v>
      </c>
      <c r="M22">
        <f t="shared" si="9"/>
        <v>1.9333333333333333E-5</v>
      </c>
      <c r="N22">
        <f t="shared" si="10"/>
        <v>1.0666666666666666E-5</v>
      </c>
      <c r="O22">
        <f t="shared" si="11"/>
        <v>329.99999999999994</v>
      </c>
      <c r="P22" s="2" t="s">
        <v>20</v>
      </c>
    </row>
    <row r="23" spans="4:16" hidden="1" x14ac:dyDescent="0.35">
      <c r="D23" s="6">
        <v>12</v>
      </c>
      <c r="E23" s="2" t="s">
        <v>19</v>
      </c>
      <c r="F23" s="6" t="str">
        <f t="shared" si="3"/>
        <v>0</v>
      </c>
      <c r="G23" s="6" t="str">
        <f t="shared" si="4"/>
        <v>0</v>
      </c>
      <c r="H23" s="6" t="str">
        <f t="shared" si="5"/>
        <v>1</v>
      </c>
      <c r="I23" s="6" t="str">
        <f t="shared" si="6"/>
        <v>1</v>
      </c>
      <c r="J23" s="6" t="str">
        <f t="shared" si="7"/>
        <v>0</v>
      </c>
      <c r="K23" s="6" t="str">
        <f t="shared" si="8"/>
        <v>0</v>
      </c>
      <c r="M23">
        <f t="shared" si="9"/>
        <v>1.9999999999999998E-5</v>
      </c>
      <c r="N23">
        <f t="shared" si="10"/>
        <v>1.0666666666666667E-5</v>
      </c>
      <c r="O23">
        <f t="shared" si="11"/>
        <v>367.99999999999994</v>
      </c>
      <c r="P23" s="2" t="s">
        <v>19</v>
      </c>
    </row>
    <row r="24" spans="4:16" hidden="1" x14ac:dyDescent="0.35">
      <c r="D24" s="6">
        <v>13</v>
      </c>
      <c r="E24" s="2" t="s">
        <v>20</v>
      </c>
      <c r="F24" s="6" t="str">
        <f t="shared" si="3"/>
        <v>0</v>
      </c>
      <c r="G24" s="6" t="str">
        <f t="shared" si="4"/>
        <v>0</v>
      </c>
      <c r="H24" s="6" t="str">
        <f t="shared" si="5"/>
        <v>1</v>
      </c>
      <c r="I24" s="6" t="str">
        <f t="shared" si="6"/>
        <v>1</v>
      </c>
      <c r="J24" s="6" t="str">
        <f t="shared" si="7"/>
        <v>0</v>
      </c>
      <c r="K24" s="6" t="str">
        <f t="shared" si="8"/>
        <v>1</v>
      </c>
      <c r="M24">
        <f t="shared" si="9"/>
        <v>2.1999999999999999E-5</v>
      </c>
      <c r="N24">
        <f t="shared" si="10"/>
        <v>1.2666666666666667E-5</v>
      </c>
      <c r="O24">
        <f t="shared" si="11"/>
        <v>450.66666666666663</v>
      </c>
      <c r="P24" s="2" t="s">
        <v>20</v>
      </c>
    </row>
    <row r="25" spans="4:16" hidden="1" x14ac:dyDescent="0.35">
      <c r="D25" s="6">
        <v>14</v>
      </c>
      <c r="E25" s="2" t="s">
        <v>20</v>
      </c>
      <c r="F25" s="6" t="str">
        <f t="shared" si="3"/>
        <v>0</v>
      </c>
      <c r="G25" s="6" t="str">
        <f t="shared" si="4"/>
        <v>0</v>
      </c>
      <c r="H25" s="6" t="str">
        <f t="shared" si="5"/>
        <v>1</v>
      </c>
      <c r="I25" s="6" t="str">
        <f t="shared" si="6"/>
        <v>1</v>
      </c>
      <c r="J25" s="6" t="str">
        <f t="shared" si="7"/>
        <v>1</v>
      </c>
      <c r="K25" s="6" t="str">
        <f t="shared" si="8"/>
        <v>0</v>
      </c>
      <c r="M25">
        <f t="shared" si="9"/>
        <v>2.3999999999999997E-5</v>
      </c>
      <c r="N25">
        <f t="shared" si="10"/>
        <v>1.2666666666666667E-5</v>
      </c>
      <c r="O25">
        <f t="shared" si="11"/>
        <v>513.33333333333326</v>
      </c>
      <c r="P25" s="2" t="s">
        <v>20</v>
      </c>
    </row>
    <row r="26" spans="4:16" hidden="1" x14ac:dyDescent="0.35">
      <c r="D26" s="6">
        <v>15</v>
      </c>
      <c r="E26" s="2" t="s">
        <v>20</v>
      </c>
      <c r="F26" s="6" t="str">
        <f t="shared" si="3"/>
        <v>0</v>
      </c>
      <c r="G26" s="6" t="str">
        <f t="shared" si="4"/>
        <v>0</v>
      </c>
      <c r="H26" s="6" t="str">
        <f t="shared" si="5"/>
        <v>1</v>
      </c>
      <c r="I26" s="6" t="str">
        <f t="shared" si="6"/>
        <v>1</v>
      </c>
      <c r="J26" s="6" t="str">
        <f t="shared" si="7"/>
        <v>1</v>
      </c>
      <c r="K26" s="6" t="str">
        <f t="shared" si="8"/>
        <v>1</v>
      </c>
      <c r="M26">
        <f t="shared" si="9"/>
        <v>2.5999999999999998E-5</v>
      </c>
      <c r="N26">
        <f t="shared" si="10"/>
        <v>1.4666666666666666E-5</v>
      </c>
      <c r="O26">
        <f t="shared" si="11"/>
        <v>610</v>
      </c>
      <c r="P26" s="2" t="s">
        <v>20</v>
      </c>
    </row>
    <row r="27" spans="4:16" hidden="1" x14ac:dyDescent="0.35">
      <c r="D27" s="6">
        <v>16</v>
      </c>
      <c r="E27" s="2" t="s">
        <v>21</v>
      </c>
      <c r="F27" s="6" t="str">
        <f t="shared" si="3"/>
        <v>0</v>
      </c>
      <c r="G27" s="6" t="str">
        <f t="shared" si="4"/>
        <v>1</v>
      </c>
      <c r="H27" s="6" t="str">
        <f t="shared" si="5"/>
        <v>0</v>
      </c>
      <c r="I27" s="6" t="str">
        <f t="shared" si="6"/>
        <v>0</v>
      </c>
      <c r="J27" s="6" t="str">
        <f t="shared" si="7"/>
        <v>0</v>
      </c>
      <c r="K27" s="6" t="str">
        <f t="shared" si="8"/>
        <v>0</v>
      </c>
      <c r="M27">
        <f t="shared" si="9"/>
        <v>2.8571428571428574E-5</v>
      </c>
      <c r="N27">
        <f t="shared" si="10"/>
        <v>1.3333333333333333E-5</v>
      </c>
      <c r="O27">
        <f t="shared" si="11"/>
        <v>670.47619047619048</v>
      </c>
      <c r="P27" s="2" t="s">
        <v>21</v>
      </c>
    </row>
    <row r="28" spans="4:16" hidden="1" x14ac:dyDescent="0.35">
      <c r="D28" s="6">
        <v>17</v>
      </c>
      <c r="E28" s="2" t="s">
        <v>20</v>
      </c>
      <c r="F28" s="6" t="str">
        <f t="shared" si="3"/>
        <v>0</v>
      </c>
      <c r="G28" s="6" t="str">
        <f t="shared" si="4"/>
        <v>1</v>
      </c>
      <c r="H28" s="6" t="str">
        <f t="shared" si="5"/>
        <v>0</v>
      </c>
      <c r="I28" s="6" t="str">
        <f t="shared" si="6"/>
        <v>0</v>
      </c>
      <c r="J28" s="6" t="str">
        <f t="shared" si="7"/>
        <v>0</v>
      </c>
      <c r="K28" s="6" t="str">
        <f t="shared" si="8"/>
        <v>1</v>
      </c>
      <c r="M28">
        <f t="shared" si="9"/>
        <v>3.0571428571428572E-5</v>
      </c>
      <c r="N28">
        <f t="shared" si="10"/>
        <v>1.5333333333333334E-5</v>
      </c>
      <c r="O28">
        <f t="shared" si="11"/>
        <v>780.38095238095252</v>
      </c>
      <c r="P28" s="2" t="s">
        <v>20</v>
      </c>
    </row>
    <row r="29" spans="4:16" hidden="1" x14ac:dyDescent="0.35">
      <c r="D29" s="6">
        <v>18</v>
      </c>
      <c r="E29" s="2" t="s">
        <v>20</v>
      </c>
      <c r="F29" s="6" t="str">
        <f t="shared" si="3"/>
        <v>0</v>
      </c>
      <c r="G29" s="6" t="str">
        <f t="shared" si="4"/>
        <v>1</v>
      </c>
      <c r="H29" s="6" t="str">
        <f t="shared" si="5"/>
        <v>0</v>
      </c>
      <c r="I29" s="6" t="str">
        <f t="shared" si="6"/>
        <v>0</v>
      </c>
      <c r="J29" s="6" t="str">
        <f t="shared" si="7"/>
        <v>1</v>
      </c>
      <c r="K29" s="6" t="str">
        <f t="shared" si="8"/>
        <v>0</v>
      </c>
      <c r="M29">
        <f t="shared" si="9"/>
        <v>3.2571428571428573E-5</v>
      </c>
      <c r="N29">
        <f t="shared" si="10"/>
        <v>1.5333333333333334E-5</v>
      </c>
      <c r="O29">
        <f t="shared" si="11"/>
        <v>862.28571428571433</v>
      </c>
      <c r="P29" s="2" t="s">
        <v>20</v>
      </c>
    </row>
    <row r="30" spans="4:16" hidden="1" x14ac:dyDescent="0.35">
      <c r="D30" s="6">
        <v>19</v>
      </c>
      <c r="E30" s="2" t="s">
        <v>20</v>
      </c>
      <c r="F30" s="6" t="str">
        <f t="shared" si="3"/>
        <v>0</v>
      </c>
      <c r="G30" s="6" t="str">
        <f t="shared" si="4"/>
        <v>1</v>
      </c>
      <c r="H30" s="6" t="str">
        <f t="shared" si="5"/>
        <v>0</v>
      </c>
      <c r="I30" s="6" t="str">
        <f t="shared" si="6"/>
        <v>0</v>
      </c>
      <c r="J30" s="6" t="str">
        <f t="shared" si="7"/>
        <v>1</v>
      </c>
      <c r="K30" s="6" t="str">
        <f t="shared" si="8"/>
        <v>1</v>
      </c>
      <c r="M30">
        <f t="shared" si="9"/>
        <v>3.4571428571428574E-5</v>
      </c>
      <c r="N30">
        <f t="shared" si="10"/>
        <v>1.7333333333333336E-5</v>
      </c>
      <c r="O30">
        <f t="shared" si="11"/>
        <v>986.19047619047615</v>
      </c>
      <c r="P30" s="2" t="s">
        <v>20</v>
      </c>
    </row>
    <row r="31" spans="4:16" hidden="1" x14ac:dyDescent="0.35">
      <c r="D31" s="6">
        <v>20</v>
      </c>
      <c r="E31" s="2" t="s">
        <v>20</v>
      </c>
      <c r="F31" s="6" t="str">
        <f t="shared" si="3"/>
        <v>0</v>
      </c>
      <c r="G31" s="6" t="str">
        <f t="shared" si="4"/>
        <v>1</v>
      </c>
      <c r="H31" s="6" t="str">
        <f t="shared" si="5"/>
        <v>0</v>
      </c>
      <c r="I31" s="6" t="str">
        <f t="shared" si="6"/>
        <v>1</v>
      </c>
      <c r="J31" s="6" t="str">
        <f t="shared" si="7"/>
        <v>0</v>
      </c>
      <c r="K31" s="6" t="str">
        <f t="shared" si="8"/>
        <v>0</v>
      </c>
      <c r="M31">
        <f t="shared" si="9"/>
        <v>3.5238095238095239E-5</v>
      </c>
      <c r="N31">
        <f t="shared" si="10"/>
        <v>1.7333333333333332E-5</v>
      </c>
      <c r="O31">
        <f t="shared" si="11"/>
        <v>1051.4285714285713</v>
      </c>
      <c r="P31" s="2" t="s">
        <v>20</v>
      </c>
    </row>
    <row r="32" spans="4:16" hidden="1" x14ac:dyDescent="0.35">
      <c r="D32" s="6">
        <v>21</v>
      </c>
      <c r="E32" s="2" t="s">
        <v>20</v>
      </c>
      <c r="F32" s="6" t="str">
        <f t="shared" si="3"/>
        <v>0</v>
      </c>
      <c r="G32" s="6" t="str">
        <f t="shared" si="4"/>
        <v>1</v>
      </c>
      <c r="H32" s="6" t="str">
        <f t="shared" si="5"/>
        <v>0</v>
      </c>
      <c r="I32" s="6" t="str">
        <f t="shared" si="6"/>
        <v>1</v>
      </c>
      <c r="J32" s="6" t="str">
        <f t="shared" si="7"/>
        <v>0</v>
      </c>
      <c r="K32" s="6" t="str">
        <f t="shared" si="8"/>
        <v>1</v>
      </c>
      <c r="M32">
        <f t="shared" si="9"/>
        <v>3.723809523809524E-5</v>
      </c>
      <c r="N32">
        <f t="shared" si="10"/>
        <v>1.9333333333333333E-5</v>
      </c>
      <c r="O32">
        <f t="shared" si="11"/>
        <v>1188</v>
      </c>
      <c r="P32" s="2" t="s">
        <v>20</v>
      </c>
    </row>
    <row r="33" spans="4:17" hidden="1" x14ac:dyDescent="0.35">
      <c r="D33" s="6">
        <v>22</v>
      </c>
      <c r="E33" s="2" t="s">
        <v>20</v>
      </c>
      <c r="F33" s="6" t="str">
        <f t="shared" si="3"/>
        <v>0</v>
      </c>
      <c r="G33" s="6" t="str">
        <f t="shared" si="4"/>
        <v>1</v>
      </c>
      <c r="H33" s="6" t="str">
        <f t="shared" si="5"/>
        <v>0</v>
      </c>
      <c r="I33" s="6" t="str">
        <f t="shared" si="6"/>
        <v>1</v>
      </c>
      <c r="J33" s="6" t="str">
        <f t="shared" si="7"/>
        <v>1</v>
      </c>
      <c r="K33" s="6" t="str">
        <f t="shared" si="8"/>
        <v>0</v>
      </c>
      <c r="M33">
        <f t="shared" si="9"/>
        <v>3.9238095238095242E-5</v>
      </c>
      <c r="N33">
        <f t="shared" si="10"/>
        <v>1.9333333333333333E-5</v>
      </c>
      <c r="O33">
        <f t="shared" si="11"/>
        <v>1288.5714285714287</v>
      </c>
      <c r="P33" s="2" t="s">
        <v>20</v>
      </c>
    </row>
    <row r="34" spans="4:17" hidden="1" x14ac:dyDescent="0.35">
      <c r="D34" s="6">
        <v>23</v>
      </c>
      <c r="E34" s="2" t="s">
        <v>20</v>
      </c>
      <c r="F34" s="6" t="str">
        <f t="shared" si="3"/>
        <v>0</v>
      </c>
      <c r="G34" s="6" t="str">
        <f t="shared" si="4"/>
        <v>1</v>
      </c>
      <c r="H34" s="6" t="str">
        <f t="shared" si="5"/>
        <v>0</v>
      </c>
      <c r="I34" s="6" t="str">
        <f t="shared" si="6"/>
        <v>1</v>
      </c>
      <c r="J34" s="6" t="str">
        <f t="shared" si="7"/>
        <v>1</v>
      </c>
      <c r="K34" s="6" t="str">
        <f t="shared" si="8"/>
        <v>1</v>
      </c>
      <c r="M34">
        <f t="shared" si="9"/>
        <v>4.1238095238095243E-5</v>
      </c>
      <c r="N34">
        <f t="shared" si="10"/>
        <v>2.1333333333333335E-5</v>
      </c>
      <c r="O34">
        <f t="shared" si="11"/>
        <v>1439.1428571428571</v>
      </c>
      <c r="P34" s="2" t="s">
        <v>20</v>
      </c>
    </row>
    <row r="35" spans="4:17" hidden="1" x14ac:dyDescent="0.35">
      <c r="D35" s="6">
        <v>24</v>
      </c>
      <c r="E35" s="2" t="s">
        <v>21</v>
      </c>
      <c r="F35" s="6" t="str">
        <f t="shared" si="3"/>
        <v>0</v>
      </c>
      <c r="G35" s="6" t="str">
        <f t="shared" si="4"/>
        <v>1</v>
      </c>
      <c r="H35" s="6" t="str">
        <f t="shared" si="5"/>
        <v>1</v>
      </c>
      <c r="I35" s="6" t="str">
        <f t="shared" si="6"/>
        <v>0</v>
      </c>
      <c r="J35" s="6" t="str">
        <f t="shared" si="7"/>
        <v>0</v>
      </c>
      <c r="K35" s="6" t="str">
        <f t="shared" si="8"/>
        <v>0</v>
      </c>
      <c r="M35">
        <f t="shared" si="9"/>
        <v>4.1904761904761908E-5</v>
      </c>
      <c r="N35">
        <f t="shared" si="10"/>
        <v>1.9999999999999998E-5</v>
      </c>
      <c r="O35">
        <f t="shared" si="11"/>
        <v>1485.7142857142858</v>
      </c>
      <c r="P35" s="2" t="s">
        <v>21</v>
      </c>
    </row>
    <row r="36" spans="4:17" hidden="1" x14ac:dyDescent="0.35">
      <c r="D36" s="6">
        <v>25</v>
      </c>
      <c r="E36" s="2" t="s">
        <v>20</v>
      </c>
      <c r="F36" s="6" t="str">
        <f t="shared" si="3"/>
        <v>0</v>
      </c>
      <c r="G36" s="6" t="str">
        <f t="shared" si="4"/>
        <v>1</v>
      </c>
      <c r="H36" s="6" t="str">
        <f t="shared" si="5"/>
        <v>1</v>
      </c>
      <c r="I36" s="6" t="str">
        <f t="shared" si="6"/>
        <v>0</v>
      </c>
      <c r="J36" s="6" t="str">
        <f t="shared" si="7"/>
        <v>0</v>
      </c>
      <c r="K36" s="6" t="str">
        <f t="shared" si="8"/>
        <v>1</v>
      </c>
      <c r="M36">
        <f t="shared" si="9"/>
        <v>4.3904761904761909E-5</v>
      </c>
      <c r="N36">
        <f t="shared" si="10"/>
        <v>2.1999999999999999E-5</v>
      </c>
      <c r="O36">
        <f t="shared" si="11"/>
        <v>1647.6190476190477</v>
      </c>
      <c r="P36" s="2" t="s">
        <v>20</v>
      </c>
    </row>
    <row r="37" spans="4:17" hidden="1" x14ac:dyDescent="0.35">
      <c r="D37" s="6">
        <v>26</v>
      </c>
      <c r="E37" s="2" t="s">
        <v>20</v>
      </c>
      <c r="F37" s="6" t="str">
        <f t="shared" si="3"/>
        <v>0</v>
      </c>
      <c r="G37" s="6" t="str">
        <f t="shared" si="4"/>
        <v>1</v>
      </c>
      <c r="H37" s="6" t="str">
        <f t="shared" si="5"/>
        <v>1</v>
      </c>
      <c r="I37" s="6" t="str">
        <f t="shared" si="6"/>
        <v>0</v>
      </c>
      <c r="J37" s="6" t="str">
        <f t="shared" si="7"/>
        <v>1</v>
      </c>
      <c r="K37" s="6" t="str">
        <f t="shared" si="8"/>
        <v>0</v>
      </c>
      <c r="M37">
        <f t="shared" si="9"/>
        <v>4.590476190476191E-5</v>
      </c>
      <c r="N37">
        <f t="shared" si="10"/>
        <v>2.1999999999999999E-5</v>
      </c>
      <c r="O37">
        <f t="shared" si="11"/>
        <v>1765.5238095238096</v>
      </c>
      <c r="P37" s="2" t="s">
        <v>20</v>
      </c>
    </row>
    <row r="38" spans="4:17" hidden="1" x14ac:dyDescent="0.35">
      <c r="D38" s="6">
        <v>27</v>
      </c>
      <c r="E38" s="2" t="s">
        <v>20</v>
      </c>
      <c r="F38" s="6" t="str">
        <f t="shared" si="3"/>
        <v>0</v>
      </c>
      <c r="G38" s="6" t="str">
        <f t="shared" si="4"/>
        <v>1</v>
      </c>
      <c r="H38" s="6" t="str">
        <f t="shared" si="5"/>
        <v>1</v>
      </c>
      <c r="I38" s="6" t="str">
        <f t="shared" si="6"/>
        <v>0</v>
      </c>
      <c r="J38" s="6" t="str">
        <f t="shared" si="7"/>
        <v>1</v>
      </c>
      <c r="K38" s="6" t="str">
        <f t="shared" si="8"/>
        <v>1</v>
      </c>
      <c r="M38">
        <f t="shared" si="9"/>
        <v>4.7904761904761911E-5</v>
      </c>
      <c r="N38">
        <f t="shared" si="10"/>
        <v>2.4000000000000001E-5</v>
      </c>
      <c r="O38">
        <f t="shared" si="11"/>
        <v>1941.4285714285713</v>
      </c>
      <c r="P38" s="2" t="s">
        <v>20</v>
      </c>
    </row>
    <row r="39" spans="4:17" hidden="1" x14ac:dyDescent="0.35">
      <c r="D39" s="6">
        <v>28</v>
      </c>
      <c r="E39" s="2" t="s">
        <v>21</v>
      </c>
      <c r="F39" s="6" t="str">
        <f t="shared" si="3"/>
        <v>0</v>
      </c>
      <c r="G39" s="6" t="str">
        <f t="shared" si="4"/>
        <v>1</v>
      </c>
      <c r="H39" s="6" t="str">
        <f t="shared" si="5"/>
        <v>1</v>
      </c>
      <c r="I39" s="6" t="str">
        <f t="shared" si="6"/>
        <v>1</v>
      </c>
      <c r="J39" s="6" t="str">
        <f t="shared" si="7"/>
        <v>0</v>
      </c>
      <c r="K39" s="6" t="str">
        <f t="shared" si="8"/>
        <v>0</v>
      </c>
      <c r="M39">
        <f t="shared" si="9"/>
        <v>4.8571428571428576E-5</v>
      </c>
      <c r="N39">
        <f t="shared" si="10"/>
        <v>2.3999999999999997E-5</v>
      </c>
      <c r="O39">
        <f t="shared" si="11"/>
        <v>2032</v>
      </c>
      <c r="P39" s="2" t="s">
        <v>21</v>
      </c>
    </row>
    <row r="40" spans="4:17" hidden="1" x14ac:dyDescent="0.35">
      <c r="D40" s="6">
        <v>29</v>
      </c>
      <c r="E40" s="2" t="s">
        <v>20</v>
      </c>
      <c r="F40" s="6" t="str">
        <f t="shared" si="3"/>
        <v>0</v>
      </c>
      <c r="G40" s="6" t="str">
        <f t="shared" si="4"/>
        <v>1</v>
      </c>
      <c r="H40" s="6" t="str">
        <f t="shared" si="5"/>
        <v>1</v>
      </c>
      <c r="I40" s="6" t="str">
        <f t="shared" si="6"/>
        <v>1</v>
      </c>
      <c r="J40" s="6" t="str">
        <f t="shared" si="7"/>
        <v>0</v>
      </c>
      <c r="K40" s="6" t="str">
        <f t="shared" si="8"/>
        <v>1</v>
      </c>
      <c r="M40">
        <f t="shared" si="9"/>
        <v>5.0571428571428577E-5</v>
      </c>
      <c r="N40">
        <f t="shared" si="10"/>
        <v>2.5999999999999998E-5</v>
      </c>
      <c r="O40">
        <f t="shared" si="11"/>
        <v>2220.5714285714284</v>
      </c>
      <c r="P40" s="2" t="s">
        <v>20</v>
      </c>
    </row>
    <row r="41" spans="4:17" hidden="1" x14ac:dyDescent="0.35">
      <c r="D41" s="6">
        <v>30</v>
      </c>
      <c r="E41" s="2" t="s">
        <v>20</v>
      </c>
      <c r="F41" s="6" t="str">
        <f t="shared" si="3"/>
        <v>0</v>
      </c>
      <c r="G41" s="6" t="str">
        <f t="shared" si="4"/>
        <v>1</v>
      </c>
      <c r="H41" s="6" t="str">
        <f t="shared" si="5"/>
        <v>1</v>
      </c>
      <c r="I41" s="6" t="str">
        <f t="shared" si="6"/>
        <v>1</v>
      </c>
      <c r="J41" s="6" t="str">
        <f t="shared" si="7"/>
        <v>1</v>
      </c>
      <c r="K41" s="6" t="str">
        <f t="shared" si="8"/>
        <v>0</v>
      </c>
      <c r="M41">
        <f t="shared" si="9"/>
        <v>5.2571428571428578E-5</v>
      </c>
      <c r="N41">
        <f t="shared" si="10"/>
        <v>2.5999999999999998E-5</v>
      </c>
      <c r="O41">
        <f t="shared" si="11"/>
        <v>2357.1428571428573</v>
      </c>
      <c r="P41" s="2" t="s">
        <v>20</v>
      </c>
    </row>
    <row r="42" spans="4:17" hidden="1" x14ac:dyDescent="0.35">
      <c r="D42" s="6">
        <v>31</v>
      </c>
      <c r="E42" s="2" t="s">
        <v>16</v>
      </c>
      <c r="F42" s="6" t="str">
        <f t="shared" si="3"/>
        <v>0</v>
      </c>
      <c r="G42" s="6" t="str">
        <f t="shared" si="4"/>
        <v>1</v>
      </c>
      <c r="H42" s="6" t="str">
        <f t="shared" si="5"/>
        <v>1</v>
      </c>
      <c r="I42" s="6" t="str">
        <f t="shared" si="6"/>
        <v>1</v>
      </c>
      <c r="J42" s="6" t="str">
        <f t="shared" si="7"/>
        <v>1</v>
      </c>
      <c r="K42" s="6" t="str">
        <f t="shared" si="8"/>
        <v>1</v>
      </c>
      <c r="M42">
        <f t="shared" si="9"/>
        <v>5.4571428571428579E-5</v>
      </c>
      <c r="N42">
        <f t="shared" si="10"/>
        <v>2.8E-5</v>
      </c>
      <c r="O42">
        <f t="shared" si="11"/>
        <v>2559.7142857142862</v>
      </c>
      <c r="P42" s="2" t="s">
        <v>16</v>
      </c>
      <c r="Q42" t="s">
        <v>59</v>
      </c>
    </row>
    <row r="43" spans="4:17" x14ac:dyDescent="0.35">
      <c r="D43" s="6">
        <v>32</v>
      </c>
      <c r="E43" s="2" t="s">
        <v>22</v>
      </c>
      <c r="F43" s="6" t="str">
        <f t="shared" ref="F43:F74" si="12">LEFT(RIGHT(DEC2BIN($D43,6),6),1)</f>
        <v>1</v>
      </c>
      <c r="G43" s="6" t="str">
        <f t="shared" ref="G43:G74" si="13">LEFT(RIGHT(DEC2BIN($D43,6),5),1)</f>
        <v>0</v>
      </c>
      <c r="H43" s="6" t="str">
        <f t="shared" ref="H43:H74" si="14">LEFT(RIGHT(DEC2BIN($D43,6),4),1)</f>
        <v>0</v>
      </c>
      <c r="I43" s="6" t="str">
        <f t="shared" ref="I43:I74" si="15">LEFT(RIGHT(DEC2BIN($D43,6),3),1)</f>
        <v>0</v>
      </c>
      <c r="J43" s="6" t="str">
        <f t="shared" ref="J43:J74" si="16">LEFT(RIGHT(DEC2BIN($D43,6),2),1)</f>
        <v>0</v>
      </c>
      <c r="K43" s="6" t="str">
        <f t="shared" ref="K43:K74" si="17">LEFT(RIGHT(DEC2BIN($D43,6),1),1)</f>
        <v>0</v>
      </c>
      <c r="M43">
        <f t="shared" ref="M43:M74" si="18">(($F43*$L$2)+($G43*$L$3)+($H43*$L$4)+($I43*$L$5)+($J43*$L$6)+($K43*$L$7))</f>
        <v>2.8571428571428574E-5</v>
      </c>
      <c r="N43">
        <f t="shared" ref="N43:N74" si="19">(($F43*$M$2)+($G43*$M$3)+($H43*$M$4)+($I43*$M$5)+($J43*$M$6)+($K43*$M$7))</f>
        <v>2.8571428571428574E-5</v>
      </c>
      <c r="O43">
        <f t="shared" ref="O43:O74" si="20" xml:space="preserve"> (M43+N43)*1000000*D43</f>
        <v>1828.5714285714287</v>
      </c>
      <c r="P43" s="2" t="s">
        <v>22</v>
      </c>
    </row>
    <row r="44" spans="4:17" x14ac:dyDescent="0.35">
      <c r="D44" s="6">
        <v>33</v>
      </c>
      <c r="E44" s="2" t="s">
        <v>22</v>
      </c>
      <c r="F44" s="6" t="str">
        <f t="shared" si="12"/>
        <v>1</v>
      </c>
      <c r="G44" s="6" t="str">
        <f t="shared" si="13"/>
        <v>0</v>
      </c>
      <c r="H44" s="6" t="str">
        <f t="shared" si="14"/>
        <v>0</v>
      </c>
      <c r="I44" s="6" t="str">
        <f t="shared" si="15"/>
        <v>0</v>
      </c>
      <c r="J44" s="6" t="str">
        <f t="shared" si="16"/>
        <v>0</v>
      </c>
      <c r="K44" s="6" t="str">
        <f t="shared" si="17"/>
        <v>1</v>
      </c>
      <c r="M44">
        <f t="shared" si="18"/>
        <v>3.0571428571428572E-5</v>
      </c>
      <c r="N44">
        <f t="shared" si="19"/>
        <v>3.0571428571428572E-5</v>
      </c>
      <c r="O44">
        <f t="shared" si="20"/>
        <v>2017.7142857142858</v>
      </c>
      <c r="P44" s="2" t="s">
        <v>22</v>
      </c>
    </row>
    <row r="45" spans="4:17" x14ac:dyDescent="0.35">
      <c r="D45" s="6">
        <v>34</v>
      </c>
      <c r="E45" s="2" t="s">
        <v>22</v>
      </c>
      <c r="F45" s="6" t="str">
        <f t="shared" si="12"/>
        <v>1</v>
      </c>
      <c r="G45" s="6" t="str">
        <f t="shared" si="13"/>
        <v>0</v>
      </c>
      <c r="H45" s="6" t="str">
        <f t="shared" si="14"/>
        <v>0</v>
      </c>
      <c r="I45" s="6" t="str">
        <f t="shared" si="15"/>
        <v>0</v>
      </c>
      <c r="J45" s="6" t="str">
        <f t="shared" si="16"/>
        <v>1</v>
      </c>
      <c r="K45" s="6" t="str">
        <f t="shared" si="17"/>
        <v>0</v>
      </c>
      <c r="M45">
        <f t="shared" si="18"/>
        <v>3.2571428571428573E-5</v>
      </c>
      <c r="N45">
        <f t="shared" si="19"/>
        <v>3.0571428571428572E-5</v>
      </c>
      <c r="O45">
        <f t="shared" si="20"/>
        <v>2146.8571428571431</v>
      </c>
      <c r="P45" s="2" t="s">
        <v>22</v>
      </c>
    </row>
    <row r="46" spans="4:17" x14ac:dyDescent="0.35">
      <c r="D46" s="6">
        <v>35</v>
      </c>
      <c r="E46" s="2" t="s">
        <v>22</v>
      </c>
      <c r="F46" s="6" t="str">
        <f t="shared" si="12"/>
        <v>1</v>
      </c>
      <c r="G46" s="6" t="str">
        <f t="shared" si="13"/>
        <v>0</v>
      </c>
      <c r="H46" s="6" t="str">
        <f t="shared" si="14"/>
        <v>0</v>
      </c>
      <c r="I46" s="6" t="str">
        <f t="shared" si="15"/>
        <v>0</v>
      </c>
      <c r="J46" s="6" t="str">
        <f t="shared" si="16"/>
        <v>1</v>
      </c>
      <c r="K46" s="6" t="str">
        <f t="shared" si="17"/>
        <v>1</v>
      </c>
      <c r="M46">
        <f t="shared" si="18"/>
        <v>3.4571428571428574E-5</v>
      </c>
      <c r="N46">
        <f t="shared" si="19"/>
        <v>3.2571428571428573E-5</v>
      </c>
      <c r="O46">
        <f t="shared" si="20"/>
        <v>2350</v>
      </c>
      <c r="P46" s="2" t="s">
        <v>22</v>
      </c>
    </row>
    <row r="47" spans="4:17" x14ac:dyDescent="0.35">
      <c r="D47" s="6">
        <v>36</v>
      </c>
      <c r="E47" s="2" t="s">
        <v>22</v>
      </c>
      <c r="F47" s="6" t="str">
        <f t="shared" si="12"/>
        <v>1</v>
      </c>
      <c r="G47" s="6" t="str">
        <f t="shared" si="13"/>
        <v>0</v>
      </c>
      <c r="H47" s="6" t="str">
        <f t="shared" si="14"/>
        <v>0</v>
      </c>
      <c r="I47" s="6" t="str">
        <f t="shared" si="15"/>
        <v>1</v>
      </c>
      <c r="J47" s="6" t="str">
        <f t="shared" si="16"/>
        <v>0</v>
      </c>
      <c r="K47" s="6" t="str">
        <f t="shared" si="17"/>
        <v>0</v>
      </c>
      <c r="M47">
        <f t="shared" si="18"/>
        <v>3.5238095238095239E-5</v>
      </c>
      <c r="N47">
        <f t="shared" si="19"/>
        <v>3.2571428571428573E-5</v>
      </c>
      <c r="O47">
        <f t="shared" si="20"/>
        <v>2441.1428571428573</v>
      </c>
      <c r="P47" s="2" t="s">
        <v>22</v>
      </c>
    </row>
    <row r="48" spans="4:17" x14ac:dyDescent="0.35">
      <c r="D48" s="6">
        <v>37</v>
      </c>
      <c r="E48" s="2" t="s">
        <v>22</v>
      </c>
      <c r="F48" s="6" t="str">
        <f t="shared" si="12"/>
        <v>1</v>
      </c>
      <c r="G48" s="6" t="str">
        <f t="shared" si="13"/>
        <v>0</v>
      </c>
      <c r="H48" s="6" t="str">
        <f t="shared" si="14"/>
        <v>0</v>
      </c>
      <c r="I48" s="6" t="str">
        <f t="shared" si="15"/>
        <v>1</v>
      </c>
      <c r="J48" s="6" t="str">
        <f t="shared" si="16"/>
        <v>0</v>
      </c>
      <c r="K48" s="6" t="str">
        <f t="shared" si="17"/>
        <v>1</v>
      </c>
      <c r="M48">
        <f t="shared" si="18"/>
        <v>3.723809523809524E-5</v>
      </c>
      <c r="N48">
        <f t="shared" si="19"/>
        <v>3.4571428571428574E-5</v>
      </c>
      <c r="O48">
        <f t="shared" si="20"/>
        <v>2656.9523809523816</v>
      </c>
      <c r="P48" s="2" t="s">
        <v>22</v>
      </c>
    </row>
    <row r="49" spans="4:16" x14ac:dyDescent="0.35">
      <c r="D49" s="6">
        <v>38</v>
      </c>
      <c r="E49" s="2" t="s">
        <v>22</v>
      </c>
      <c r="F49" s="6" t="str">
        <f t="shared" si="12"/>
        <v>1</v>
      </c>
      <c r="G49" s="6" t="str">
        <f t="shared" si="13"/>
        <v>0</v>
      </c>
      <c r="H49" s="6" t="str">
        <f t="shared" si="14"/>
        <v>0</v>
      </c>
      <c r="I49" s="6" t="str">
        <f t="shared" si="15"/>
        <v>1</v>
      </c>
      <c r="J49" s="6" t="str">
        <f t="shared" si="16"/>
        <v>1</v>
      </c>
      <c r="K49" s="6" t="str">
        <f t="shared" si="17"/>
        <v>0</v>
      </c>
      <c r="M49">
        <f t="shared" si="18"/>
        <v>3.9238095238095242E-5</v>
      </c>
      <c r="N49">
        <f t="shared" si="19"/>
        <v>3.4571428571428574E-5</v>
      </c>
      <c r="O49">
        <f t="shared" si="20"/>
        <v>2804.7619047619046</v>
      </c>
      <c r="P49" s="2" t="s">
        <v>22</v>
      </c>
    </row>
    <row r="50" spans="4:16" x14ac:dyDescent="0.35">
      <c r="D50" s="6">
        <v>39</v>
      </c>
      <c r="E50" s="2" t="s">
        <v>22</v>
      </c>
      <c r="F50" s="6" t="str">
        <f t="shared" si="12"/>
        <v>1</v>
      </c>
      <c r="G50" s="6" t="str">
        <f t="shared" si="13"/>
        <v>0</v>
      </c>
      <c r="H50" s="6" t="str">
        <f t="shared" si="14"/>
        <v>0</v>
      </c>
      <c r="I50" s="6" t="str">
        <f t="shared" si="15"/>
        <v>1</v>
      </c>
      <c r="J50" s="6" t="str">
        <f t="shared" si="16"/>
        <v>1</v>
      </c>
      <c r="K50" s="6" t="str">
        <f t="shared" si="17"/>
        <v>1</v>
      </c>
      <c r="M50">
        <f t="shared" si="18"/>
        <v>4.1238095238095243E-5</v>
      </c>
      <c r="N50">
        <f t="shared" si="19"/>
        <v>3.6571428571428576E-5</v>
      </c>
      <c r="O50">
        <f t="shared" si="20"/>
        <v>3034.5714285714294</v>
      </c>
      <c r="P50" s="2" t="s">
        <v>22</v>
      </c>
    </row>
    <row r="51" spans="4:16" x14ac:dyDescent="0.35">
      <c r="D51" s="6">
        <v>40</v>
      </c>
      <c r="E51" s="2" t="s">
        <v>22</v>
      </c>
      <c r="F51" s="6" t="str">
        <f t="shared" si="12"/>
        <v>1</v>
      </c>
      <c r="G51" s="6" t="str">
        <f t="shared" si="13"/>
        <v>0</v>
      </c>
      <c r="H51" s="6" t="str">
        <f t="shared" si="14"/>
        <v>1</v>
      </c>
      <c r="I51" s="6" t="str">
        <f t="shared" si="15"/>
        <v>0</v>
      </c>
      <c r="J51" s="6" t="str">
        <f t="shared" si="16"/>
        <v>0</v>
      </c>
      <c r="K51" s="6" t="str">
        <f t="shared" si="17"/>
        <v>0</v>
      </c>
      <c r="M51">
        <f t="shared" si="18"/>
        <v>4.1904761904761908E-5</v>
      </c>
      <c r="N51">
        <f t="shared" si="19"/>
        <v>3.5238095238095239E-5</v>
      </c>
      <c r="O51">
        <f t="shared" si="20"/>
        <v>3085.7142857142853</v>
      </c>
      <c r="P51" s="2" t="s">
        <v>22</v>
      </c>
    </row>
    <row r="52" spans="4:16" x14ac:dyDescent="0.35">
      <c r="D52" s="6">
        <v>41</v>
      </c>
      <c r="E52" s="2" t="s">
        <v>22</v>
      </c>
      <c r="F52" s="6" t="str">
        <f t="shared" si="12"/>
        <v>1</v>
      </c>
      <c r="G52" s="6" t="str">
        <f t="shared" si="13"/>
        <v>0</v>
      </c>
      <c r="H52" s="6" t="str">
        <f t="shared" si="14"/>
        <v>1</v>
      </c>
      <c r="I52" s="6" t="str">
        <f t="shared" si="15"/>
        <v>0</v>
      </c>
      <c r="J52" s="6" t="str">
        <f t="shared" si="16"/>
        <v>0</v>
      </c>
      <c r="K52" s="6" t="str">
        <f t="shared" si="17"/>
        <v>1</v>
      </c>
      <c r="M52">
        <f t="shared" si="18"/>
        <v>4.3904761904761909E-5</v>
      </c>
      <c r="N52">
        <f t="shared" si="19"/>
        <v>3.723809523809524E-5</v>
      </c>
      <c r="O52">
        <f t="shared" si="20"/>
        <v>3326.8571428571431</v>
      </c>
      <c r="P52" s="2" t="s">
        <v>22</v>
      </c>
    </row>
    <row r="53" spans="4:16" x14ac:dyDescent="0.35">
      <c r="D53" s="6">
        <v>42</v>
      </c>
      <c r="E53" s="2" t="s">
        <v>22</v>
      </c>
      <c r="F53" s="6" t="str">
        <f t="shared" si="12"/>
        <v>1</v>
      </c>
      <c r="G53" s="6" t="str">
        <f t="shared" si="13"/>
        <v>0</v>
      </c>
      <c r="H53" s="6" t="str">
        <f t="shared" si="14"/>
        <v>1</v>
      </c>
      <c r="I53" s="6" t="str">
        <f t="shared" si="15"/>
        <v>0</v>
      </c>
      <c r="J53" s="6" t="str">
        <f t="shared" si="16"/>
        <v>1</v>
      </c>
      <c r="K53" s="6" t="str">
        <f t="shared" si="17"/>
        <v>0</v>
      </c>
      <c r="M53">
        <f t="shared" si="18"/>
        <v>4.590476190476191E-5</v>
      </c>
      <c r="N53">
        <f t="shared" si="19"/>
        <v>3.723809523809524E-5</v>
      </c>
      <c r="O53">
        <f t="shared" si="20"/>
        <v>3492.0000000000005</v>
      </c>
      <c r="P53" s="2" t="s">
        <v>22</v>
      </c>
    </row>
    <row r="54" spans="4:16" x14ac:dyDescent="0.35">
      <c r="D54" s="6">
        <v>43</v>
      </c>
      <c r="E54" s="2" t="s">
        <v>22</v>
      </c>
      <c r="F54" s="6" t="str">
        <f t="shared" si="12"/>
        <v>1</v>
      </c>
      <c r="G54" s="6" t="str">
        <f t="shared" si="13"/>
        <v>0</v>
      </c>
      <c r="H54" s="6" t="str">
        <f t="shared" si="14"/>
        <v>1</v>
      </c>
      <c r="I54" s="6" t="str">
        <f t="shared" si="15"/>
        <v>0</v>
      </c>
      <c r="J54" s="6" t="str">
        <f t="shared" si="16"/>
        <v>1</v>
      </c>
      <c r="K54" s="6" t="str">
        <f t="shared" si="17"/>
        <v>1</v>
      </c>
      <c r="M54">
        <f t="shared" si="18"/>
        <v>4.7904761904761911E-5</v>
      </c>
      <c r="N54">
        <f t="shared" si="19"/>
        <v>3.9238095238095242E-5</v>
      </c>
      <c r="O54">
        <f t="shared" si="20"/>
        <v>3747.1428571428578</v>
      </c>
      <c r="P54" s="2" t="s">
        <v>22</v>
      </c>
    </row>
    <row r="55" spans="4:16" x14ac:dyDescent="0.35">
      <c r="D55" s="6">
        <v>44</v>
      </c>
      <c r="E55" s="2" t="s">
        <v>22</v>
      </c>
      <c r="F55" s="6" t="str">
        <f t="shared" si="12"/>
        <v>1</v>
      </c>
      <c r="G55" s="6" t="str">
        <f t="shared" si="13"/>
        <v>0</v>
      </c>
      <c r="H55" s="6" t="str">
        <f t="shared" si="14"/>
        <v>1</v>
      </c>
      <c r="I55" s="6" t="str">
        <f t="shared" si="15"/>
        <v>1</v>
      </c>
      <c r="J55" s="6" t="str">
        <f t="shared" si="16"/>
        <v>0</v>
      </c>
      <c r="K55" s="6" t="str">
        <f t="shared" si="17"/>
        <v>0</v>
      </c>
      <c r="M55">
        <f t="shared" si="18"/>
        <v>4.8571428571428576E-5</v>
      </c>
      <c r="N55">
        <f t="shared" si="19"/>
        <v>3.9238095238095242E-5</v>
      </c>
      <c r="O55">
        <f t="shared" si="20"/>
        <v>3863.6190476190482</v>
      </c>
      <c r="P55" s="2" t="s">
        <v>22</v>
      </c>
    </row>
    <row r="56" spans="4:16" x14ac:dyDescent="0.35">
      <c r="D56" s="6">
        <v>45</v>
      </c>
      <c r="E56" s="2" t="s">
        <v>22</v>
      </c>
      <c r="F56" s="6" t="str">
        <f t="shared" si="12"/>
        <v>1</v>
      </c>
      <c r="G56" s="6" t="str">
        <f t="shared" si="13"/>
        <v>0</v>
      </c>
      <c r="H56" s="6" t="str">
        <f t="shared" si="14"/>
        <v>1</v>
      </c>
      <c r="I56" s="6" t="str">
        <f t="shared" si="15"/>
        <v>1</v>
      </c>
      <c r="J56" s="6" t="str">
        <f t="shared" si="16"/>
        <v>0</v>
      </c>
      <c r="K56" s="6" t="str">
        <f t="shared" si="17"/>
        <v>1</v>
      </c>
      <c r="M56">
        <f t="shared" si="18"/>
        <v>5.0571428571428577E-5</v>
      </c>
      <c r="N56">
        <f t="shared" si="19"/>
        <v>4.1238095238095243E-5</v>
      </c>
      <c r="O56">
        <f t="shared" si="20"/>
        <v>4131.4285714285725</v>
      </c>
      <c r="P56" s="2" t="s">
        <v>22</v>
      </c>
    </row>
    <row r="57" spans="4:16" x14ac:dyDescent="0.35">
      <c r="D57" s="6">
        <v>46</v>
      </c>
      <c r="E57" s="2" t="s">
        <v>22</v>
      </c>
      <c r="F57" s="6" t="str">
        <f t="shared" si="12"/>
        <v>1</v>
      </c>
      <c r="G57" s="6" t="str">
        <f t="shared" si="13"/>
        <v>0</v>
      </c>
      <c r="H57" s="6" t="str">
        <f t="shared" si="14"/>
        <v>1</v>
      </c>
      <c r="I57" s="6" t="str">
        <f t="shared" si="15"/>
        <v>1</v>
      </c>
      <c r="J57" s="6" t="str">
        <f t="shared" si="16"/>
        <v>1</v>
      </c>
      <c r="K57" s="6" t="str">
        <f t="shared" si="17"/>
        <v>0</v>
      </c>
      <c r="M57">
        <f t="shared" si="18"/>
        <v>5.2571428571428578E-5</v>
      </c>
      <c r="N57">
        <f t="shared" si="19"/>
        <v>4.1238095238095243E-5</v>
      </c>
      <c r="O57">
        <f t="shared" si="20"/>
        <v>4315.2380952380954</v>
      </c>
      <c r="P57" s="2" t="s">
        <v>22</v>
      </c>
    </row>
    <row r="58" spans="4:16" x14ac:dyDescent="0.35">
      <c r="D58" s="6">
        <v>47</v>
      </c>
      <c r="E58" s="2" t="s">
        <v>22</v>
      </c>
      <c r="F58" s="6" t="str">
        <f t="shared" si="12"/>
        <v>1</v>
      </c>
      <c r="G58" s="6" t="str">
        <f t="shared" si="13"/>
        <v>0</v>
      </c>
      <c r="H58" s="6" t="str">
        <f t="shared" si="14"/>
        <v>1</v>
      </c>
      <c r="I58" s="6" t="str">
        <f t="shared" si="15"/>
        <v>1</v>
      </c>
      <c r="J58" s="6" t="str">
        <f t="shared" si="16"/>
        <v>1</v>
      </c>
      <c r="K58" s="6" t="str">
        <f t="shared" si="17"/>
        <v>1</v>
      </c>
      <c r="M58">
        <f t="shared" si="18"/>
        <v>5.4571428571428579E-5</v>
      </c>
      <c r="N58">
        <f t="shared" si="19"/>
        <v>4.3238095238095244E-5</v>
      </c>
      <c r="O58">
        <f t="shared" si="20"/>
        <v>4597.0476190476202</v>
      </c>
      <c r="P58" s="2" t="s">
        <v>22</v>
      </c>
    </row>
    <row r="59" spans="4:16" x14ac:dyDescent="0.35">
      <c r="D59" s="6">
        <v>48</v>
      </c>
      <c r="E59" s="2" t="s">
        <v>22</v>
      </c>
      <c r="F59" s="6" t="str">
        <f t="shared" si="12"/>
        <v>1</v>
      </c>
      <c r="G59" s="6" t="str">
        <f t="shared" si="13"/>
        <v>1</v>
      </c>
      <c r="H59" s="6" t="str">
        <f t="shared" si="14"/>
        <v>0</v>
      </c>
      <c r="I59" s="6" t="str">
        <f t="shared" si="15"/>
        <v>0</v>
      </c>
      <c r="J59" s="6" t="str">
        <f t="shared" si="16"/>
        <v>0</v>
      </c>
      <c r="K59" s="6" t="str">
        <f t="shared" si="17"/>
        <v>0</v>
      </c>
      <c r="M59">
        <f t="shared" si="18"/>
        <v>5.7142857142857148E-5</v>
      </c>
      <c r="N59">
        <f t="shared" si="19"/>
        <v>4.1904761904761908E-5</v>
      </c>
      <c r="O59">
        <f t="shared" si="20"/>
        <v>4754.2857142857147</v>
      </c>
      <c r="P59" s="2" t="s">
        <v>22</v>
      </c>
    </row>
    <row r="60" spans="4:16" x14ac:dyDescent="0.35">
      <c r="D60" s="6">
        <v>49</v>
      </c>
      <c r="E60" s="2" t="s">
        <v>22</v>
      </c>
      <c r="F60" s="6" t="str">
        <f t="shared" si="12"/>
        <v>1</v>
      </c>
      <c r="G60" s="6" t="str">
        <f t="shared" si="13"/>
        <v>1</v>
      </c>
      <c r="H60" s="6" t="str">
        <f t="shared" si="14"/>
        <v>0</v>
      </c>
      <c r="I60" s="6" t="str">
        <f t="shared" si="15"/>
        <v>0</v>
      </c>
      <c r="J60" s="6" t="str">
        <f t="shared" si="16"/>
        <v>0</v>
      </c>
      <c r="K60" s="6" t="str">
        <f t="shared" si="17"/>
        <v>1</v>
      </c>
      <c r="M60">
        <f t="shared" si="18"/>
        <v>5.914285714285715E-5</v>
      </c>
      <c r="N60">
        <f t="shared" si="19"/>
        <v>4.3904761904761909E-5</v>
      </c>
      <c r="O60">
        <f t="shared" si="20"/>
        <v>5049.3333333333339</v>
      </c>
      <c r="P60" s="2" t="s">
        <v>22</v>
      </c>
    </row>
    <row r="61" spans="4:16" x14ac:dyDescent="0.35">
      <c r="D61" s="6">
        <v>50</v>
      </c>
      <c r="E61" s="2" t="s">
        <v>22</v>
      </c>
      <c r="F61" s="6" t="str">
        <f t="shared" si="12"/>
        <v>1</v>
      </c>
      <c r="G61" s="6" t="str">
        <f t="shared" si="13"/>
        <v>1</v>
      </c>
      <c r="H61" s="6" t="str">
        <f t="shared" si="14"/>
        <v>0</v>
      </c>
      <c r="I61" s="6" t="str">
        <f t="shared" si="15"/>
        <v>0</v>
      </c>
      <c r="J61" s="6" t="str">
        <f t="shared" si="16"/>
        <v>1</v>
      </c>
      <c r="K61" s="6" t="str">
        <f t="shared" si="17"/>
        <v>0</v>
      </c>
      <c r="M61">
        <f t="shared" si="18"/>
        <v>6.1142857142857144E-5</v>
      </c>
      <c r="N61">
        <f t="shared" si="19"/>
        <v>4.3904761904761909E-5</v>
      </c>
      <c r="O61">
        <f t="shared" si="20"/>
        <v>5252.3809523809532</v>
      </c>
      <c r="P61" s="2" t="s">
        <v>22</v>
      </c>
    </row>
    <row r="62" spans="4:16" x14ac:dyDescent="0.35">
      <c r="D62" s="6">
        <v>51</v>
      </c>
      <c r="E62" s="2" t="s">
        <v>22</v>
      </c>
      <c r="F62" s="6" t="str">
        <f t="shared" si="12"/>
        <v>1</v>
      </c>
      <c r="G62" s="6" t="str">
        <f t="shared" si="13"/>
        <v>1</v>
      </c>
      <c r="H62" s="6" t="str">
        <f t="shared" si="14"/>
        <v>0</v>
      </c>
      <c r="I62" s="6" t="str">
        <f t="shared" si="15"/>
        <v>0</v>
      </c>
      <c r="J62" s="6" t="str">
        <f t="shared" si="16"/>
        <v>1</v>
      </c>
      <c r="K62" s="6" t="str">
        <f t="shared" si="17"/>
        <v>1</v>
      </c>
      <c r="M62">
        <f t="shared" si="18"/>
        <v>6.3142857142857138E-5</v>
      </c>
      <c r="N62">
        <f t="shared" si="19"/>
        <v>4.590476190476191E-5</v>
      </c>
      <c r="O62">
        <f t="shared" si="20"/>
        <v>5561.4285714285716</v>
      </c>
      <c r="P62" s="2" t="s">
        <v>22</v>
      </c>
    </row>
    <row r="63" spans="4:16" x14ac:dyDescent="0.35">
      <c r="D63" s="6">
        <v>52</v>
      </c>
      <c r="E63" s="2" t="s">
        <v>22</v>
      </c>
      <c r="F63" s="6" t="str">
        <f t="shared" si="12"/>
        <v>1</v>
      </c>
      <c r="G63" s="6" t="str">
        <f t="shared" si="13"/>
        <v>1</v>
      </c>
      <c r="H63" s="6" t="str">
        <f t="shared" si="14"/>
        <v>0</v>
      </c>
      <c r="I63" s="6" t="str">
        <f t="shared" si="15"/>
        <v>1</v>
      </c>
      <c r="J63" s="6" t="str">
        <f t="shared" si="16"/>
        <v>0</v>
      </c>
      <c r="K63" s="6" t="str">
        <f t="shared" si="17"/>
        <v>0</v>
      </c>
      <c r="M63">
        <f t="shared" si="18"/>
        <v>6.3809523809523817E-5</v>
      </c>
      <c r="N63">
        <f t="shared" si="19"/>
        <v>4.590476190476191E-5</v>
      </c>
      <c r="O63">
        <f t="shared" si="20"/>
        <v>5705.1428571428578</v>
      </c>
      <c r="P63" s="2" t="s">
        <v>22</v>
      </c>
    </row>
    <row r="64" spans="4:16" x14ac:dyDescent="0.35">
      <c r="D64" s="6">
        <v>53</v>
      </c>
      <c r="E64" s="2" t="s">
        <v>22</v>
      </c>
      <c r="F64" s="6" t="str">
        <f t="shared" si="12"/>
        <v>1</v>
      </c>
      <c r="G64" s="6" t="str">
        <f t="shared" si="13"/>
        <v>1</v>
      </c>
      <c r="H64" s="6" t="str">
        <f t="shared" si="14"/>
        <v>0</v>
      </c>
      <c r="I64" s="6" t="str">
        <f t="shared" si="15"/>
        <v>1</v>
      </c>
      <c r="J64" s="6" t="str">
        <f t="shared" si="16"/>
        <v>0</v>
      </c>
      <c r="K64" s="6" t="str">
        <f t="shared" si="17"/>
        <v>1</v>
      </c>
      <c r="M64">
        <f t="shared" si="18"/>
        <v>6.5809523809523811E-5</v>
      </c>
      <c r="N64">
        <f t="shared" si="19"/>
        <v>4.7904761904761911E-5</v>
      </c>
      <c r="O64">
        <f t="shared" si="20"/>
        <v>6026.8571428571431</v>
      </c>
      <c r="P64" s="2" t="s">
        <v>22</v>
      </c>
    </row>
    <row r="65" spans="4:16" x14ac:dyDescent="0.35">
      <c r="D65" s="6">
        <v>54</v>
      </c>
      <c r="E65" s="2" t="s">
        <v>22</v>
      </c>
      <c r="F65" s="6" t="str">
        <f t="shared" si="12"/>
        <v>1</v>
      </c>
      <c r="G65" s="6" t="str">
        <f t="shared" si="13"/>
        <v>1</v>
      </c>
      <c r="H65" s="6" t="str">
        <f t="shared" si="14"/>
        <v>0</v>
      </c>
      <c r="I65" s="6" t="str">
        <f t="shared" si="15"/>
        <v>1</v>
      </c>
      <c r="J65" s="6" t="str">
        <f t="shared" si="16"/>
        <v>1</v>
      </c>
      <c r="K65" s="6" t="str">
        <f t="shared" si="17"/>
        <v>0</v>
      </c>
      <c r="M65">
        <f t="shared" si="18"/>
        <v>6.7809523809523819E-5</v>
      </c>
      <c r="N65">
        <f t="shared" si="19"/>
        <v>4.7904761904761911E-5</v>
      </c>
      <c r="O65">
        <f t="shared" si="20"/>
        <v>6248.5714285714294</v>
      </c>
      <c r="P65" s="2" t="s">
        <v>22</v>
      </c>
    </row>
    <row r="66" spans="4:16" x14ac:dyDescent="0.35">
      <c r="D66" s="6">
        <v>55</v>
      </c>
      <c r="E66" s="2" t="s">
        <v>22</v>
      </c>
      <c r="F66" s="6" t="str">
        <f t="shared" si="12"/>
        <v>1</v>
      </c>
      <c r="G66" s="6" t="str">
        <f t="shared" si="13"/>
        <v>1</v>
      </c>
      <c r="H66" s="6" t="str">
        <f t="shared" si="14"/>
        <v>0</v>
      </c>
      <c r="I66" s="6" t="str">
        <f t="shared" si="15"/>
        <v>1</v>
      </c>
      <c r="J66" s="6" t="str">
        <f t="shared" si="16"/>
        <v>1</v>
      </c>
      <c r="K66" s="6" t="str">
        <f t="shared" si="17"/>
        <v>1</v>
      </c>
      <c r="M66">
        <f t="shared" si="18"/>
        <v>6.9809523809523814E-5</v>
      </c>
      <c r="N66">
        <f t="shared" si="19"/>
        <v>4.9904761904761912E-5</v>
      </c>
      <c r="O66">
        <f t="shared" si="20"/>
        <v>6584.2857142857147</v>
      </c>
      <c r="P66" s="2" t="s">
        <v>22</v>
      </c>
    </row>
    <row r="67" spans="4:16" x14ac:dyDescent="0.35">
      <c r="D67" s="6">
        <v>56</v>
      </c>
      <c r="E67" s="2" t="s">
        <v>22</v>
      </c>
      <c r="F67" s="6" t="str">
        <f t="shared" si="12"/>
        <v>1</v>
      </c>
      <c r="G67" s="6" t="str">
        <f t="shared" si="13"/>
        <v>1</v>
      </c>
      <c r="H67" s="6" t="str">
        <f t="shared" si="14"/>
        <v>1</v>
      </c>
      <c r="I67" s="6" t="str">
        <f t="shared" si="15"/>
        <v>0</v>
      </c>
      <c r="J67" s="6" t="str">
        <f t="shared" si="16"/>
        <v>0</v>
      </c>
      <c r="K67" s="6" t="str">
        <f t="shared" si="17"/>
        <v>0</v>
      </c>
      <c r="M67">
        <f t="shared" si="18"/>
        <v>7.0476190476190478E-5</v>
      </c>
      <c r="N67">
        <f t="shared" si="19"/>
        <v>4.8571428571428576E-5</v>
      </c>
      <c r="O67">
        <f t="shared" si="20"/>
        <v>6666.666666666667</v>
      </c>
      <c r="P67" s="2" t="s">
        <v>22</v>
      </c>
    </row>
    <row r="68" spans="4:16" x14ac:dyDescent="0.35">
      <c r="D68" s="6">
        <v>57</v>
      </c>
      <c r="E68" s="2" t="s">
        <v>22</v>
      </c>
      <c r="F68" s="6" t="str">
        <f t="shared" si="12"/>
        <v>1</v>
      </c>
      <c r="G68" s="6" t="str">
        <f t="shared" si="13"/>
        <v>1</v>
      </c>
      <c r="H68" s="6" t="str">
        <f t="shared" si="14"/>
        <v>1</v>
      </c>
      <c r="I68" s="6" t="str">
        <f t="shared" si="15"/>
        <v>0</v>
      </c>
      <c r="J68" s="6" t="str">
        <f t="shared" si="16"/>
        <v>0</v>
      </c>
      <c r="K68" s="6" t="str">
        <f t="shared" si="17"/>
        <v>1</v>
      </c>
      <c r="M68">
        <f t="shared" si="18"/>
        <v>7.2476190476190473E-5</v>
      </c>
      <c r="N68">
        <f t="shared" si="19"/>
        <v>5.0571428571428577E-5</v>
      </c>
      <c r="O68">
        <f t="shared" si="20"/>
        <v>7013.7142857142853</v>
      </c>
      <c r="P68" s="2" t="s">
        <v>22</v>
      </c>
    </row>
    <row r="69" spans="4:16" x14ac:dyDescent="0.35">
      <c r="D69" s="6">
        <v>58</v>
      </c>
      <c r="E69" s="2" t="s">
        <v>22</v>
      </c>
      <c r="F69" s="6" t="str">
        <f t="shared" si="12"/>
        <v>1</v>
      </c>
      <c r="G69" s="6" t="str">
        <f t="shared" si="13"/>
        <v>1</v>
      </c>
      <c r="H69" s="6" t="str">
        <f t="shared" si="14"/>
        <v>1</v>
      </c>
      <c r="I69" s="6" t="str">
        <f t="shared" si="15"/>
        <v>0</v>
      </c>
      <c r="J69" s="6" t="str">
        <f t="shared" si="16"/>
        <v>1</v>
      </c>
      <c r="K69" s="6" t="str">
        <f t="shared" si="17"/>
        <v>0</v>
      </c>
      <c r="M69">
        <f t="shared" si="18"/>
        <v>7.4476190476190481E-5</v>
      </c>
      <c r="N69">
        <f t="shared" si="19"/>
        <v>5.0571428571428577E-5</v>
      </c>
      <c r="O69">
        <f t="shared" si="20"/>
        <v>7252.7619047619046</v>
      </c>
      <c r="P69" s="2" t="s">
        <v>22</v>
      </c>
    </row>
    <row r="70" spans="4:16" x14ac:dyDescent="0.35">
      <c r="D70" s="6">
        <v>59</v>
      </c>
      <c r="E70" s="2" t="s">
        <v>22</v>
      </c>
      <c r="F70" s="6" t="str">
        <f t="shared" si="12"/>
        <v>1</v>
      </c>
      <c r="G70" s="6" t="str">
        <f t="shared" si="13"/>
        <v>1</v>
      </c>
      <c r="H70" s="6" t="str">
        <f t="shared" si="14"/>
        <v>1</v>
      </c>
      <c r="I70" s="6" t="str">
        <f t="shared" si="15"/>
        <v>0</v>
      </c>
      <c r="J70" s="6" t="str">
        <f t="shared" si="16"/>
        <v>1</v>
      </c>
      <c r="K70" s="6" t="str">
        <f t="shared" si="17"/>
        <v>1</v>
      </c>
      <c r="M70">
        <f t="shared" si="18"/>
        <v>7.6476190476190475E-5</v>
      </c>
      <c r="N70">
        <f t="shared" si="19"/>
        <v>5.2571428571428578E-5</v>
      </c>
      <c r="O70">
        <f t="shared" si="20"/>
        <v>7613.8095238095229</v>
      </c>
      <c r="P70" s="2" t="s">
        <v>22</v>
      </c>
    </row>
    <row r="71" spans="4:16" x14ac:dyDescent="0.35">
      <c r="D71" s="6">
        <v>60</v>
      </c>
      <c r="E71" s="2" t="s">
        <v>22</v>
      </c>
      <c r="F71" s="6" t="str">
        <f t="shared" si="12"/>
        <v>1</v>
      </c>
      <c r="G71" s="6" t="str">
        <f t="shared" si="13"/>
        <v>1</v>
      </c>
      <c r="H71" s="6" t="str">
        <f t="shared" si="14"/>
        <v>1</v>
      </c>
      <c r="I71" s="6" t="str">
        <f t="shared" si="15"/>
        <v>1</v>
      </c>
      <c r="J71" s="6" t="str">
        <f t="shared" si="16"/>
        <v>0</v>
      </c>
      <c r="K71" s="6" t="str">
        <f t="shared" si="17"/>
        <v>0</v>
      </c>
      <c r="M71">
        <f t="shared" si="18"/>
        <v>7.714285714285714E-5</v>
      </c>
      <c r="N71">
        <f t="shared" si="19"/>
        <v>5.2571428571428578E-5</v>
      </c>
      <c r="O71">
        <f t="shared" si="20"/>
        <v>7782.8571428571431</v>
      </c>
      <c r="P71" s="2" t="s">
        <v>22</v>
      </c>
    </row>
    <row r="72" spans="4:16" x14ac:dyDescent="0.35">
      <c r="D72" s="6">
        <v>61</v>
      </c>
      <c r="E72" s="2" t="s">
        <v>22</v>
      </c>
      <c r="F72" s="6" t="str">
        <f t="shared" si="12"/>
        <v>1</v>
      </c>
      <c r="G72" s="6" t="str">
        <f t="shared" si="13"/>
        <v>1</v>
      </c>
      <c r="H72" s="6" t="str">
        <f t="shared" si="14"/>
        <v>1</v>
      </c>
      <c r="I72" s="6" t="str">
        <f t="shared" si="15"/>
        <v>1</v>
      </c>
      <c r="J72" s="6" t="str">
        <f t="shared" si="16"/>
        <v>0</v>
      </c>
      <c r="K72" s="6" t="str">
        <f t="shared" si="17"/>
        <v>1</v>
      </c>
      <c r="M72">
        <f t="shared" si="18"/>
        <v>7.9142857142857134E-5</v>
      </c>
      <c r="N72">
        <f t="shared" si="19"/>
        <v>5.4571428571428579E-5</v>
      </c>
      <c r="O72">
        <f t="shared" si="20"/>
        <v>8156.5714285714294</v>
      </c>
      <c r="P72" s="2" t="s">
        <v>22</v>
      </c>
    </row>
    <row r="73" spans="4:16" x14ac:dyDescent="0.35">
      <c r="D73" s="6">
        <v>62</v>
      </c>
      <c r="E73" s="2" t="s">
        <v>22</v>
      </c>
      <c r="F73" s="6" t="str">
        <f t="shared" si="12"/>
        <v>1</v>
      </c>
      <c r="G73" s="6" t="str">
        <f t="shared" si="13"/>
        <v>1</v>
      </c>
      <c r="H73" s="6" t="str">
        <f t="shared" si="14"/>
        <v>1</v>
      </c>
      <c r="I73" s="6" t="str">
        <f t="shared" si="15"/>
        <v>1</v>
      </c>
      <c r="J73" s="6" t="str">
        <f t="shared" si="16"/>
        <v>1</v>
      </c>
      <c r="K73" s="6" t="str">
        <f t="shared" si="17"/>
        <v>0</v>
      </c>
      <c r="M73">
        <f t="shared" si="18"/>
        <v>8.1142857142857142E-5</v>
      </c>
      <c r="N73">
        <f t="shared" si="19"/>
        <v>5.4571428571428579E-5</v>
      </c>
      <c r="O73">
        <f t="shared" si="20"/>
        <v>8414.2857142857156</v>
      </c>
      <c r="P73" s="2" t="s">
        <v>22</v>
      </c>
    </row>
    <row r="74" spans="4:16" x14ac:dyDescent="0.35">
      <c r="D74" s="6">
        <v>63</v>
      </c>
      <c r="E74" s="2" t="s">
        <v>22</v>
      </c>
      <c r="F74" s="6" t="str">
        <f t="shared" si="12"/>
        <v>1</v>
      </c>
      <c r="G74" s="6" t="str">
        <f t="shared" si="13"/>
        <v>1</v>
      </c>
      <c r="H74" s="6" t="str">
        <f t="shared" si="14"/>
        <v>1</v>
      </c>
      <c r="I74" s="6" t="str">
        <f t="shared" si="15"/>
        <v>1</v>
      </c>
      <c r="J74" s="6" t="str">
        <f t="shared" si="16"/>
        <v>1</v>
      </c>
      <c r="K74" s="6" t="str">
        <f t="shared" si="17"/>
        <v>1</v>
      </c>
      <c r="M74">
        <f t="shared" si="18"/>
        <v>8.3142857142857137E-5</v>
      </c>
      <c r="N74">
        <f t="shared" si="19"/>
        <v>5.6571428571428581E-5</v>
      </c>
      <c r="O74">
        <f t="shared" si="20"/>
        <v>8802</v>
      </c>
      <c r="P74" s="2" t="s">
        <v>22</v>
      </c>
    </row>
  </sheetData>
  <autoFilter ref="D10:P74" xr:uid="{00000000-0001-0000-0000-000000000000}">
    <filterColumn colId="12">
      <filters>
        <filter val="STOP_STATE"/>
      </filters>
    </filterColumn>
    <sortState xmlns:xlrd2="http://schemas.microsoft.com/office/spreadsheetml/2017/richdata2" ref="D11:P74">
      <sortCondition ref="D10:D74"/>
    </sortState>
  </autoFilter>
  <phoneticPr fontId="5" type="noConversion"/>
  <hyperlinks>
    <hyperlink ref="M1" r:id="rId1" display="R@" xr:uid="{63DF6611-8C6D-4114-8BF1-55792517A0A2}"/>
    <hyperlink ref="I1" r:id="rId2" display="R@" xr:uid="{00D60C20-E29C-4350-851B-5D82B7825390}"/>
    <hyperlink ref="R1" r:id="rId3" display="R@" xr:uid="{78BCF075-FC21-4C2E-B619-7D9B92CFCD71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F4825-BF37-4134-B380-53DBDC193684}">
  <dimension ref="D1:T74"/>
  <sheetViews>
    <sheetView workbookViewId="0">
      <selection activeCell="D7" sqref="D7"/>
    </sheetView>
  </sheetViews>
  <sheetFormatPr defaultRowHeight="14.5" x14ac:dyDescent="0.35"/>
  <cols>
    <col min="4" max="4" width="9.1796875" style="1"/>
    <col min="5" max="5" width="19.1796875" bestFit="1" customWidth="1"/>
    <col min="14" max="14" width="12" bestFit="1" customWidth="1"/>
    <col min="15" max="15" width="11.81640625" customWidth="1"/>
    <col min="16" max="16" width="19.1796875" bestFit="1" customWidth="1"/>
    <col min="18" max="18" width="13.54296875" bestFit="1" customWidth="1"/>
    <col min="19" max="19" width="10.54296875" customWidth="1"/>
  </cols>
  <sheetData>
    <row r="1" spans="4:20" x14ac:dyDescent="0.35">
      <c r="H1" s="4" t="s">
        <v>10</v>
      </c>
      <c r="I1" s="5" t="s">
        <v>11</v>
      </c>
      <c r="L1" s="4" t="s">
        <v>10</v>
      </c>
      <c r="M1" s="5" t="s">
        <v>11</v>
      </c>
      <c r="N1" s="7"/>
      <c r="Q1" s="4" t="s">
        <v>10</v>
      </c>
      <c r="R1" s="5" t="s">
        <v>11</v>
      </c>
    </row>
    <row r="2" spans="4:20" x14ac:dyDescent="0.35">
      <c r="H2">
        <v>7</v>
      </c>
      <c r="I2">
        <v>7</v>
      </c>
      <c r="L2">
        <f>0.2/(H2*1000)</f>
        <v>2.8571428571428574E-5</v>
      </c>
      <c r="M2">
        <f>0.2/(I2*1000)</f>
        <v>2.8571428571428574E-5</v>
      </c>
      <c r="N2">
        <f>SUM(L2:M2)*1000000</f>
        <v>57.142857142857146</v>
      </c>
      <c r="Q2">
        <v>7</v>
      </c>
      <c r="R2">
        <v>7</v>
      </c>
    </row>
    <row r="3" spans="4:20" x14ac:dyDescent="0.35">
      <c r="H3">
        <v>7</v>
      </c>
      <c r="I3">
        <v>15</v>
      </c>
      <c r="L3">
        <f t="shared" ref="L3:M7" si="0">0.2/(H3*1000)</f>
        <v>2.8571428571428574E-5</v>
      </c>
      <c r="M3">
        <f t="shared" si="0"/>
        <v>1.3333333333333333E-5</v>
      </c>
      <c r="N3">
        <f t="shared" ref="N3:N7" si="1">SUM(L3:M3)*1000000</f>
        <v>41.904761904761905</v>
      </c>
      <c r="Q3">
        <v>7</v>
      </c>
      <c r="R3">
        <v>15</v>
      </c>
    </row>
    <row r="4" spans="4:20" x14ac:dyDescent="0.35">
      <c r="H4">
        <v>15</v>
      </c>
      <c r="I4">
        <v>30</v>
      </c>
      <c r="L4">
        <f t="shared" si="0"/>
        <v>1.3333333333333333E-5</v>
      </c>
      <c r="M4">
        <f t="shared" si="0"/>
        <v>6.6666666666666666E-6</v>
      </c>
      <c r="N4">
        <f t="shared" si="1"/>
        <v>20</v>
      </c>
      <c r="Q4">
        <v>15</v>
      </c>
      <c r="R4">
        <v>30</v>
      </c>
    </row>
    <row r="5" spans="4:20" x14ac:dyDescent="0.35">
      <c r="H5">
        <v>30</v>
      </c>
      <c r="I5">
        <v>50</v>
      </c>
      <c r="L5">
        <f t="shared" si="0"/>
        <v>6.6666666666666666E-6</v>
      </c>
      <c r="M5">
        <f t="shared" si="0"/>
        <v>3.9999999999999998E-6</v>
      </c>
      <c r="N5">
        <f t="shared" si="1"/>
        <v>10.666666666666668</v>
      </c>
      <c r="Q5">
        <v>30</v>
      </c>
      <c r="R5">
        <v>50</v>
      </c>
    </row>
    <row r="6" spans="4:20" x14ac:dyDescent="0.35">
      <c r="H6">
        <v>50</v>
      </c>
      <c r="I6">
        <v>100</v>
      </c>
      <c r="L6">
        <f t="shared" si="0"/>
        <v>3.9999999999999998E-6</v>
      </c>
      <c r="M6">
        <f t="shared" si="0"/>
        <v>1.9999999999999999E-6</v>
      </c>
      <c r="N6">
        <f t="shared" si="1"/>
        <v>6</v>
      </c>
      <c r="Q6">
        <v>50</v>
      </c>
      <c r="R6">
        <v>100</v>
      </c>
    </row>
    <row r="7" spans="4:20" x14ac:dyDescent="0.35">
      <c r="H7">
        <v>100</v>
      </c>
      <c r="I7">
        <v>100</v>
      </c>
      <c r="L7">
        <f t="shared" si="0"/>
        <v>1.9999999999999999E-6</v>
      </c>
      <c r="M7">
        <f t="shared" si="0"/>
        <v>1.9999999999999999E-6</v>
      </c>
      <c r="N7">
        <f t="shared" si="1"/>
        <v>4</v>
      </c>
      <c r="Q7">
        <v>100</v>
      </c>
      <c r="R7">
        <v>100</v>
      </c>
    </row>
    <row r="10" spans="4:20" s="2" customFormat="1" x14ac:dyDescent="0.35">
      <c r="D10" s="3" t="s">
        <v>6</v>
      </c>
      <c r="E10" s="4" t="s">
        <v>23</v>
      </c>
      <c r="F10" s="3" t="s">
        <v>5</v>
      </c>
      <c r="G10" s="3" t="s">
        <v>0</v>
      </c>
      <c r="H10" s="3" t="s">
        <v>1</v>
      </c>
      <c r="I10" s="3" t="s">
        <v>2</v>
      </c>
      <c r="J10" s="3" t="s">
        <v>3</v>
      </c>
      <c r="K10" s="3" t="s">
        <v>4</v>
      </c>
      <c r="M10" s="4" t="s">
        <v>7</v>
      </c>
      <c r="N10" s="4" t="s">
        <v>8</v>
      </c>
      <c r="O10" s="4" t="s">
        <v>9</v>
      </c>
      <c r="P10" s="4" t="s">
        <v>23</v>
      </c>
      <c r="S10" s="29"/>
      <c r="T10" s="29"/>
    </row>
    <row r="11" spans="4:20" x14ac:dyDescent="0.35">
      <c r="D11" s="6">
        <v>0</v>
      </c>
      <c r="E11" s="2" t="s">
        <v>16</v>
      </c>
      <c r="F11" s="6" t="str">
        <f>LEFT(RIGHT(DEC2BIN($D11,6),6),1)</f>
        <v>0</v>
      </c>
      <c r="G11" s="6" t="str">
        <f>LEFT(RIGHT(DEC2BIN($D11,6),5),1)</f>
        <v>0</v>
      </c>
      <c r="H11" s="6" t="str">
        <f>LEFT(RIGHT(DEC2BIN($D11,6),4),1)</f>
        <v>0</v>
      </c>
      <c r="I11" s="6" t="str">
        <f>LEFT(RIGHT(DEC2BIN($D11,6),3),1)</f>
        <v>0</v>
      </c>
      <c r="J11" s="6" t="str">
        <f>LEFT(RIGHT(DEC2BIN($D11,6),2),1)</f>
        <v>0</v>
      </c>
      <c r="K11" s="6" t="str">
        <f>LEFT(RIGHT(DEC2BIN($D11,6),1),1)</f>
        <v>0</v>
      </c>
      <c r="M11">
        <f>(($F11*$L$2)+($G11*$L$3)+($H11*$L$4)+($I11*$L$5)+($J11*$L$6)+($K11*$L$7))</f>
        <v>0</v>
      </c>
      <c r="N11">
        <f>(($F11*$M$2)+($G11*$M$3)+($H11*$M$4)+($I11*$M$5)+($J11*$M$6)+($K11*$M$7))</f>
        <v>0</v>
      </c>
      <c r="O11">
        <f xml:space="preserve"> (M11+N11)*1000000*D11</f>
        <v>0</v>
      </c>
      <c r="P11" s="2" t="s">
        <v>16</v>
      </c>
    </row>
    <row r="12" spans="4:20" x14ac:dyDescent="0.35">
      <c r="D12" s="6">
        <v>1</v>
      </c>
      <c r="E12" s="2" t="s">
        <v>18</v>
      </c>
      <c r="F12" s="6" t="str">
        <f>LEFT(RIGHT(DEC2BIN($D12,6),6),1)</f>
        <v>0</v>
      </c>
      <c r="G12" s="6" t="str">
        <f>LEFT(RIGHT(DEC2BIN($D12,6),5),1)</f>
        <v>0</v>
      </c>
      <c r="H12" s="6" t="str">
        <f>LEFT(RIGHT(DEC2BIN($D12,6),4),1)</f>
        <v>0</v>
      </c>
      <c r="I12" s="6" t="str">
        <f>LEFT(RIGHT(DEC2BIN($D12,6),3),1)</f>
        <v>0</v>
      </c>
      <c r="J12" s="6" t="str">
        <f>LEFT(RIGHT(DEC2BIN($D12,6),2),1)</f>
        <v>0</v>
      </c>
      <c r="K12" s="6" t="str">
        <f>LEFT(RIGHT(DEC2BIN($D12,6),1),1)</f>
        <v>1</v>
      </c>
      <c r="M12">
        <f t="shared" ref="M12:M74" si="2">(($F12*$L$2)+($G12*$L$3)+($H12*$L$4)+($I12*$L$5)+($J12*$L$6)+($K12*$L$7))</f>
        <v>1.9999999999999999E-6</v>
      </c>
      <c r="N12">
        <f t="shared" ref="N12:N74" si="3">(($F12*$M$2)+($G12*$M$3)+($H12*$M$4)+($I12*$M$5)+($J12*$M$6)+($K12*$M$7))</f>
        <v>1.9999999999999999E-6</v>
      </c>
      <c r="O12">
        <f t="shared" ref="O12:O74" si="4" xml:space="preserve"> (M12+N12)*1000000*D12</f>
        <v>4</v>
      </c>
      <c r="P12" s="2" t="s">
        <v>18</v>
      </c>
    </row>
    <row r="13" spans="4:20" x14ac:dyDescent="0.35">
      <c r="D13" s="6">
        <v>2</v>
      </c>
      <c r="E13" s="2" t="s">
        <v>17</v>
      </c>
      <c r="F13" s="6" t="str">
        <f t="shared" ref="F13:F74" si="5">LEFT(RIGHT(DEC2BIN($D13,6),6),1)</f>
        <v>0</v>
      </c>
      <c r="G13" s="6" t="str">
        <f t="shared" ref="G13:G74" si="6">LEFT(RIGHT(DEC2BIN($D13,6),5),1)</f>
        <v>0</v>
      </c>
      <c r="H13" s="6" t="str">
        <f t="shared" ref="H13:H74" si="7">LEFT(RIGHT(DEC2BIN($D13,6),4),1)</f>
        <v>0</v>
      </c>
      <c r="I13" s="6" t="str">
        <f t="shared" ref="I13:I74" si="8">LEFT(RIGHT(DEC2BIN($D13,6),3),1)</f>
        <v>0</v>
      </c>
      <c r="J13" s="6" t="str">
        <f t="shared" ref="J13:J74" si="9">LEFT(RIGHT(DEC2BIN($D13,6),2),1)</f>
        <v>1</v>
      </c>
      <c r="K13" s="6" t="str">
        <f t="shared" ref="K13:K74" si="10">LEFT(RIGHT(DEC2BIN($D13,6),1),1)</f>
        <v>0</v>
      </c>
      <c r="M13">
        <f t="shared" si="2"/>
        <v>3.9999999999999998E-6</v>
      </c>
      <c r="N13">
        <f t="shared" si="3"/>
        <v>1.9999999999999999E-6</v>
      </c>
      <c r="O13">
        <f t="shared" si="4"/>
        <v>12</v>
      </c>
      <c r="P13" s="2" t="s">
        <v>17</v>
      </c>
    </row>
    <row r="14" spans="4:20" x14ac:dyDescent="0.35">
      <c r="D14" s="6">
        <v>3</v>
      </c>
      <c r="E14" s="2" t="s">
        <v>17</v>
      </c>
      <c r="F14" s="6" t="str">
        <f t="shared" si="5"/>
        <v>0</v>
      </c>
      <c r="G14" s="6" t="str">
        <f t="shared" si="6"/>
        <v>0</v>
      </c>
      <c r="H14" s="6" t="str">
        <f t="shared" si="7"/>
        <v>0</v>
      </c>
      <c r="I14" s="6" t="str">
        <f t="shared" si="8"/>
        <v>0</v>
      </c>
      <c r="J14" s="6" t="str">
        <f t="shared" si="9"/>
        <v>1</v>
      </c>
      <c r="K14" s="6" t="str">
        <f t="shared" si="10"/>
        <v>1</v>
      </c>
      <c r="M14">
        <f t="shared" si="2"/>
        <v>6.0000000000000002E-6</v>
      </c>
      <c r="N14">
        <f t="shared" si="3"/>
        <v>3.9999999999999998E-6</v>
      </c>
      <c r="O14">
        <f t="shared" si="4"/>
        <v>30</v>
      </c>
      <c r="P14" s="2" t="s">
        <v>17</v>
      </c>
    </row>
    <row r="15" spans="4:20" x14ac:dyDescent="0.35">
      <c r="D15" s="6">
        <v>4</v>
      </c>
      <c r="E15" s="2" t="s">
        <v>16</v>
      </c>
      <c r="F15" s="6" t="str">
        <f t="shared" si="5"/>
        <v>0</v>
      </c>
      <c r="G15" s="6" t="str">
        <f t="shared" si="6"/>
        <v>0</v>
      </c>
      <c r="H15" s="6" t="str">
        <f t="shared" si="7"/>
        <v>0</v>
      </c>
      <c r="I15" s="6" t="str">
        <f t="shared" si="8"/>
        <v>1</v>
      </c>
      <c r="J15" s="6" t="str">
        <f t="shared" si="9"/>
        <v>0</v>
      </c>
      <c r="K15" s="6" t="str">
        <f t="shared" si="10"/>
        <v>0</v>
      </c>
      <c r="M15">
        <f t="shared" si="2"/>
        <v>6.6666666666666666E-6</v>
      </c>
      <c r="N15">
        <f t="shared" si="3"/>
        <v>3.9999999999999998E-6</v>
      </c>
      <c r="O15">
        <f t="shared" si="4"/>
        <v>42.666666666666671</v>
      </c>
      <c r="P15" s="2" t="s">
        <v>16</v>
      </c>
    </row>
    <row r="16" spans="4:20" x14ac:dyDescent="0.35">
      <c r="D16" s="6">
        <v>5</v>
      </c>
      <c r="E16" s="2" t="s">
        <v>20</v>
      </c>
      <c r="F16" s="6" t="str">
        <f t="shared" si="5"/>
        <v>0</v>
      </c>
      <c r="G16" s="6" t="str">
        <f t="shared" si="6"/>
        <v>0</v>
      </c>
      <c r="H16" s="6" t="str">
        <f t="shared" si="7"/>
        <v>0</v>
      </c>
      <c r="I16" s="6" t="str">
        <f t="shared" si="8"/>
        <v>1</v>
      </c>
      <c r="J16" s="6" t="str">
        <f t="shared" si="9"/>
        <v>0</v>
      </c>
      <c r="K16" s="6" t="str">
        <f t="shared" si="10"/>
        <v>1</v>
      </c>
      <c r="M16">
        <f t="shared" si="2"/>
        <v>8.6666666666666661E-6</v>
      </c>
      <c r="N16">
        <f t="shared" si="3"/>
        <v>6.0000000000000002E-6</v>
      </c>
      <c r="O16">
        <f t="shared" si="4"/>
        <v>73.333333333333329</v>
      </c>
      <c r="P16" s="2" t="s">
        <v>20</v>
      </c>
    </row>
    <row r="17" spans="4:16" x14ac:dyDescent="0.35">
      <c r="D17" s="6">
        <v>6</v>
      </c>
      <c r="E17" s="2" t="s">
        <v>16</v>
      </c>
      <c r="F17" s="6" t="str">
        <f t="shared" si="5"/>
        <v>0</v>
      </c>
      <c r="G17" s="6" t="str">
        <f t="shared" si="6"/>
        <v>0</v>
      </c>
      <c r="H17" s="6" t="str">
        <f t="shared" si="7"/>
        <v>0</v>
      </c>
      <c r="I17" s="6" t="str">
        <f t="shared" si="8"/>
        <v>1</v>
      </c>
      <c r="J17" s="6" t="str">
        <f t="shared" si="9"/>
        <v>1</v>
      </c>
      <c r="K17" s="6" t="str">
        <f t="shared" si="10"/>
        <v>0</v>
      </c>
      <c r="M17">
        <f t="shared" si="2"/>
        <v>1.0666666666666667E-5</v>
      </c>
      <c r="N17">
        <f t="shared" si="3"/>
        <v>6.0000000000000002E-6</v>
      </c>
      <c r="O17">
        <f t="shared" si="4"/>
        <v>100</v>
      </c>
      <c r="P17" s="2" t="s">
        <v>16</v>
      </c>
    </row>
    <row r="18" spans="4:16" x14ac:dyDescent="0.35">
      <c r="D18" s="6">
        <v>7</v>
      </c>
      <c r="E18" s="2" t="s">
        <v>16</v>
      </c>
      <c r="F18" s="6" t="str">
        <f t="shared" si="5"/>
        <v>0</v>
      </c>
      <c r="G18" s="6" t="str">
        <f t="shared" si="6"/>
        <v>0</v>
      </c>
      <c r="H18" s="6" t="str">
        <f t="shared" si="7"/>
        <v>0</v>
      </c>
      <c r="I18" s="6" t="str">
        <f t="shared" si="8"/>
        <v>1</v>
      </c>
      <c r="J18" s="6" t="str">
        <f t="shared" si="9"/>
        <v>1</v>
      </c>
      <c r="K18" s="6" t="str">
        <f t="shared" si="10"/>
        <v>1</v>
      </c>
      <c r="M18">
        <f t="shared" si="2"/>
        <v>1.2666666666666667E-5</v>
      </c>
      <c r="N18">
        <f t="shared" si="3"/>
        <v>7.9999999999999996E-6</v>
      </c>
      <c r="O18">
        <f t="shared" si="4"/>
        <v>144.66666666666669</v>
      </c>
      <c r="P18" s="2" t="s">
        <v>16</v>
      </c>
    </row>
    <row r="19" spans="4:16" x14ac:dyDescent="0.35">
      <c r="D19" s="6">
        <v>8</v>
      </c>
      <c r="E19" s="2" t="s">
        <v>19</v>
      </c>
      <c r="F19" s="6" t="str">
        <f t="shared" si="5"/>
        <v>0</v>
      </c>
      <c r="G19" s="6" t="str">
        <f t="shared" si="6"/>
        <v>0</v>
      </c>
      <c r="H19" s="6" t="str">
        <f t="shared" si="7"/>
        <v>1</v>
      </c>
      <c r="I19" s="6" t="str">
        <f t="shared" si="8"/>
        <v>0</v>
      </c>
      <c r="J19" s="6" t="str">
        <f t="shared" si="9"/>
        <v>0</v>
      </c>
      <c r="K19" s="6" t="str">
        <f t="shared" si="10"/>
        <v>0</v>
      </c>
      <c r="M19">
        <f t="shared" si="2"/>
        <v>1.3333333333333333E-5</v>
      </c>
      <c r="N19">
        <f t="shared" si="3"/>
        <v>6.6666666666666666E-6</v>
      </c>
      <c r="O19">
        <f t="shared" si="4"/>
        <v>160</v>
      </c>
      <c r="P19" s="2" t="s">
        <v>19</v>
      </c>
    </row>
    <row r="20" spans="4:16" x14ac:dyDescent="0.35">
      <c r="D20" s="6">
        <v>9</v>
      </c>
      <c r="E20" s="2" t="s">
        <v>20</v>
      </c>
      <c r="F20" s="6" t="str">
        <f t="shared" si="5"/>
        <v>0</v>
      </c>
      <c r="G20" s="6" t="str">
        <f t="shared" si="6"/>
        <v>0</v>
      </c>
      <c r="H20" s="6" t="str">
        <f t="shared" si="7"/>
        <v>1</v>
      </c>
      <c r="I20" s="6" t="str">
        <f t="shared" si="8"/>
        <v>0</v>
      </c>
      <c r="J20" s="6" t="str">
        <f t="shared" si="9"/>
        <v>0</v>
      </c>
      <c r="K20" s="6" t="str">
        <f t="shared" si="10"/>
        <v>1</v>
      </c>
      <c r="M20">
        <f t="shared" si="2"/>
        <v>1.5333333333333334E-5</v>
      </c>
      <c r="N20">
        <f t="shared" si="3"/>
        <v>8.6666666666666661E-6</v>
      </c>
      <c r="O20">
        <f t="shared" si="4"/>
        <v>216</v>
      </c>
      <c r="P20" s="2" t="s">
        <v>20</v>
      </c>
    </row>
    <row r="21" spans="4:16" x14ac:dyDescent="0.35">
      <c r="D21" s="6">
        <v>10</v>
      </c>
      <c r="E21" s="2" t="s">
        <v>20</v>
      </c>
      <c r="F21" s="6" t="str">
        <f t="shared" si="5"/>
        <v>0</v>
      </c>
      <c r="G21" s="6" t="str">
        <f t="shared" si="6"/>
        <v>0</v>
      </c>
      <c r="H21" s="6" t="str">
        <f t="shared" si="7"/>
        <v>1</v>
      </c>
      <c r="I21" s="6" t="str">
        <f t="shared" si="8"/>
        <v>0</v>
      </c>
      <c r="J21" s="6" t="str">
        <f t="shared" si="9"/>
        <v>1</v>
      </c>
      <c r="K21" s="6" t="str">
        <f t="shared" si="10"/>
        <v>0</v>
      </c>
      <c r="M21">
        <f t="shared" si="2"/>
        <v>1.7333333333333332E-5</v>
      </c>
      <c r="N21">
        <f t="shared" si="3"/>
        <v>8.6666666666666661E-6</v>
      </c>
      <c r="O21">
        <f t="shared" si="4"/>
        <v>260</v>
      </c>
      <c r="P21" s="2" t="s">
        <v>20</v>
      </c>
    </row>
    <row r="22" spans="4:16" x14ac:dyDescent="0.35">
      <c r="D22" s="6">
        <v>11</v>
      </c>
      <c r="E22" s="2" t="s">
        <v>20</v>
      </c>
      <c r="F22" s="6" t="str">
        <f t="shared" si="5"/>
        <v>0</v>
      </c>
      <c r="G22" s="6" t="str">
        <f t="shared" si="6"/>
        <v>0</v>
      </c>
      <c r="H22" s="6" t="str">
        <f t="shared" si="7"/>
        <v>1</v>
      </c>
      <c r="I22" s="6" t="str">
        <f t="shared" si="8"/>
        <v>0</v>
      </c>
      <c r="J22" s="6" t="str">
        <f t="shared" si="9"/>
        <v>1</v>
      </c>
      <c r="K22" s="6" t="str">
        <f t="shared" si="10"/>
        <v>1</v>
      </c>
      <c r="M22">
        <f t="shared" si="2"/>
        <v>1.9333333333333333E-5</v>
      </c>
      <c r="N22">
        <f t="shared" si="3"/>
        <v>1.0666666666666666E-5</v>
      </c>
      <c r="O22">
        <f t="shared" si="4"/>
        <v>329.99999999999994</v>
      </c>
      <c r="P22" s="2" t="s">
        <v>20</v>
      </c>
    </row>
    <row r="23" spans="4:16" x14ac:dyDescent="0.35">
      <c r="D23" s="6">
        <v>12</v>
      </c>
      <c r="E23" s="2" t="s">
        <v>19</v>
      </c>
      <c r="F23" s="6" t="str">
        <f t="shared" si="5"/>
        <v>0</v>
      </c>
      <c r="G23" s="6" t="str">
        <f t="shared" si="6"/>
        <v>0</v>
      </c>
      <c r="H23" s="6" t="str">
        <f t="shared" si="7"/>
        <v>1</v>
      </c>
      <c r="I23" s="6" t="str">
        <f t="shared" si="8"/>
        <v>1</v>
      </c>
      <c r="J23" s="6" t="str">
        <f t="shared" si="9"/>
        <v>0</v>
      </c>
      <c r="K23" s="6" t="str">
        <f t="shared" si="10"/>
        <v>0</v>
      </c>
      <c r="M23">
        <f t="shared" si="2"/>
        <v>1.9999999999999998E-5</v>
      </c>
      <c r="N23">
        <f t="shared" si="3"/>
        <v>1.0666666666666667E-5</v>
      </c>
      <c r="O23">
        <f t="shared" si="4"/>
        <v>367.99999999999994</v>
      </c>
      <c r="P23" s="2" t="s">
        <v>19</v>
      </c>
    </row>
    <row r="24" spans="4:16" x14ac:dyDescent="0.35">
      <c r="D24" s="6">
        <v>13</v>
      </c>
      <c r="E24" s="2" t="s">
        <v>20</v>
      </c>
      <c r="F24" s="6" t="str">
        <f t="shared" si="5"/>
        <v>0</v>
      </c>
      <c r="G24" s="6" t="str">
        <f t="shared" si="6"/>
        <v>0</v>
      </c>
      <c r="H24" s="6" t="str">
        <f t="shared" si="7"/>
        <v>1</v>
      </c>
      <c r="I24" s="6" t="str">
        <f t="shared" si="8"/>
        <v>1</v>
      </c>
      <c r="J24" s="6" t="str">
        <f t="shared" si="9"/>
        <v>0</v>
      </c>
      <c r="K24" s="6" t="str">
        <f t="shared" si="10"/>
        <v>1</v>
      </c>
      <c r="M24">
        <f t="shared" si="2"/>
        <v>2.1999999999999999E-5</v>
      </c>
      <c r="N24">
        <f t="shared" si="3"/>
        <v>1.2666666666666667E-5</v>
      </c>
      <c r="O24">
        <f t="shared" si="4"/>
        <v>450.66666666666663</v>
      </c>
      <c r="P24" s="2" t="s">
        <v>20</v>
      </c>
    </row>
    <row r="25" spans="4:16" x14ac:dyDescent="0.35">
      <c r="D25" s="6">
        <v>14</v>
      </c>
      <c r="E25" s="2" t="s">
        <v>20</v>
      </c>
      <c r="F25" s="6" t="str">
        <f t="shared" si="5"/>
        <v>0</v>
      </c>
      <c r="G25" s="6" t="str">
        <f t="shared" si="6"/>
        <v>0</v>
      </c>
      <c r="H25" s="6" t="str">
        <f t="shared" si="7"/>
        <v>1</v>
      </c>
      <c r="I25" s="6" t="str">
        <f t="shared" si="8"/>
        <v>1</v>
      </c>
      <c r="J25" s="6" t="str">
        <f t="shared" si="9"/>
        <v>1</v>
      </c>
      <c r="K25" s="6" t="str">
        <f t="shared" si="10"/>
        <v>0</v>
      </c>
      <c r="M25">
        <f t="shared" si="2"/>
        <v>2.3999999999999997E-5</v>
      </c>
      <c r="N25">
        <f t="shared" si="3"/>
        <v>1.2666666666666667E-5</v>
      </c>
      <c r="O25">
        <f t="shared" si="4"/>
        <v>513.33333333333326</v>
      </c>
      <c r="P25" s="2" t="s">
        <v>20</v>
      </c>
    </row>
    <row r="26" spans="4:16" x14ac:dyDescent="0.35">
      <c r="D26" s="6">
        <v>15</v>
      </c>
      <c r="E26" s="2" t="s">
        <v>20</v>
      </c>
      <c r="F26" s="6" t="str">
        <f t="shared" si="5"/>
        <v>0</v>
      </c>
      <c r="G26" s="6" t="str">
        <f t="shared" si="6"/>
        <v>0</v>
      </c>
      <c r="H26" s="6" t="str">
        <f t="shared" si="7"/>
        <v>1</v>
      </c>
      <c r="I26" s="6" t="str">
        <f t="shared" si="8"/>
        <v>1</v>
      </c>
      <c r="J26" s="6" t="str">
        <f t="shared" si="9"/>
        <v>1</v>
      </c>
      <c r="K26" s="6" t="str">
        <f t="shared" si="10"/>
        <v>1</v>
      </c>
      <c r="M26">
        <f t="shared" si="2"/>
        <v>2.5999999999999998E-5</v>
      </c>
      <c r="N26">
        <f t="shared" si="3"/>
        <v>1.4666666666666666E-5</v>
      </c>
      <c r="O26">
        <f t="shared" si="4"/>
        <v>610</v>
      </c>
      <c r="P26" s="2" t="s">
        <v>20</v>
      </c>
    </row>
    <row r="27" spans="4:16" x14ac:dyDescent="0.35">
      <c r="D27" s="6">
        <v>16</v>
      </c>
      <c r="E27" s="2" t="s">
        <v>21</v>
      </c>
      <c r="F27" s="6" t="str">
        <f t="shared" si="5"/>
        <v>0</v>
      </c>
      <c r="G27" s="6" t="str">
        <f t="shared" si="6"/>
        <v>1</v>
      </c>
      <c r="H27" s="6" t="str">
        <f t="shared" si="7"/>
        <v>0</v>
      </c>
      <c r="I27" s="6" t="str">
        <f t="shared" si="8"/>
        <v>0</v>
      </c>
      <c r="J27" s="6" t="str">
        <f t="shared" si="9"/>
        <v>0</v>
      </c>
      <c r="K27" s="6" t="str">
        <f t="shared" si="10"/>
        <v>0</v>
      </c>
      <c r="M27">
        <f t="shared" si="2"/>
        <v>2.8571428571428574E-5</v>
      </c>
      <c r="N27">
        <f t="shared" si="3"/>
        <v>1.3333333333333333E-5</v>
      </c>
      <c r="O27">
        <f t="shared" si="4"/>
        <v>670.47619047619048</v>
      </c>
      <c r="P27" s="2" t="s">
        <v>21</v>
      </c>
    </row>
    <row r="28" spans="4:16" x14ac:dyDescent="0.35">
      <c r="D28" s="6">
        <v>17</v>
      </c>
      <c r="E28" s="2" t="s">
        <v>20</v>
      </c>
      <c r="F28" s="6" t="str">
        <f t="shared" si="5"/>
        <v>0</v>
      </c>
      <c r="G28" s="6" t="str">
        <f t="shared" si="6"/>
        <v>1</v>
      </c>
      <c r="H28" s="6" t="str">
        <f t="shared" si="7"/>
        <v>0</v>
      </c>
      <c r="I28" s="6" t="str">
        <f t="shared" si="8"/>
        <v>0</v>
      </c>
      <c r="J28" s="6" t="str">
        <f t="shared" si="9"/>
        <v>0</v>
      </c>
      <c r="K28" s="6" t="str">
        <f t="shared" si="10"/>
        <v>1</v>
      </c>
      <c r="M28">
        <f t="shared" si="2"/>
        <v>3.0571428571428572E-5</v>
      </c>
      <c r="N28">
        <f t="shared" si="3"/>
        <v>1.5333333333333334E-5</v>
      </c>
      <c r="O28">
        <f t="shared" si="4"/>
        <v>780.38095238095252</v>
      </c>
      <c r="P28" s="2" t="s">
        <v>20</v>
      </c>
    </row>
    <row r="29" spans="4:16" x14ac:dyDescent="0.35">
      <c r="D29" s="6">
        <v>18</v>
      </c>
      <c r="E29" s="2" t="s">
        <v>20</v>
      </c>
      <c r="F29" s="6" t="str">
        <f t="shared" si="5"/>
        <v>0</v>
      </c>
      <c r="G29" s="6" t="str">
        <f t="shared" si="6"/>
        <v>1</v>
      </c>
      <c r="H29" s="6" t="str">
        <f t="shared" si="7"/>
        <v>0</v>
      </c>
      <c r="I29" s="6" t="str">
        <f t="shared" si="8"/>
        <v>0</v>
      </c>
      <c r="J29" s="6" t="str">
        <f t="shared" si="9"/>
        <v>1</v>
      </c>
      <c r="K29" s="6" t="str">
        <f t="shared" si="10"/>
        <v>0</v>
      </c>
      <c r="M29">
        <f t="shared" si="2"/>
        <v>3.2571428571428573E-5</v>
      </c>
      <c r="N29">
        <f t="shared" si="3"/>
        <v>1.5333333333333334E-5</v>
      </c>
      <c r="O29">
        <f t="shared" si="4"/>
        <v>862.28571428571433</v>
      </c>
      <c r="P29" s="2" t="s">
        <v>20</v>
      </c>
    </row>
    <row r="30" spans="4:16" x14ac:dyDescent="0.35">
      <c r="D30" s="6">
        <v>19</v>
      </c>
      <c r="E30" s="2" t="s">
        <v>20</v>
      </c>
      <c r="F30" s="6" t="str">
        <f t="shared" si="5"/>
        <v>0</v>
      </c>
      <c r="G30" s="6" t="str">
        <f t="shared" si="6"/>
        <v>1</v>
      </c>
      <c r="H30" s="6" t="str">
        <f t="shared" si="7"/>
        <v>0</v>
      </c>
      <c r="I30" s="6" t="str">
        <f t="shared" si="8"/>
        <v>0</v>
      </c>
      <c r="J30" s="6" t="str">
        <f t="shared" si="9"/>
        <v>1</v>
      </c>
      <c r="K30" s="6" t="str">
        <f t="shared" si="10"/>
        <v>1</v>
      </c>
      <c r="M30">
        <f t="shared" si="2"/>
        <v>3.4571428571428574E-5</v>
      </c>
      <c r="N30">
        <f t="shared" si="3"/>
        <v>1.7333333333333336E-5</v>
      </c>
      <c r="O30">
        <f t="shared" si="4"/>
        <v>986.19047619047615</v>
      </c>
      <c r="P30" s="2" t="s">
        <v>20</v>
      </c>
    </row>
    <row r="31" spans="4:16" x14ac:dyDescent="0.35">
      <c r="D31" s="6">
        <v>20</v>
      </c>
      <c r="E31" s="2" t="s">
        <v>20</v>
      </c>
      <c r="F31" s="6" t="str">
        <f t="shared" si="5"/>
        <v>0</v>
      </c>
      <c r="G31" s="6" t="str">
        <f t="shared" si="6"/>
        <v>1</v>
      </c>
      <c r="H31" s="6" t="str">
        <f t="shared" si="7"/>
        <v>0</v>
      </c>
      <c r="I31" s="6" t="str">
        <f t="shared" si="8"/>
        <v>1</v>
      </c>
      <c r="J31" s="6" t="str">
        <f t="shared" si="9"/>
        <v>0</v>
      </c>
      <c r="K31" s="6" t="str">
        <f t="shared" si="10"/>
        <v>0</v>
      </c>
      <c r="M31">
        <f t="shared" si="2"/>
        <v>3.5238095238095239E-5</v>
      </c>
      <c r="N31">
        <f t="shared" si="3"/>
        <v>1.7333333333333332E-5</v>
      </c>
      <c r="O31">
        <f t="shared" si="4"/>
        <v>1051.4285714285713</v>
      </c>
      <c r="P31" s="2" t="s">
        <v>20</v>
      </c>
    </row>
    <row r="32" spans="4:16" x14ac:dyDescent="0.35">
      <c r="D32" s="6">
        <v>21</v>
      </c>
      <c r="E32" s="2" t="s">
        <v>20</v>
      </c>
      <c r="F32" s="6" t="str">
        <f t="shared" si="5"/>
        <v>0</v>
      </c>
      <c r="G32" s="6" t="str">
        <f t="shared" si="6"/>
        <v>1</v>
      </c>
      <c r="H32" s="6" t="str">
        <f t="shared" si="7"/>
        <v>0</v>
      </c>
      <c r="I32" s="6" t="str">
        <f t="shared" si="8"/>
        <v>1</v>
      </c>
      <c r="J32" s="6" t="str">
        <f t="shared" si="9"/>
        <v>0</v>
      </c>
      <c r="K32" s="6" t="str">
        <f t="shared" si="10"/>
        <v>1</v>
      </c>
      <c r="M32">
        <f t="shared" si="2"/>
        <v>3.723809523809524E-5</v>
      </c>
      <c r="N32">
        <f t="shared" si="3"/>
        <v>1.9333333333333333E-5</v>
      </c>
      <c r="O32">
        <f t="shared" si="4"/>
        <v>1188</v>
      </c>
      <c r="P32" s="2" t="s">
        <v>20</v>
      </c>
    </row>
    <row r="33" spans="4:16" x14ac:dyDescent="0.35">
      <c r="D33" s="6">
        <v>22</v>
      </c>
      <c r="E33" s="2" t="s">
        <v>20</v>
      </c>
      <c r="F33" s="6" t="str">
        <f t="shared" si="5"/>
        <v>0</v>
      </c>
      <c r="G33" s="6" t="str">
        <f t="shared" si="6"/>
        <v>1</v>
      </c>
      <c r="H33" s="6" t="str">
        <f t="shared" si="7"/>
        <v>0</v>
      </c>
      <c r="I33" s="6" t="str">
        <f t="shared" si="8"/>
        <v>1</v>
      </c>
      <c r="J33" s="6" t="str">
        <f t="shared" si="9"/>
        <v>1</v>
      </c>
      <c r="K33" s="6" t="str">
        <f t="shared" si="10"/>
        <v>0</v>
      </c>
      <c r="M33">
        <f t="shared" si="2"/>
        <v>3.9238095238095242E-5</v>
      </c>
      <c r="N33">
        <f t="shared" si="3"/>
        <v>1.9333333333333333E-5</v>
      </c>
      <c r="O33">
        <f t="shared" si="4"/>
        <v>1288.5714285714287</v>
      </c>
      <c r="P33" s="2" t="s">
        <v>20</v>
      </c>
    </row>
    <row r="34" spans="4:16" x14ac:dyDescent="0.35">
      <c r="D34" s="6">
        <v>23</v>
      </c>
      <c r="E34" s="2" t="s">
        <v>20</v>
      </c>
      <c r="F34" s="6" t="str">
        <f t="shared" si="5"/>
        <v>0</v>
      </c>
      <c r="G34" s="6" t="str">
        <f t="shared" si="6"/>
        <v>1</v>
      </c>
      <c r="H34" s="6" t="str">
        <f t="shared" si="7"/>
        <v>0</v>
      </c>
      <c r="I34" s="6" t="str">
        <f t="shared" si="8"/>
        <v>1</v>
      </c>
      <c r="J34" s="6" t="str">
        <f t="shared" si="9"/>
        <v>1</v>
      </c>
      <c r="K34" s="6" t="str">
        <f t="shared" si="10"/>
        <v>1</v>
      </c>
      <c r="M34">
        <f t="shared" si="2"/>
        <v>4.1238095238095243E-5</v>
      </c>
      <c r="N34">
        <f t="shared" si="3"/>
        <v>2.1333333333333335E-5</v>
      </c>
      <c r="O34">
        <f t="shared" si="4"/>
        <v>1439.1428571428571</v>
      </c>
      <c r="P34" s="2" t="s">
        <v>20</v>
      </c>
    </row>
    <row r="35" spans="4:16" x14ac:dyDescent="0.35">
      <c r="D35" s="6">
        <v>24</v>
      </c>
      <c r="E35" s="2" t="s">
        <v>21</v>
      </c>
      <c r="F35" s="6" t="str">
        <f t="shared" si="5"/>
        <v>0</v>
      </c>
      <c r="G35" s="6" t="str">
        <f t="shared" si="6"/>
        <v>1</v>
      </c>
      <c r="H35" s="6" t="str">
        <f t="shared" si="7"/>
        <v>1</v>
      </c>
      <c r="I35" s="6" t="str">
        <f t="shared" si="8"/>
        <v>0</v>
      </c>
      <c r="J35" s="6" t="str">
        <f t="shared" si="9"/>
        <v>0</v>
      </c>
      <c r="K35" s="6" t="str">
        <f t="shared" si="10"/>
        <v>0</v>
      </c>
      <c r="M35">
        <f t="shared" si="2"/>
        <v>4.1904761904761908E-5</v>
      </c>
      <c r="N35">
        <f t="shared" si="3"/>
        <v>1.9999999999999998E-5</v>
      </c>
      <c r="O35">
        <f t="shared" si="4"/>
        <v>1485.7142857142858</v>
      </c>
      <c r="P35" s="2" t="s">
        <v>21</v>
      </c>
    </row>
    <row r="36" spans="4:16" x14ac:dyDescent="0.35">
      <c r="D36" s="6">
        <v>25</v>
      </c>
      <c r="E36" s="2" t="s">
        <v>20</v>
      </c>
      <c r="F36" s="6" t="str">
        <f t="shared" si="5"/>
        <v>0</v>
      </c>
      <c r="G36" s="6" t="str">
        <f t="shared" si="6"/>
        <v>1</v>
      </c>
      <c r="H36" s="6" t="str">
        <f t="shared" si="7"/>
        <v>1</v>
      </c>
      <c r="I36" s="6" t="str">
        <f t="shared" si="8"/>
        <v>0</v>
      </c>
      <c r="J36" s="6" t="str">
        <f t="shared" si="9"/>
        <v>0</v>
      </c>
      <c r="K36" s="6" t="str">
        <f t="shared" si="10"/>
        <v>1</v>
      </c>
      <c r="M36">
        <f t="shared" si="2"/>
        <v>4.3904761904761909E-5</v>
      </c>
      <c r="N36">
        <f t="shared" si="3"/>
        <v>2.1999999999999999E-5</v>
      </c>
      <c r="O36">
        <f t="shared" si="4"/>
        <v>1647.6190476190477</v>
      </c>
      <c r="P36" s="2" t="s">
        <v>20</v>
      </c>
    </row>
    <row r="37" spans="4:16" x14ac:dyDescent="0.35">
      <c r="D37" s="6">
        <v>26</v>
      </c>
      <c r="E37" s="2" t="s">
        <v>20</v>
      </c>
      <c r="F37" s="6" t="str">
        <f t="shared" si="5"/>
        <v>0</v>
      </c>
      <c r="G37" s="6" t="str">
        <f t="shared" si="6"/>
        <v>1</v>
      </c>
      <c r="H37" s="6" t="str">
        <f t="shared" si="7"/>
        <v>1</v>
      </c>
      <c r="I37" s="6" t="str">
        <f t="shared" si="8"/>
        <v>0</v>
      </c>
      <c r="J37" s="6" t="str">
        <f t="shared" si="9"/>
        <v>1</v>
      </c>
      <c r="K37" s="6" t="str">
        <f t="shared" si="10"/>
        <v>0</v>
      </c>
      <c r="M37">
        <f t="shared" si="2"/>
        <v>4.590476190476191E-5</v>
      </c>
      <c r="N37">
        <f t="shared" si="3"/>
        <v>2.1999999999999999E-5</v>
      </c>
      <c r="O37">
        <f t="shared" si="4"/>
        <v>1765.5238095238096</v>
      </c>
      <c r="P37" s="2" t="s">
        <v>20</v>
      </c>
    </row>
    <row r="38" spans="4:16" x14ac:dyDescent="0.35">
      <c r="D38" s="6">
        <v>27</v>
      </c>
      <c r="E38" s="2" t="s">
        <v>20</v>
      </c>
      <c r="F38" s="6" t="str">
        <f t="shared" si="5"/>
        <v>0</v>
      </c>
      <c r="G38" s="6" t="str">
        <f t="shared" si="6"/>
        <v>1</v>
      </c>
      <c r="H38" s="6" t="str">
        <f t="shared" si="7"/>
        <v>1</v>
      </c>
      <c r="I38" s="6" t="str">
        <f t="shared" si="8"/>
        <v>0</v>
      </c>
      <c r="J38" s="6" t="str">
        <f t="shared" si="9"/>
        <v>1</v>
      </c>
      <c r="K38" s="6" t="str">
        <f t="shared" si="10"/>
        <v>1</v>
      </c>
      <c r="M38">
        <f t="shared" si="2"/>
        <v>4.7904761904761911E-5</v>
      </c>
      <c r="N38">
        <f t="shared" si="3"/>
        <v>2.4000000000000001E-5</v>
      </c>
      <c r="O38">
        <f t="shared" si="4"/>
        <v>1941.4285714285713</v>
      </c>
      <c r="P38" s="2" t="s">
        <v>20</v>
      </c>
    </row>
    <row r="39" spans="4:16" x14ac:dyDescent="0.35">
      <c r="D39" s="6">
        <v>28</v>
      </c>
      <c r="E39" s="2" t="s">
        <v>21</v>
      </c>
      <c r="F39" s="6" t="str">
        <f t="shared" si="5"/>
        <v>0</v>
      </c>
      <c r="G39" s="6" t="str">
        <f t="shared" si="6"/>
        <v>1</v>
      </c>
      <c r="H39" s="6" t="str">
        <f t="shared" si="7"/>
        <v>1</v>
      </c>
      <c r="I39" s="6" t="str">
        <f t="shared" si="8"/>
        <v>1</v>
      </c>
      <c r="J39" s="6" t="str">
        <f t="shared" si="9"/>
        <v>0</v>
      </c>
      <c r="K39" s="6" t="str">
        <f t="shared" si="10"/>
        <v>0</v>
      </c>
      <c r="M39">
        <f t="shared" si="2"/>
        <v>4.8571428571428576E-5</v>
      </c>
      <c r="N39">
        <f t="shared" si="3"/>
        <v>2.3999999999999997E-5</v>
      </c>
      <c r="O39">
        <f t="shared" si="4"/>
        <v>2032</v>
      </c>
      <c r="P39" s="2" t="s">
        <v>21</v>
      </c>
    </row>
    <row r="40" spans="4:16" x14ac:dyDescent="0.35">
      <c r="D40" s="6">
        <v>29</v>
      </c>
      <c r="E40" s="2" t="s">
        <v>20</v>
      </c>
      <c r="F40" s="6" t="str">
        <f t="shared" si="5"/>
        <v>0</v>
      </c>
      <c r="G40" s="6" t="str">
        <f t="shared" si="6"/>
        <v>1</v>
      </c>
      <c r="H40" s="6" t="str">
        <f t="shared" si="7"/>
        <v>1</v>
      </c>
      <c r="I40" s="6" t="str">
        <f t="shared" si="8"/>
        <v>1</v>
      </c>
      <c r="J40" s="6" t="str">
        <f t="shared" si="9"/>
        <v>0</v>
      </c>
      <c r="K40" s="6" t="str">
        <f t="shared" si="10"/>
        <v>1</v>
      </c>
      <c r="M40">
        <f t="shared" si="2"/>
        <v>5.0571428571428577E-5</v>
      </c>
      <c r="N40">
        <f t="shared" si="3"/>
        <v>2.5999999999999998E-5</v>
      </c>
      <c r="O40">
        <f t="shared" si="4"/>
        <v>2220.5714285714284</v>
      </c>
      <c r="P40" s="2" t="s">
        <v>20</v>
      </c>
    </row>
    <row r="41" spans="4:16" x14ac:dyDescent="0.35">
      <c r="D41" s="6">
        <v>30</v>
      </c>
      <c r="E41" s="2" t="s">
        <v>20</v>
      </c>
      <c r="F41" s="6" t="str">
        <f t="shared" si="5"/>
        <v>0</v>
      </c>
      <c r="G41" s="6" t="str">
        <f t="shared" si="6"/>
        <v>1</v>
      </c>
      <c r="H41" s="6" t="str">
        <f t="shared" si="7"/>
        <v>1</v>
      </c>
      <c r="I41" s="6" t="str">
        <f t="shared" si="8"/>
        <v>1</v>
      </c>
      <c r="J41" s="6" t="str">
        <f t="shared" si="9"/>
        <v>1</v>
      </c>
      <c r="K41" s="6" t="str">
        <f t="shared" si="10"/>
        <v>0</v>
      </c>
      <c r="M41">
        <f t="shared" si="2"/>
        <v>5.2571428571428578E-5</v>
      </c>
      <c r="N41">
        <f t="shared" si="3"/>
        <v>2.5999999999999998E-5</v>
      </c>
      <c r="O41">
        <f t="shared" si="4"/>
        <v>2357.1428571428573</v>
      </c>
      <c r="P41" s="2" t="s">
        <v>20</v>
      </c>
    </row>
    <row r="42" spans="4:16" x14ac:dyDescent="0.35">
      <c r="D42" s="6">
        <v>31</v>
      </c>
      <c r="E42" s="2" t="s">
        <v>20</v>
      </c>
      <c r="F42" s="6" t="str">
        <f t="shared" si="5"/>
        <v>0</v>
      </c>
      <c r="G42" s="6" t="str">
        <f t="shared" si="6"/>
        <v>1</v>
      </c>
      <c r="H42" s="6" t="str">
        <f t="shared" si="7"/>
        <v>1</v>
      </c>
      <c r="I42" s="6" t="str">
        <f t="shared" si="8"/>
        <v>1</v>
      </c>
      <c r="J42" s="6" t="str">
        <f t="shared" si="9"/>
        <v>1</v>
      </c>
      <c r="K42" s="6" t="str">
        <f t="shared" si="10"/>
        <v>1</v>
      </c>
      <c r="M42">
        <f t="shared" si="2"/>
        <v>5.4571428571428579E-5</v>
      </c>
      <c r="N42">
        <f t="shared" si="3"/>
        <v>2.8E-5</v>
      </c>
      <c r="O42">
        <f t="shared" si="4"/>
        <v>2559.7142857142862</v>
      </c>
      <c r="P42" s="2" t="s">
        <v>20</v>
      </c>
    </row>
    <row r="43" spans="4:16" x14ac:dyDescent="0.35">
      <c r="D43" s="6">
        <v>32</v>
      </c>
      <c r="E43" s="2" t="s">
        <v>22</v>
      </c>
      <c r="F43" s="6" t="str">
        <f t="shared" si="5"/>
        <v>1</v>
      </c>
      <c r="G43" s="6" t="str">
        <f t="shared" si="6"/>
        <v>0</v>
      </c>
      <c r="H43" s="6" t="str">
        <f t="shared" si="7"/>
        <v>0</v>
      </c>
      <c r="I43" s="6" t="str">
        <f t="shared" si="8"/>
        <v>0</v>
      </c>
      <c r="J43" s="6" t="str">
        <f t="shared" si="9"/>
        <v>0</v>
      </c>
      <c r="K43" s="6" t="str">
        <f t="shared" si="10"/>
        <v>0</v>
      </c>
      <c r="M43">
        <f t="shared" si="2"/>
        <v>2.8571428571428574E-5</v>
      </c>
      <c r="N43">
        <f t="shared" si="3"/>
        <v>2.8571428571428574E-5</v>
      </c>
      <c r="O43">
        <f t="shared" si="4"/>
        <v>1828.5714285714287</v>
      </c>
      <c r="P43" s="2" t="s">
        <v>22</v>
      </c>
    </row>
    <row r="44" spans="4:16" x14ac:dyDescent="0.35">
      <c r="D44" s="6">
        <v>33</v>
      </c>
      <c r="E44" s="2" t="s">
        <v>22</v>
      </c>
      <c r="F44" s="6" t="str">
        <f t="shared" si="5"/>
        <v>1</v>
      </c>
      <c r="G44" s="6" t="str">
        <f t="shared" si="6"/>
        <v>0</v>
      </c>
      <c r="H44" s="6" t="str">
        <f t="shared" si="7"/>
        <v>0</v>
      </c>
      <c r="I44" s="6" t="str">
        <f t="shared" si="8"/>
        <v>0</v>
      </c>
      <c r="J44" s="6" t="str">
        <f t="shared" si="9"/>
        <v>0</v>
      </c>
      <c r="K44" s="6" t="str">
        <f t="shared" si="10"/>
        <v>1</v>
      </c>
      <c r="M44">
        <f t="shared" si="2"/>
        <v>3.0571428571428572E-5</v>
      </c>
      <c r="N44">
        <f t="shared" si="3"/>
        <v>3.0571428571428572E-5</v>
      </c>
      <c r="O44">
        <f t="shared" si="4"/>
        <v>2017.7142857142858</v>
      </c>
      <c r="P44" s="2" t="s">
        <v>22</v>
      </c>
    </row>
    <row r="45" spans="4:16" x14ac:dyDescent="0.35">
      <c r="D45" s="6">
        <v>34</v>
      </c>
      <c r="E45" s="2" t="s">
        <v>22</v>
      </c>
      <c r="F45" s="6" t="str">
        <f t="shared" si="5"/>
        <v>1</v>
      </c>
      <c r="G45" s="6" t="str">
        <f t="shared" si="6"/>
        <v>0</v>
      </c>
      <c r="H45" s="6" t="str">
        <f t="shared" si="7"/>
        <v>0</v>
      </c>
      <c r="I45" s="6" t="str">
        <f t="shared" si="8"/>
        <v>0</v>
      </c>
      <c r="J45" s="6" t="str">
        <f t="shared" si="9"/>
        <v>1</v>
      </c>
      <c r="K45" s="6" t="str">
        <f t="shared" si="10"/>
        <v>0</v>
      </c>
      <c r="M45">
        <f t="shared" si="2"/>
        <v>3.2571428571428573E-5</v>
      </c>
      <c r="N45">
        <f t="shared" si="3"/>
        <v>3.0571428571428572E-5</v>
      </c>
      <c r="O45">
        <f t="shared" si="4"/>
        <v>2146.8571428571431</v>
      </c>
      <c r="P45" s="2" t="s">
        <v>22</v>
      </c>
    </row>
    <row r="46" spans="4:16" x14ac:dyDescent="0.35">
      <c r="D46" s="6">
        <v>35</v>
      </c>
      <c r="E46" s="2" t="s">
        <v>22</v>
      </c>
      <c r="F46" s="6" t="str">
        <f t="shared" si="5"/>
        <v>1</v>
      </c>
      <c r="G46" s="6" t="str">
        <f t="shared" si="6"/>
        <v>0</v>
      </c>
      <c r="H46" s="6" t="str">
        <f t="shared" si="7"/>
        <v>0</v>
      </c>
      <c r="I46" s="6" t="str">
        <f t="shared" si="8"/>
        <v>0</v>
      </c>
      <c r="J46" s="6" t="str">
        <f t="shared" si="9"/>
        <v>1</v>
      </c>
      <c r="K46" s="6" t="str">
        <f t="shared" si="10"/>
        <v>1</v>
      </c>
      <c r="M46">
        <f t="shared" si="2"/>
        <v>3.4571428571428574E-5</v>
      </c>
      <c r="N46">
        <f t="shared" si="3"/>
        <v>3.2571428571428573E-5</v>
      </c>
      <c r="O46">
        <f t="shared" si="4"/>
        <v>2350</v>
      </c>
      <c r="P46" s="2" t="s">
        <v>22</v>
      </c>
    </row>
    <row r="47" spans="4:16" x14ac:dyDescent="0.35">
      <c r="D47" s="6">
        <v>36</v>
      </c>
      <c r="E47" s="2" t="s">
        <v>22</v>
      </c>
      <c r="F47" s="6" t="str">
        <f t="shared" si="5"/>
        <v>1</v>
      </c>
      <c r="G47" s="6" t="str">
        <f t="shared" si="6"/>
        <v>0</v>
      </c>
      <c r="H47" s="6" t="str">
        <f t="shared" si="7"/>
        <v>0</v>
      </c>
      <c r="I47" s="6" t="str">
        <f t="shared" si="8"/>
        <v>1</v>
      </c>
      <c r="J47" s="6" t="str">
        <f t="shared" si="9"/>
        <v>0</v>
      </c>
      <c r="K47" s="6" t="str">
        <f t="shared" si="10"/>
        <v>0</v>
      </c>
      <c r="M47">
        <f t="shared" si="2"/>
        <v>3.5238095238095239E-5</v>
      </c>
      <c r="N47">
        <f t="shared" si="3"/>
        <v>3.2571428571428573E-5</v>
      </c>
      <c r="O47">
        <f t="shared" si="4"/>
        <v>2441.1428571428573</v>
      </c>
      <c r="P47" s="2" t="s">
        <v>22</v>
      </c>
    </row>
    <row r="48" spans="4:16" x14ac:dyDescent="0.35">
      <c r="D48" s="6">
        <v>37</v>
      </c>
      <c r="E48" s="2" t="s">
        <v>22</v>
      </c>
      <c r="F48" s="6" t="str">
        <f t="shared" si="5"/>
        <v>1</v>
      </c>
      <c r="G48" s="6" t="str">
        <f t="shared" si="6"/>
        <v>0</v>
      </c>
      <c r="H48" s="6" t="str">
        <f t="shared" si="7"/>
        <v>0</v>
      </c>
      <c r="I48" s="6" t="str">
        <f t="shared" si="8"/>
        <v>1</v>
      </c>
      <c r="J48" s="6" t="str">
        <f t="shared" si="9"/>
        <v>0</v>
      </c>
      <c r="K48" s="6" t="str">
        <f t="shared" si="10"/>
        <v>1</v>
      </c>
      <c r="M48">
        <f t="shared" si="2"/>
        <v>3.723809523809524E-5</v>
      </c>
      <c r="N48">
        <f t="shared" si="3"/>
        <v>3.4571428571428574E-5</v>
      </c>
      <c r="O48">
        <f t="shared" si="4"/>
        <v>2656.9523809523816</v>
      </c>
      <c r="P48" s="2" t="s">
        <v>22</v>
      </c>
    </row>
    <row r="49" spans="4:16" x14ac:dyDescent="0.35">
      <c r="D49" s="6">
        <v>38</v>
      </c>
      <c r="E49" s="2" t="s">
        <v>22</v>
      </c>
      <c r="F49" s="6" t="str">
        <f t="shared" si="5"/>
        <v>1</v>
      </c>
      <c r="G49" s="6" t="str">
        <f t="shared" si="6"/>
        <v>0</v>
      </c>
      <c r="H49" s="6" t="str">
        <f t="shared" si="7"/>
        <v>0</v>
      </c>
      <c r="I49" s="6" t="str">
        <f t="shared" si="8"/>
        <v>1</v>
      </c>
      <c r="J49" s="6" t="str">
        <f t="shared" si="9"/>
        <v>1</v>
      </c>
      <c r="K49" s="6" t="str">
        <f t="shared" si="10"/>
        <v>0</v>
      </c>
      <c r="M49">
        <f t="shared" si="2"/>
        <v>3.9238095238095242E-5</v>
      </c>
      <c r="N49">
        <f t="shared" si="3"/>
        <v>3.4571428571428574E-5</v>
      </c>
      <c r="O49">
        <f t="shared" si="4"/>
        <v>2804.7619047619046</v>
      </c>
      <c r="P49" s="2" t="s">
        <v>22</v>
      </c>
    </row>
    <row r="50" spans="4:16" x14ac:dyDescent="0.35">
      <c r="D50" s="6">
        <v>39</v>
      </c>
      <c r="E50" s="2" t="s">
        <v>22</v>
      </c>
      <c r="F50" s="6" t="str">
        <f t="shared" si="5"/>
        <v>1</v>
      </c>
      <c r="G50" s="6" t="str">
        <f t="shared" si="6"/>
        <v>0</v>
      </c>
      <c r="H50" s="6" t="str">
        <f t="shared" si="7"/>
        <v>0</v>
      </c>
      <c r="I50" s="6" t="str">
        <f t="shared" si="8"/>
        <v>1</v>
      </c>
      <c r="J50" s="6" t="str">
        <f t="shared" si="9"/>
        <v>1</v>
      </c>
      <c r="K50" s="6" t="str">
        <f t="shared" si="10"/>
        <v>1</v>
      </c>
      <c r="M50">
        <f t="shared" si="2"/>
        <v>4.1238095238095243E-5</v>
      </c>
      <c r="N50">
        <f t="shared" si="3"/>
        <v>3.6571428571428576E-5</v>
      </c>
      <c r="O50">
        <f t="shared" si="4"/>
        <v>3034.5714285714294</v>
      </c>
      <c r="P50" s="2" t="s">
        <v>22</v>
      </c>
    </row>
    <row r="51" spans="4:16" x14ac:dyDescent="0.35">
      <c r="D51" s="6">
        <v>40</v>
      </c>
      <c r="E51" s="2" t="s">
        <v>22</v>
      </c>
      <c r="F51" s="6" t="str">
        <f t="shared" si="5"/>
        <v>1</v>
      </c>
      <c r="G51" s="6" t="str">
        <f t="shared" si="6"/>
        <v>0</v>
      </c>
      <c r="H51" s="6" t="str">
        <f t="shared" si="7"/>
        <v>1</v>
      </c>
      <c r="I51" s="6" t="str">
        <f t="shared" si="8"/>
        <v>0</v>
      </c>
      <c r="J51" s="6" t="str">
        <f t="shared" si="9"/>
        <v>0</v>
      </c>
      <c r="K51" s="6" t="str">
        <f t="shared" si="10"/>
        <v>0</v>
      </c>
      <c r="M51">
        <f t="shared" si="2"/>
        <v>4.1904761904761908E-5</v>
      </c>
      <c r="N51">
        <f t="shared" si="3"/>
        <v>3.5238095238095239E-5</v>
      </c>
      <c r="O51">
        <f t="shared" si="4"/>
        <v>3085.7142857142853</v>
      </c>
      <c r="P51" s="2" t="s">
        <v>22</v>
      </c>
    </row>
    <row r="52" spans="4:16" x14ac:dyDescent="0.35">
      <c r="D52" s="6">
        <v>41</v>
      </c>
      <c r="E52" s="2" t="s">
        <v>22</v>
      </c>
      <c r="F52" s="6" t="str">
        <f t="shared" si="5"/>
        <v>1</v>
      </c>
      <c r="G52" s="6" t="str">
        <f t="shared" si="6"/>
        <v>0</v>
      </c>
      <c r="H52" s="6" t="str">
        <f t="shared" si="7"/>
        <v>1</v>
      </c>
      <c r="I52" s="6" t="str">
        <f t="shared" si="8"/>
        <v>0</v>
      </c>
      <c r="J52" s="6" t="str">
        <f t="shared" si="9"/>
        <v>0</v>
      </c>
      <c r="K52" s="6" t="str">
        <f t="shared" si="10"/>
        <v>1</v>
      </c>
      <c r="M52">
        <f t="shared" si="2"/>
        <v>4.3904761904761909E-5</v>
      </c>
      <c r="N52">
        <f t="shared" si="3"/>
        <v>3.723809523809524E-5</v>
      </c>
      <c r="O52">
        <f t="shared" si="4"/>
        <v>3326.8571428571431</v>
      </c>
      <c r="P52" s="2" t="s">
        <v>22</v>
      </c>
    </row>
    <row r="53" spans="4:16" x14ac:dyDescent="0.35">
      <c r="D53" s="6">
        <v>42</v>
      </c>
      <c r="E53" s="2" t="s">
        <v>22</v>
      </c>
      <c r="F53" s="6" t="str">
        <f t="shared" si="5"/>
        <v>1</v>
      </c>
      <c r="G53" s="6" t="str">
        <f t="shared" si="6"/>
        <v>0</v>
      </c>
      <c r="H53" s="6" t="str">
        <f t="shared" si="7"/>
        <v>1</v>
      </c>
      <c r="I53" s="6" t="str">
        <f t="shared" si="8"/>
        <v>0</v>
      </c>
      <c r="J53" s="6" t="str">
        <f t="shared" si="9"/>
        <v>1</v>
      </c>
      <c r="K53" s="6" t="str">
        <f t="shared" si="10"/>
        <v>0</v>
      </c>
      <c r="M53">
        <f t="shared" si="2"/>
        <v>4.590476190476191E-5</v>
      </c>
      <c r="N53">
        <f t="shared" si="3"/>
        <v>3.723809523809524E-5</v>
      </c>
      <c r="O53">
        <f t="shared" si="4"/>
        <v>3492.0000000000005</v>
      </c>
      <c r="P53" s="2" t="s">
        <v>22</v>
      </c>
    </row>
    <row r="54" spans="4:16" x14ac:dyDescent="0.35">
      <c r="D54" s="6">
        <v>43</v>
      </c>
      <c r="E54" s="2" t="s">
        <v>22</v>
      </c>
      <c r="F54" s="6" t="str">
        <f t="shared" si="5"/>
        <v>1</v>
      </c>
      <c r="G54" s="6" t="str">
        <f t="shared" si="6"/>
        <v>0</v>
      </c>
      <c r="H54" s="6" t="str">
        <f t="shared" si="7"/>
        <v>1</v>
      </c>
      <c r="I54" s="6" t="str">
        <f t="shared" si="8"/>
        <v>0</v>
      </c>
      <c r="J54" s="6" t="str">
        <f t="shared" si="9"/>
        <v>1</v>
      </c>
      <c r="K54" s="6" t="str">
        <f t="shared" si="10"/>
        <v>1</v>
      </c>
      <c r="M54">
        <f t="shared" si="2"/>
        <v>4.7904761904761911E-5</v>
      </c>
      <c r="N54">
        <f t="shared" si="3"/>
        <v>3.9238095238095242E-5</v>
      </c>
      <c r="O54">
        <f t="shared" si="4"/>
        <v>3747.1428571428578</v>
      </c>
      <c r="P54" s="2" t="s">
        <v>22</v>
      </c>
    </row>
    <row r="55" spans="4:16" x14ac:dyDescent="0.35">
      <c r="D55" s="6">
        <v>44</v>
      </c>
      <c r="E55" s="2" t="s">
        <v>22</v>
      </c>
      <c r="F55" s="6" t="str">
        <f t="shared" si="5"/>
        <v>1</v>
      </c>
      <c r="G55" s="6" t="str">
        <f t="shared" si="6"/>
        <v>0</v>
      </c>
      <c r="H55" s="6" t="str">
        <f t="shared" si="7"/>
        <v>1</v>
      </c>
      <c r="I55" s="6" t="str">
        <f t="shared" si="8"/>
        <v>1</v>
      </c>
      <c r="J55" s="6" t="str">
        <f t="shared" si="9"/>
        <v>0</v>
      </c>
      <c r="K55" s="6" t="str">
        <f t="shared" si="10"/>
        <v>0</v>
      </c>
      <c r="M55">
        <f t="shared" si="2"/>
        <v>4.8571428571428576E-5</v>
      </c>
      <c r="N55">
        <f t="shared" si="3"/>
        <v>3.9238095238095242E-5</v>
      </c>
      <c r="O55">
        <f t="shared" si="4"/>
        <v>3863.6190476190482</v>
      </c>
      <c r="P55" s="2" t="s">
        <v>22</v>
      </c>
    </row>
    <row r="56" spans="4:16" x14ac:dyDescent="0.35">
      <c r="D56" s="6">
        <v>45</v>
      </c>
      <c r="E56" s="2" t="s">
        <v>22</v>
      </c>
      <c r="F56" s="6" t="str">
        <f t="shared" si="5"/>
        <v>1</v>
      </c>
      <c r="G56" s="6" t="str">
        <f t="shared" si="6"/>
        <v>0</v>
      </c>
      <c r="H56" s="6" t="str">
        <f t="shared" si="7"/>
        <v>1</v>
      </c>
      <c r="I56" s="6" t="str">
        <f t="shared" si="8"/>
        <v>1</v>
      </c>
      <c r="J56" s="6" t="str">
        <f t="shared" si="9"/>
        <v>0</v>
      </c>
      <c r="K56" s="6" t="str">
        <f t="shared" si="10"/>
        <v>1</v>
      </c>
      <c r="M56">
        <f t="shared" si="2"/>
        <v>5.0571428571428577E-5</v>
      </c>
      <c r="N56">
        <f t="shared" si="3"/>
        <v>4.1238095238095243E-5</v>
      </c>
      <c r="O56">
        <f t="shared" si="4"/>
        <v>4131.4285714285725</v>
      </c>
      <c r="P56" s="2" t="s">
        <v>22</v>
      </c>
    </row>
    <row r="57" spans="4:16" x14ac:dyDescent="0.35">
      <c r="D57" s="6">
        <v>46</v>
      </c>
      <c r="E57" s="2" t="s">
        <v>22</v>
      </c>
      <c r="F57" s="6" t="str">
        <f t="shared" si="5"/>
        <v>1</v>
      </c>
      <c r="G57" s="6" t="str">
        <f t="shared" si="6"/>
        <v>0</v>
      </c>
      <c r="H57" s="6" t="str">
        <f t="shared" si="7"/>
        <v>1</v>
      </c>
      <c r="I57" s="6" t="str">
        <f t="shared" si="8"/>
        <v>1</v>
      </c>
      <c r="J57" s="6" t="str">
        <f t="shared" si="9"/>
        <v>1</v>
      </c>
      <c r="K57" s="6" t="str">
        <f t="shared" si="10"/>
        <v>0</v>
      </c>
      <c r="M57">
        <f t="shared" si="2"/>
        <v>5.2571428571428578E-5</v>
      </c>
      <c r="N57">
        <f t="shared" si="3"/>
        <v>4.1238095238095243E-5</v>
      </c>
      <c r="O57">
        <f t="shared" si="4"/>
        <v>4315.2380952380954</v>
      </c>
      <c r="P57" s="2" t="s">
        <v>22</v>
      </c>
    </row>
    <row r="58" spans="4:16" x14ac:dyDescent="0.35">
      <c r="D58" s="6">
        <v>47</v>
      </c>
      <c r="E58" s="2" t="s">
        <v>22</v>
      </c>
      <c r="F58" s="6" t="str">
        <f t="shared" si="5"/>
        <v>1</v>
      </c>
      <c r="G58" s="6" t="str">
        <f t="shared" si="6"/>
        <v>0</v>
      </c>
      <c r="H58" s="6" t="str">
        <f t="shared" si="7"/>
        <v>1</v>
      </c>
      <c r="I58" s="6" t="str">
        <f t="shared" si="8"/>
        <v>1</v>
      </c>
      <c r="J58" s="6" t="str">
        <f t="shared" si="9"/>
        <v>1</v>
      </c>
      <c r="K58" s="6" t="str">
        <f t="shared" si="10"/>
        <v>1</v>
      </c>
      <c r="M58">
        <f t="shared" si="2"/>
        <v>5.4571428571428579E-5</v>
      </c>
      <c r="N58">
        <f t="shared" si="3"/>
        <v>4.3238095238095244E-5</v>
      </c>
      <c r="O58">
        <f t="shared" si="4"/>
        <v>4597.0476190476202</v>
      </c>
      <c r="P58" s="2" t="s">
        <v>22</v>
      </c>
    </row>
    <row r="59" spans="4:16" x14ac:dyDescent="0.35">
      <c r="D59" s="6">
        <v>48</v>
      </c>
      <c r="E59" s="2" t="s">
        <v>22</v>
      </c>
      <c r="F59" s="6" t="str">
        <f t="shared" si="5"/>
        <v>1</v>
      </c>
      <c r="G59" s="6" t="str">
        <f t="shared" si="6"/>
        <v>1</v>
      </c>
      <c r="H59" s="6" t="str">
        <f t="shared" si="7"/>
        <v>0</v>
      </c>
      <c r="I59" s="6" t="str">
        <f t="shared" si="8"/>
        <v>0</v>
      </c>
      <c r="J59" s="6" t="str">
        <f t="shared" si="9"/>
        <v>0</v>
      </c>
      <c r="K59" s="6" t="str">
        <f t="shared" si="10"/>
        <v>0</v>
      </c>
      <c r="M59">
        <f t="shared" si="2"/>
        <v>5.7142857142857148E-5</v>
      </c>
      <c r="N59">
        <f t="shared" si="3"/>
        <v>4.1904761904761908E-5</v>
      </c>
      <c r="O59">
        <f t="shared" si="4"/>
        <v>4754.2857142857147</v>
      </c>
      <c r="P59" s="2" t="s">
        <v>22</v>
      </c>
    </row>
    <row r="60" spans="4:16" x14ac:dyDescent="0.35">
      <c r="D60" s="6">
        <v>49</v>
      </c>
      <c r="E60" s="2" t="s">
        <v>22</v>
      </c>
      <c r="F60" s="6" t="str">
        <f t="shared" si="5"/>
        <v>1</v>
      </c>
      <c r="G60" s="6" t="str">
        <f t="shared" si="6"/>
        <v>1</v>
      </c>
      <c r="H60" s="6" t="str">
        <f t="shared" si="7"/>
        <v>0</v>
      </c>
      <c r="I60" s="6" t="str">
        <f t="shared" si="8"/>
        <v>0</v>
      </c>
      <c r="J60" s="6" t="str">
        <f t="shared" si="9"/>
        <v>0</v>
      </c>
      <c r="K60" s="6" t="str">
        <f t="shared" si="10"/>
        <v>1</v>
      </c>
      <c r="M60">
        <f t="shared" si="2"/>
        <v>5.914285714285715E-5</v>
      </c>
      <c r="N60">
        <f t="shared" si="3"/>
        <v>4.3904761904761909E-5</v>
      </c>
      <c r="O60">
        <f t="shared" si="4"/>
        <v>5049.3333333333339</v>
      </c>
      <c r="P60" s="2" t="s">
        <v>22</v>
      </c>
    </row>
    <row r="61" spans="4:16" x14ac:dyDescent="0.35">
      <c r="D61" s="6">
        <v>50</v>
      </c>
      <c r="E61" s="2" t="s">
        <v>22</v>
      </c>
      <c r="F61" s="6" t="str">
        <f t="shared" si="5"/>
        <v>1</v>
      </c>
      <c r="G61" s="6" t="str">
        <f t="shared" si="6"/>
        <v>1</v>
      </c>
      <c r="H61" s="6" t="str">
        <f t="shared" si="7"/>
        <v>0</v>
      </c>
      <c r="I61" s="6" t="str">
        <f t="shared" si="8"/>
        <v>0</v>
      </c>
      <c r="J61" s="6" t="str">
        <f t="shared" si="9"/>
        <v>1</v>
      </c>
      <c r="K61" s="6" t="str">
        <f t="shared" si="10"/>
        <v>0</v>
      </c>
      <c r="M61">
        <f t="shared" si="2"/>
        <v>6.1142857142857144E-5</v>
      </c>
      <c r="N61">
        <f t="shared" si="3"/>
        <v>4.3904761904761909E-5</v>
      </c>
      <c r="O61">
        <f t="shared" si="4"/>
        <v>5252.3809523809532</v>
      </c>
      <c r="P61" s="2" t="s">
        <v>22</v>
      </c>
    </row>
    <row r="62" spans="4:16" x14ac:dyDescent="0.35">
      <c r="D62" s="6">
        <v>51</v>
      </c>
      <c r="E62" s="2" t="s">
        <v>22</v>
      </c>
      <c r="F62" s="6" t="str">
        <f t="shared" si="5"/>
        <v>1</v>
      </c>
      <c r="G62" s="6" t="str">
        <f t="shared" si="6"/>
        <v>1</v>
      </c>
      <c r="H62" s="6" t="str">
        <f t="shared" si="7"/>
        <v>0</v>
      </c>
      <c r="I62" s="6" t="str">
        <f t="shared" si="8"/>
        <v>0</v>
      </c>
      <c r="J62" s="6" t="str">
        <f t="shared" si="9"/>
        <v>1</v>
      </c>
      <c r="K62" s="6" t="str">
        <f t="shared" si="10"/>
        <v>1</v>
      </c>
      <c r="M62">
        <f t="shared" si="2"/>
        <v>6.3142857142857138E-5</v>
      </c>
      <c r="N62">
        <f t="shared" si="3"/>
        <v>4.590476190476191E-5</v>
      </c>
      <c r="O62">
        <f t="shared" si="4"/>
        <v>5561.4285714285716</v>
      </c>
      <c r="P62" s="2" t="s">
        <v>22</v>
      </c>
    </row>
    <row r="63" spans="4:16" x14ac:dyDescent="0.35">
      <c r="D63" s="6">
        <v>52</v>
      </c>
      <c r="E63" s="2" t="s">
        <v>22</v>
      </c>
      <c r="F63" s="6" t="str">
        <f t="shared" si="5"/>
        <v>1</v>
      </c>
      <c r="G63" s="6" t="str">
        <f t="shared" si="6"/>
        <v>1</v>
      </c>
      <c r="H63" s="6" t="str">
        <f t="shared" si="7"/>
        <v>0</v>
      </c>
      <c r="I63" s="6" t="str">
        <f t="shared" si="8"/>
        <v>1</v>
      </c>
      <c r="J63" s="6" t="str">
        <f t="shared" si="9"/>
        <v>0</v>
      </c>
      <c r="K63" s="6" t="str">
        <f t="shared" si="10"/>
        <v>0</v>
      </c>
      <c r="M63">
        <f t="shared" si="2"/>
        <v>6.3809523809523817E-5</v>
      </c>
      <c r="N63">
        <f t="shared" si="3"/>
        <v>4.590476190476191E-5</v>
      </c>
      <c r="O63">
        <f t="shared" si="4"/>
        <v>5705.1428571428578</v>
      </c>
      <c r="P63" s="2" t="s">
        <v>22</v>
      </c>
    </row>
    <row r="64" spans="4:16" x14ac:dyDescent="0.35">
      <c r="D64" s="6">
        <v>53</v>
      </c>
      <c r="E64" s="2" t="s">
        <v>22</v>
      </c>
      <c r="F64" s="6" t="str">
        <f t="shared" si="5"/>
        <v>1</v>
      </c>
      <c r="G64" s="6" t="str">
        <f t="shared" si="6"/>
        <v>1</v>
      </c>
      <c r="H64" s="6" t="str">
        <f t="shared" si="7"/>
        <v>0</v>
      </c>
      <c r="I64" s="6" t="str">
        <f t="shared" si="8"/>
        <v>1</v>
      </c>
      <c r="J64" s="6" t="str">
        <f t="shared" si="9"/>
        <v>0</v>
      </c>
      <c r="K64" s="6" t="str">
        <f t="shared" si="10"/>
        <v>1</v>
      </c>
      <c r="M64">
        <f t="shared" si="2"/>
        <v>6.5809523809523811E-5</v>
      </c>
      <c r="N64">
        <f t="shared" si="3"/>
        <v>4.7904761904761911E-5</v>
      </c>
      <c r="O64">
        <f t="shared" si="4"/>
        <v>6026.8571428571431</v>
      </c>
      <c r="P64" s="2" t="s">
        <v>22</v>
      </c>
    </row>
    <row r="65" spans="4:16" x14ac:dyDescent="0.35">
      <c r="D65" s="6">
        <v>54</v>
      </c>
      <c r="E65" s="2" t="s">
        <v>22</v>
      </c>
      <c r="F65" s="6" t="str">
        <f t="shared" si="5"/>
        <v>1</v>
      </c>
      <c r="G65" s="6" t="str">
        <f t="shared" si="6"/>
        <v>1</v>
      </c>
      <c r="H65" s="6" t="str">
        <f t="shared" si="7"/>
        <v>0</v>
      </c>
      <c r="I65" s="6" t="str">
        <f t="shared" si="8"/>
        <v>1</v>
      </c>
      <c r="J65" s="6" t="str">
        <f t="shared" si="9"/>
        <v>1</v>
      </c>
      <c r="K65" s="6" t="str">
        <f t="shared" si="10"/>
        <v>0</v>
      </c>
      <c r="M65">
        <f t="shared" si="2"/>
        <v>6.7809523809523819E-5</v>
      </c>
      <c r="N65">
        <f t="shared" si="3"/>
        <v>4.7904761904761911E-5</v>
      </c>
      <c r="O65">
        <f t="shared" si="4"/>
        <v>6248.5714285714294</v>
      </c>
      <c r="P65" s="2" t="s">
        <v>22</v>
      </c>
    </row>
    <row r="66" spans="4:16" x14ac:dyDescent="0.35">
      <c r="D66" s="6">
        <v>55</v>
      </c>
      <c r="E66" s="2" t="s">
        <v>22</v>
      </c>
      <c r="F66" s="6" t="str">
        <f t="shared" si="5"/>
        <v>1</v>
      </c>
      <c r="G66" s="6" t="str">
        <f t="shared" si="6"/>
        <v>1</v>
      </c>
      <c r="H66" s="6" t="str">
        <f t="shared" si="7"/>
        <v>0</v>
      </c>
      <c r="I66" s="6" t="str">
        <f t="shared" si="8"/>
        <v>1</v>
      </c>
      <c r="J66" s="6" t="str">
        <f t="shared" si="9"/>
        <v>1</v>
      </c>
      <c r="K66" s="6" t="str">
        <f t="shared" si="10"/>
        <v>1</v>
      </c>
      <c r="M66">
        <f t="shared" si="2"/>
        <v>6.9809523809523814E-5</v>
      </c>
      <c r="N66">
        <f t="shared" si="3"/>
        <v>4.9904761904761912E-5</v>
      </c>
      <c r="O66">
        <f t="shared" si="4"/>
        <v>6584.2857142857147</v>
      </c>
      <c r="P66" s="2" t="s">
        <v>22</v>
      </c>
    </row>
    <row r="67" spans="4:16" x14ac:dyDescent="0.35">
      <c r="D67" s="6">
        <v>56</v>
      </c>
      <c r="E67" s="2" t="s">
        <v>22</v>
      </c>
      <c r="F67" s="6" t="str">
        <f t="shared" si="5"/>
        <v>1</v>
      </c>
      <c r="G67" s="6" t="str">
        <f t="shared" si="6"/>
        <v>1</v>
      </c>
      <c r="H67" s="6" t="str">
        <f t="shared" si="7"/>
        <v>1</v>
      </c>
      <c r="I67" s="6" t="str">
        <f t="shared" si="8"/>
        <v>0</v>
      </c>
      <c r="J67" s="6" t="str">
        <f t="shared" si="9"/>
        <v>0</v>
      </c>
      <c r="K67" s="6" t="str">
        <f t="shared" si="10"/>
        <v>0</v>
      </c>
      <c r="M67">
        <f t="shared" si="2"/>
        <v>7.0476190476190478E-5</v>
      </c>
      <c r="N67">
        <f t="shared" si="3"/>
        <v>4.8571428571428576E-5</v>
      </c>
      <c r="O67">
        <f t="shared" si="4"/>
        <v>6666.666666666667</v>
      </c>
      <c r="P67" s="2" t="s">
        <v>22</v>
      </c>
    </row>
    <row r="68" spans="4:16" x14ac:dyDescent="0.35">
      <c r="D68" s="6">
        <v>57</v>
      </c>
      <c r="E68" s="2" t="s">
        <v>22</v>
      </c>
      <c r="F68" s="6" t="str">
        <f t="shared" si="5"/>
        <v>1</v>
      </c>
      <c r="G68" s="6" t="str">
        <f t="shared" si="6"/>
        <v>1</v>
      </c>
      <c r="H68" s="6" t="str">
        <f t="shared" si="7"/>
        <v>1</v>
      </c>
      <c r="I68" s="6" t="str">
        <f t="shared" si="8"/>
        <v>0</v>
      </c>
      <c r="J68" s="6" t="str">
        <f t="shared" si="9"/>
        <v>0</v>
      </c>
      <c r="K68" s="6" t="str">
        <f t="shared" si="10"/>
        <v>1</v>
      </c>
      <c r="M68">
        <f t="shared" si="2"/>
        <v>7.2476190476190473E-5</v>
      </c>
      <c r="N68">
        <f t="shared" si="3"/>
        <v>5.0571428571428577E-5</v>
      </c>
      <c r="O68">
        <f t="shared" si="4"/>
        <v>7013.7142857142853</v>
      </c>
      <c r="P68" s="2" t="s">
        <v>22</v>
      </c>
    </row>
    <row r="69" spans="4:16" x14ac:dyDescent="0.35">
      <c r="D69" s="6">
        <v>58</v>
      </c>
      <c r="E69" s="2" t="s">
        <v>22</v>
      </c>
      <c r="F69" s="6" t="str">
        <f t="shared" si="5"/>
        <v>1</v>
      </c>
      <c r="G69" s="6" t="str">
        <f t="shared" si="6"/>
        <v>1</v>
      </c>
      <c r="H69" s="6" t="str">
        <f t="shared" si="7"/>
        <v>1</v>
      </c>
      <c r="I69" s="6" t="str">
        <f t="shared" si="8"/>
        <v>0</v>
      </c>
      <c r="J69" s="6" t="str">
        <f t="shared" si="9"/>
        <v>1</v>
      </c>
      <c r="K69" s="6" t="str">
        <f t="shared" si="10"/>
        <v>0</v>
      </c>
      <c r="M69">
        <f t="shared" si="2"/>
        <v>7.4476190476190481E-5</v>
      </c>
      <c r="N69">
        <f t="shared" si="3"/>
        <v>5.0571428571428577E-5</v>
      </c>
      <c r="O69">
        <f t="shared" si="4"/>
        <v>7252.7619047619046</v>
      </c>
      <c r="P69" s="2" t="s">
        <v>22</v>
      </c>
    </row>
    <row r="70" spans="4:16" x14ac:dyDescent="0.35">
      <c r="D70" s="6">
        <v>59</v>
      </c>
      <c r="E70" s="2" t="s">
        <v>22</v>
      </c>
      <c r="F70" s="6" t="str">
        <f t="shared" si="5"/>
        <v>1</v>
      </c>
      <c r="G70" s="6" t="str">
        <f t="shared" si="6"/>
        <v>1</v>
      </c>
      <c r="H70" s="6" t="str">
        <f t="shared" si="7"/>
        <v>1</v>
      </c>
      <c r="I70" s="6" t="str">
        <f t="shared" si="8"/>
        <v>0</v>
      </c>
      <c r="J70" s="6" t="str">
        <f t="shared" si="9"/>
        <v>1</v>
      </c>
      <c r="K70" s="6" t="str">
        <f t="shared" si="10"/>
        <v>1</v>
      </c>
      <c r="M70">
        <f t="shared" si="2"/>
        <v>7.6476190476190475E-5</v>
      </c>
      <c r="N70">
        <f t="shared" si="3"/>
        <v>5.2571428571428578E-5</v>
      </c>
      <c r="O70">
        <f t="shared" si="4"/>
        <v>7613.8095238095229</v>
      </c>
      <c r="P70" s="2" t="s">
        <v>22</v>
      </c>
    </row>
    <row r="71" spans="4:16" x14ac:dyDescent="0.35">
      <c r="D71" s="6">
        <v>60</v>
      </c>
      <c r="E71" s="2" t="s">
        <v>22</v>
      </c>
      <c r="F71" s="6" t="str">
        <f t="shared" si="5"/>
        <v>1</v>
      </c>
      <c r="G71" s="6" t="str">
        <f t="shared" si="6"/>
        <v>1</v>
      </c>
      <c r="H71" s="6" t="str">
        <f t="shared" si="7"/>
        <v>1</v>
      </c>
      <c r="I71" s="6" t="str">
        <f t="shared" si="8"/>
        <v>1</v>
      </c>
      <c r="J71" s="6" t="str">
        <f t="shared" si="9"/>
        <v>0</v>
      </c>
      <c r="K71" s="6" t="str">
        <f t="shared" si="10"/>
        <v>0</v>
      </c>
      <c r="M71">
        <f t="shared" si="2"/>
        <v>7.714285714285714E-5</v>
      </c>
      <c r="N71">
        <f t="shared" si="3"/>
        <v>5.2571428571428578E-5</v>
      </c>
      <c r="O71">
        <f t="shared" si="4"/>
        <v>7782.8571428571431</v>
      </c>
      <c r="P71" s="2" t="s">
        <v>22</v>
      </c>
    </row>
    <row r="72" spans="4:16" x14ac:dyDescent="0.35">
      <c r="D72" s="6">
        <v>61</v>
      </c>
      <c r="E72" s="2" t="s">
        <v>22</v>
      </c>
      <c r="F72" s="6" t="str">
        <f t="shared" si="5"/>
        <v>1</v>
      </c>
      <c r="G72" s="6" t="str">
        <f t="shared" si="6"/>
        <v>1</v>
      </c>
      <c r="H72" s="6" t="str">
        <f t="shared" si="7"/>
        <v>1</v>
      </c>
      <c r="I72" s="6" t="str">
        <f t="shared" si="8"/>
        <v>1</v>
      </c>
      <c r="J72" s="6" t="str">
        <f t="shared" si="9"/>
        <v>0</v>
      </c>
      <c r="K72" s="6" t="str">
        <f t="shared" si="10"/>
        <v>1</v>
      </c>
      <c r="M72">
        <f t="shared" si="2"/>
        <v>7.9142857142857134E-5</v>
      </c>
      <c r="N72">
        <f t="shared" si="3"/>
        <v>5.4571428571428579E-5</v>
      </c>
      <c r="O72">
        <f t="shared" si="4"/>
        <v>8156.5714285714294</v>
      </c>
      <c r="P72" s="2" t="s">
        <v>22</v>
      </c>
    </row>
    <row r="73" spans="4:16" x14ac:dyDescent="0.35">
      <c r="D73" s="6">
        <v>62</v>
      </c>
      <c r="E73" s="2" t="s">
        <v>22</v>
      </c>
      <c r="F73" s="6" t="str">
        <f t="shared" si="5"/>
        <v>1</v>
      </c>
      <c r="G73" s="6" t="str">
        <f t="shared" si="6"/>
        <v>1</v>
      </c>
      <c r="H73" s="6" t="str">
        <f t="shared" si="7"/>
        <v>1</v>
      </c>
      <c r="I73" s="6" t="str">
        <f t="shared" si="8"/>
        <v>1</v>
      </c>
      <c r="J73" s="6" t="str">
        <f t="shared" si="9"/>
        <v>1</v>
      </c>
      <c r="K73" s="6" t="str">
        <f t="shared" si="10"/>
        <v>0</v>
      </c>
      <c r="M73">
        <f t="shared" si="2"/>
        <v>8.1142857142857142E-5</v>
      </c>
      <c r="N73">
        <f t="shared" si="3"/>
        <v>5.4571428571428579E-5</v>
      </c>
      <c r="O73">
        <f t="shared" si="4"/>
        <v>8414.2857142857156</v>
      </c>
      <c r="P73" s="2" t="s">
        <v>22</v>
      </c>
    </row>
    <row r="74" spans="4:16" x14ac:dyDescent="0.35">
      <c r="D74" s="6">
        <v>63</v>
      </c>
      <c r="E74" s="2" t="s">
        <v>22</v>
      </c>
      <c r="F74" s="6" t="str">
        <f t="shared" si="5"/>
        <v>1</v>
      </c>
      <c r="G74" s="6" t="str">
        <f t="shared" si="6"/>
        <v>1</v>
      </c>
      <c r="H74" s="6" t="str">
        <f t="shared" si="7"/>
        <v>1</v>
      </c>
      <c r="I74" s="6" t="str">
        <f t="shared" si="8"/>
        <v>1</v>
      </c>
      <c r="J74" s="6" t="str">
        <f t="shared" si="9"/>
        <v>1</v>
      </c>
      <c r="K74" s="6" t="str">
        <f t="shared" si="10"/>
        <v>1</v>
      </c>
      <c r="M74">
        <f t="shared" si="2"/>
        <v>8.3142857142857137E-5</v>
      </c>
      <c r="N74">
        <f t="shared" si="3"/>
        <v>5.6571428571428581E-5</v>
      </c>
      <c r="O74">
        <f t="shared" si="4"/>
        <v>8802</v>
      </c>
      <c r="P74" s="2" t="s">
        <v>22</v>
      </c>
    </row>
  </sheetData>
  <hyperlinks>
    <hyperlink ref="M1" r:id="rId1" display="R@" xr:uid="{F32143EF-B360-4B9C-B533-E054732B7C45}"/>
    <hyperlink ref="I1" r:id="rId2" display="R@" xr:uid="{5DDB88CB-38E9-48AA-BF9A-838FB7DBFCE3}"/>
    <hyperlink ref="R1" r:id="rId3" display="R@" xr:uid="{73C78BAD-D660-49C2-987C-A0ED2DC14510}"/>
  </hyperlink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15906-A8E1-4626-BA63-9B0EA82C7418}">
  <dimension ref="B2:T83"/>
  <sheetViews>
    <sheetView zoomScaleNormal="100" workbookViewId="0">
      <selection activeCell="A11" sqref="A11"/>
    </sheetView>
  </sheetViews>
  <sheetFormatPr defaultRowHeight="14.5" x14ac:dyDescent="0.35"/>
  <cols>
    <col min="2" max="2" width="6.7265625" style="6" bestFit="1" customWidth="1"/>
    <col min="3" max="3" width="19.1796875" style="2" bestFit="1" customWidth="1"/>
    <col min="4" max="4" width="12.1796875" customWidth="1"/>
    <col min="5" max="7" width="10" bestFit="1" customWidth="1"/>
    <col min="9" max="9" width="10" bestFit="1" customWidth="1"/>
    <col min="10" max="12" width="10" style="10" bestFit="1" customWidth="1"/>
    <col min="13" max="13" width="10" style="11" bestFit="1" customWidth="1"/>
    <col min="14" max="14" width="14.7265625" style="11" bestFit="1" customWidth="1"/>
    <col min="15" max="15" width="9.54296875" style="13" bestFit="1" customWidth="1"/>
    <col min="17" max="17" width="7.26953125" style="11" bestFit="1" customWidth="1"/>
    <col min="18" max="18" width="10.81640625" style="11" customWidth="1"/>
    <col min="19" max="19" width="9.1796875" style="11"/>
  </cols>
  <sheetData>
    <row r="2" spans="5:7" x14ac:dyDescent="0.35">
      <c r="E2" s="4" t="s">
        <v>10</v>
      </c>
      <c r="F2" s="5" t="s">
        <v>11</v>
      </c>
      <c r="G2" s="5" t="s">
        <v>13</v>
      </c>
    </row>
    <row r="3" spans="5:7" x14ac:dyDescent="0.35">
      <c r="E3">
        <v>20</v>
      </c>
      <c r="F3">
        <v>20</v>
      </c>
      <c r="G3">
        <v>20</v>
      </c>
    </row>
    <row r="4" spans="5:7" x14ac:dyDescent="0.35">
      <c r="E4">
        <v>20</v>
      </c>
      <c r="F4">
        <v>20</v>
      </c>
      <c r="G4">
        <v>100</v>
      </c>
    </row>
    <row r="5" spans="5:7" x14ac:dyDescent="0.35">
      <c r="E5">
        <v>20</v>
      </c>
      <c r="F5">
        <v>100</v>
      </c>
      <c r="G5">
        <v>100</v>
      </c>
    </row>
    <row r="6" spans="5:7" x14ac:dyDescent="0.35">
      <c r="E6">
        <v>100</v>
      </c>
      <c r="F6">
        <v>100</v>
      </c>
      <c r="G6">
        <v>100</v>
      </c>
    </row>
    <row r="7" spans="5:7" x14ac:dyDescent="0.35">
      <c r="E7">
        <v>7</v>
      </c>
      <c r="F7">
        <v>20</v>
      </c>
      <c r="G7">
        <v>20</v>
      </c>
    </row>
    <row r="8" spans="5:7" x14ac:dyDescent="0.35">
      <c r="E8">
        <v>7</v>
      </c>
      <c r="F8">
        <v>7</v>
      </c>
      <c r="G8">
        <v>7</v>
      </c>
    </row>
    <row r="10" spans="5:7" x14ac:dyDescent="0.35">
      <c r="E10" s="8" t="s">
        <v>10</v>
      </c>
      <c r="F10" s="9" t="s">
        <v>11</v>
      </c>
      <c r="G10" s="9" t="s">
        <v>13</v>
      </c>
    </row>
    <row r="11" spans="5:7" x14ac:dyDescent="0.35">
      <c r="E11" s="10">
        <f t="shared" ref="E11:G16" si="0">-0.2/(E3*1000)</f>
        <v>-1.0000000000000001E-5</v>
      </c>
      <c r="F11" s="10">
        <f t="shared" si="0"/>
        <v>-1.0000000000000001E-5</v>
      </c>
      <c r="G11" s="10">
        <f t="shared" si="0"/>
        <v>-1.0000000000000001E-5</v>
      </c>
    </row>
    <row r="12" spans="5:7" x14ac:dyDescent="0.35">
      <c r="E12" s="10">
        <f t="shared" si="0"/>
        <v>-1.0000000000000001E-5</v>
      </c>
      <c r="F12" s="10">
        <f t="shared" si="0"/>
        <v>-1.0000000000000001E-5</v>
      </c>
      <c r="G12" s="10">
        <f t="shared" si="0"/>
        <v>-1.9999999999999999E-6</v>
      </c>
    </row>
    <row r="13" spans="5:7" x14ac:dyDescent="0.35">
      <c r="E13" s="10">
        <f t="shared" si="0"/>
        <v>-1.0000000000000001E-5</v>
      </c>
      <c r="F13" s="10">
        <f t="shared" si="0"/>
        <v>-1.9999999999999999E-6</v>
      </c>
      <c r="G13" s="10">
        <f t="shared" si="0"/>
        <v>-1.9999999999999999E-6</v>
      </c>
    </row>
    <row r="14" spans="5:7" x14ac:dyDescent="0.35">
      <c r="E14" s="10">
        <f t="shared" si="0"/>
        <v>-1.9999999999999999E-6</v>
      </c>
      <c r="F14" s="10">
        <f t="shared" si="0"/>
        <v>-1.9999999999999999E-6</v>
      </c>
      <c r="G14" s="10">
        <f t="shared" si="0"/>
        <v>-1.9999999999999999E-6</v>
      </c>
    </row>
    <row r="15" spans="5:7" x14ac:dyDescent="0.35">
      <c r="E15" s="10">
        <f t="shared" si="0"/>
        <v>-2.8571428571428574E-5</v>
      </c>
      <c r="F15" s="10">
        <f t="shared" si="0"/>
        <v>-1.0000000000000001E-5</v>
      </c>
      <c r="G15" s="10">
        <f t="shared" si="0"/>
        <v>-1.0000000000000001E-5</v>
      </c>
    </row>
    <row r="16" spans="5:7" x14ac:dyDescent="0.35">
      <c r="E16" s="10">
        <f t="shared" si="0"/>
        <v>-2.8571428571428574E-5</v>
      </c>
      <c r="F16" s="10">
        <f t="shared" si="0"/>
        <v>-2.8571428571428574E-5</v>
      </c>
      <c r="G16" s="10">
        <f t="shared" si="0"/>
        <v>-2.8571428571428574E-5</v>
      </c>
    </row>
    <row r="19" spans="2:20" s="2" customFormat="1" x14ac:dyDescent="0.35">
      <c r="B19" s="3" t="s">
        <v>6</v>
      </c>
      <c r="C19" s="4" t="s">
        <v>23</v>
      </c>
      <c r="D19" s="3" t="s">
        <v>5</v>
      </c>
      <c r="E19" s="3" t="s">
        <v>0</v>
      </c>
      <c r="F19" s="3" t="s">
        <v>1</v>
      </c>
      <c r="G19" s="3" t="s">
        <v>2</v>
      </c>
      <c r="H19" s="3" t="s">
        <v>3</v>
      </c>
      <c r="I19" s="3" t="s">
        <v>4</v>
      </c>
      <c r="J19" s="8" t="s">
        <v>7</v>
      </c>
      <c r="K19" s="8" t="s">
        <v>8</v>
      </c>
      <c r="L19" s="8" t="s">
        <v>12</v>
      </c>
      <c r="M19" s="12" t="s">
        <v>9</v>
      </c>
      <c r="N19" s="12" t="s">
        <v>14</v>
      </c>
      <c r="O19" s="14" t="s">
        <v>15</v>
      </c>
      <c r="Q19" s="12"/>
      <c r="R19" s="12"/>
      <c r="S19" s="12" t="s">
        <v>24</v>
      </c>
      <c r="T19" s="14" t="s">
        <v>15</v>
      </c>
    </row>
    <row r="20" spans="2:20" x14ac:dyDescent="0.35">
      <c r="B20" s="6">
        <v>16</v>
      </c>
      <c r="C20" s="2" t="s">
        <v>21</v>
      </c>
      <c r="D20" s="6" t="str">
        <f t="shared" ref="D20:D51" si="1">LEFT(RIGHT(DEC2BIN($B20,6),6),1)</f>
        <v>0</v>
      </c>
      <c r="E20" s="6" t="str">
        <f t="shared" ref="E20:E51" si="2">LEFT(RIGHT(DEC2BIN($B20,6),5),1)</f>
        <v>1</v>
      </c>
      <c r="F20" s="6" t="str">
        <f t="shared" ref="F20:F51" si="3">LEFT(RIGHT(DEC2BIN($B20,6),4),1)</f>
        <v>0</v>
      </c>
      <c r="G20" s="6" t="str">
        <f t="shared" ref="G20:G51" si="4">LEFT(RIGHT(DEC2BIN($B20,6),3),1)</f>
        <v>0</v>
      </c>
      <c r="H20" s="6" t="str">
        <f t="shared" ref="H20:H51" si="5">LEFT(RIGHT(DEC2BIN($B20,6),2),1)</f>
        <v>0</v>
      </c>
      <c r="I20" s="6" t="str">
        <f t="shared" ref="I20:I51" si="6">LEFT(RIGHT(DEC2BIN($B20,6),1),1)</f>
        <v>0</v>
      </c>
      <c r="J20" s="10">
        <f t="shared" ref="J20:J51" si="7">(($D20*$E$11)+($E20*$E$12)+($F20*$E$13)+($G20*$E$14)+($H20*$E$15)+($I20*$E$16))</f>
        <v>-1.0000000000000001E-5</v>
      </c>
      <c r="K20" s="10">
        <f t="shared" ref="K20:K51" si="8">(($D20*$F$11)+($E20*$F$12)+($F20*$F$13)+($G20*$F$14)+($H20*$F$15)+($I20*$F$16))</f>
        <v>-1.0000000000000001E-5</v>
      </c>
      <c r="L20" s="10">
        <f t="shared" ref="L20:L51" si="9">(($D20*$G$11)+($E20*$G$12)+($F20*$G$13)+($G20*$G$14)+($H20*$G$15)+($I20*$G$16))</f>
        <v>-1.9999999999999999E-6</v>
      </c>
      <c r="M20" s="11">
        <f t="shared" ref="M20:M51" si="10">ROUND(( J20+K20+L20)*1000000, 2)</f>
        <v>-22</v>
      </c>
      <c r="N20" s="11" cm="1">
        <f t="array" ref="N20:N79" xml:space="preserve"> _xlfn.UNIQUE(M20:M83)</f>
        <v>-22</v>
      </c>
      <c r="O20" s="13">
        <f>IF(ISBLANK(N20), "", COUNTIF($M$20:$M$83,N20))</f>
        <v>1</v>
      </c>
      <c r="Q20" s="11" cm="1">
        <f t="array" ref="Q20:Q83">_xlfn._xlws.SORT(Table3[I-diff])</f>
        <v>-206.29</v>
      </c>
      <c r="R20" s="11">
        <f>ROUND(Q21-Q20,2)</f>
        <v>6</v>
      </c>
      <c r="S20" s="11" cm="1">
        <f t="array" ref="S20:S36">_xlfn.UNIQUE(R20:R83)</f>
        <v>6</v>
      </c>
      <c r="T20" s="13">
        <f t="shared" ref="T20:T24" si="11">IF(OR(ISBLANK(S20), S20 = ""),"",COUNTIF($R$20:$R$83,S20))</f>
        <v>14</v>
      </c>
    </row>
    <row r="21" spans="2:20" x14ac:dyDescent="0.35">
      <c r="B21" s="6">
        <v>24</v>
      </c>
      <c r="C21" s="2" t="s">
        <v>21</v>
      </c>
      <c r="D21" s="6" t="str">
        <f t="shared" si="1"/>
        <v>0</v>
      </c>
      <c r="E21" s="6" t="str">
        <f t="shared" si="2"/>
        <v>1</v>
      </c>
      <c r="F21" s="6" t="str">
        <f t="shared" si="3"/>
        <v>1</v>
      </c>
      <c r="G21" s="6" t="str">
        <f t="shared" si="4"/>
        <v>0</v>
      </c>
      <c r="H21" s="6" t="str">
        <f t="shared" si="5"/>
        <v>0</v>
      </c>
      <c r="I21" s="6" t="str">
        <f t="shared" si="6"/>
        <v>0</v>
      </c>
      <c r="J21" s="10">
        <f t="shared" si="7"/>
        <v>-2.0000000000000002E-5</v>
      </c>
      <c r="K21" s="10">
        <f t="shared" si="8"/>
        <v>-1.2E-5</v>
      </c>
      <c r="L21" s="10">
        <f t="shared" si="9"/>
        <v>-3.9999999999999998E-6</v>
      </c>
      <c r="M21" s="11">
        <f t="shared" si="10"/>
        <v>-36</v>
      </c>
      <c r="N21" s="11">
        <v>-36</v>
      </c>
      <c r="O21" s="13">
        <f t="shared" ref="O21:O41" si="12">IF(ISBLANK(N21), "", COUNTIF($M$20:$M$83,N21))</f>
        <v>2</v>
      </c>
      <c r="Q21" s="11">
        <v>-200.29</v>
      </c>
      <c r="R21" s="11">
        <f>IF(ISBLANK(Q22),"",ROUND(Q22-Q21,2))</f>
        <v>8</v>
      </c>
      <c r="S21" s="11">
        <v>8</v>
      </c>
      <c r="T21" s="13">
        <f t="shared" si="11"/>
        <v>2</v>
      </c>
    </row>
    <row r="22" spans="2:20" x14ac:dyDescent="0.35">
      <c r="B22" s="6">
        <v>28</v>
      </c>
      <c r="C22" s="2" t="s">
        <v>21</v>
      </c>
      <c r="D22" s="6" t="str">
        <f t="shared" si="1"/>
        <v>0</v>
      </c>
      <c r="E22" s="6" t="str">
        <f t="shared" si="2"/>
        <v>1</v>
      </c>
      <c r="F22" s="6" t="str">
        <f t="shared" si="3"/>
        <v>1</v>
      </c>
      <c r="G22" s="6" t="str">
        <f t="shared" si="4"/>
        <v>1</v>
      </c>
      <c r="H22" s="6" t="str">
        <f t="shared" si="5"/>
        <v>0</v>
      </c>
      <c r="I22" s="6" t="str">
        <f t="shared" si="6"/>
        <v>0</v>
      </c>
      <c r="J22" s="10">
        <f t="shared" si="7"/>
        <v>-2.2000000000000003E-5</v>
      </c>
      <c r="K22" s="10">
        <f t="shared" si="8"/>
        <v>-1.4E-5</v>
      </c>
      <c r="L22" s="10">
        <f t="shared" si="9"/>
        <v>-6.0000000000000002E-6</v>
      </c>
      <c r="M22" s="11">
        <f t="shared" si="10"/>
        <v>-42</v>
      </c>
      <c r="N22" s="11">
        <v>-42</v>
      </c>
      <c r="O22" s="13">
        <f t="shared" si="12"/>
        <v>1</v>
      </c>
      <c r="Q22" s="11">
        <v>-192.29</v>
      </c>
      <c r="R22" s="11">
        <f t="shared" ref="R22:R82" si="13">IF(ISBLANK(Q23),"",ROUND(Q23-Q22,2))</f>
        <v>6</v>
      </c>
      <c r="S22" s="11">
        <v>2</v>
      </c>
      <c r="T22" s="13">
        <f t="shared" si="11"/>
        <v>12</v>
      </c>
    </row>
    <row r="23" spans="2:20" x14ac:dyDescent="0.35">
      <c r="B23" s="6">
        <v>0</v>
      </c>
      <c r="C23" s="2" t="s">
        <v>16</v>
      </c>
      <c r="D23" s="6" t="str">
        <f t="shared" si="1"/>
        <v>0</v>
      </c>
      <c r="E23" s="6" t="str">
        <f t="shared" si="2"/>
        <v>0</v>
      </c>
      <c r="F23" s="6" t="str">
        <f t="shared" si="3"/>
        <v>0</v>
      </c>
      <c r="G23" s="6" t="str">
        <f t="shared" si="4"/>
        <v>0</v>
      </c>
      <c r="H23" s="6" t="str">
        <f t="shared" si="5"/>
        <v>0</v>
      </c>
      <c r="I23" s="6" t="str">
        <f t="shared" si="6"/>
        <v>0</v>
      </c>
      <c r="J23" s="10">
        <f t="shared" si="7"/>
        <v>0</v>
      </c>
      <c r="K23" s="10">
        <f t="shared" si="8"/>
        <v>0</v>
      </c>
      <c r="L23" s="10">
        <f t="shared" si="9"/>
        <v>0</v>
      </c>
      <c r="M23" s="11">
        <f t="shared" si="10"/>
        <v>0</v>
      </c>
      <c r="N23" s="11">
        <v>0</v>
      </c>
      <c r="O23" s="13">
        <f t="shared" si="12"/>
        <v>1</v>
      </c>
      <c r="Q23" s="11">
        <v>-186.29</v>
      </c>
      <c r="R23" s="11">
        <f t="shared" si="13"/>
        <v>2</v>
      </c>
      <c r="S23" s="11">
        <v>0</v>
      </c>
      <c r="T23" s="13">
        <f t="shared" si="11"/>
        <v>4</v>
      </c>
    </row>
    <row r="24" spans="2:20" hidden="1" x14ac:dyDescent="0.35">
      <c r="B24" s="6">
        <v>4</v>
      </c>
      <c r="C24" s="2" t="s">
        <v>18</v>
      </c>
      <c r="D24" s="6" t="str">
        <f t="shared" si="1"/>
        <v>0</v>
      </c>
      <c r="E24" s="6" t="str">
        <f t="shared" si="2"/>
        <v>0</v>
      </c>
      <c r="F24" s="6" t="str">
        <f t="shared" si="3"/>
        <v>0</v>
      </c>
      <c r="G24" s="6" t="str">
        <f t="shared" si="4"/>
        <v>1</v>
      </c>
      <c r="H24" s="6" t="str">
        <f t="shared" si="5"/>
        <v>0</v>
      </c>
      <c r="I24" s="6" t="str">
        <f t="shared" si="6"/>
        <v>0</v>
      </c>
      <c r="J24" s="10">
        <f t="shared" si="7"/>
        <v>-1.9999999999999999E-6</v>
      </c>
      <c r="K24" s="10">
        <f t="shared" si="8"/>
        <v>-1.9999999999999999E-6</v>
      </c>
      <c r="L24" s="10">
        <f t="shared" si="9"/>
        <v>-1.9999999999999999E-6</v>
      </c>
      <c r="M24" s="11">
        <f t="shared" si="10"/>
        <v>-6</v>
      </c>
      <c r="N24" s="11">
        <v>-6</v>
      </c>
      <c r="O24" s="13">
        <f t="shared" si="12"/>
        <v>1</v>
      </c>
      <c r="Q24" s="11">
        <v>-184.29</v>
      </c>
      <c r="R24" s="11">
        <f t="shared" si="13"/>
        <v>6</v>
      </c>
      <c r="S24" s="11">
        <v>4.58</v>
      </c>
      <c r="T24" s="13">
        <f t="shared" si="11"/>
        <v>3</v>
      </c>
    </row>
    <row r="25" spans="2:20" hidden="1" x14ac:dyDescent="0.35">
      <c r="B25" s="6">
        <v>5</v>
      </c>
      <c r="C25" s="2" t="s">
        <v>20</v>
      </c>
      <c r="D25" s="6" t="str">
        <f t="shared" si="1"/>
        <v>0</v>
      </c>
      <c r="E25" s="6" t="str">
        <f t="shared" si="2"/>
        <v>0</v>
      </c>
      <c r="F25" s="6" t="str">
        <f t="shared" si="3"/>
        <v>0</v>
      </c>
      <c r="G25" s="6" t="str">
        <f t="shared" si="4"/>
        <v>1</v>
      </c>
      <c r="H25" s="6" t="str">
        <f t="shared" si="5"/>
        <v>0</v>
      </c>
      <c r="I25" s="6" t="str">
        <f t="shared" si="6"/>
        <v>1</v>
      </c>
      <c r="J25" s="10">
        <f t="shared" si="7"/>
        <v>-3.0571428571428572E-5</v>
      </c>
      <c r="K25" s="10">
        <f t="shared" si="8"/>
        <v>-3.0571428571428572E-5</v>
      </c>
      <c r="L25" s="10">
        <f t="shared" si="9"/>
        <v>-3.0571428571428572E-5</v>
      </c>
      <c r="M25" s="11">
        <f t="shared" si="10"/>
        <v>-91.71</v>
      </c>
      <c r="N25" s="11">
        <v>-91.71</v>
      </c>
      <c r="O25" s="13">
        <f t="shared" si="12"/>
        <v>1</v>
      </c>
      <c r="Q25" s="11">
        <v>-178.29</v>
      </c>
      <c r="R25" s="11">
        <f t="shared" si="13"/>
        <v>2</v>
      </c>
      <c r="S25" s="11">
        <v>1.42</v>
      </c>
      <c r="T25" s="13">
        <f>IF(OR(ISBLANK(S25), S25 = ""),"",COUNTIF($R$20:$R$83,S25))</f>
        <v>2</v>
      </c>
    </row>
    <row r="26" spans="2:20" x14ac:dyDescent="0.35">
      <c r="B26" s="6">
        <v>1</v>
      </c>
      <c r="C26" s="2" t="s">
        <v>16</v>
      </c>
      <c r="D26" s="6" t="str">
        <f t="shared" si="1"/>
        <v>0</v>
      </c>
      <c r="E26" s="6" t="str">
        <f t="shared" si="2"/>
        <v>0</v>
      </c>
      <c r="F26" s="6" t="str">
        <f t="shared" si="3"/>
        <v>0</v>
      </c>
      <c r="G26" s="6" t="str">
        <f t="shared" si="4"/>
        <v>0</v>
      </c>
      <c r="H26" s="6" t="str">
        <f t="shared" si="5"/>
        <v>0</v>
      </c>
      <c r="I26" s="6" t="str">
        <f t="shared" si="6"/>
        <v>1</v>
      </c>
      <c r="J26" s="10">
        <f t="shared" si="7"/>
        <v>-2.8571428571428574E-5</v>
      </c>
      <c r="K26" s="10">
        <f t="shared" si="8"/>
        <v>-2.8571428571428574E-5</v>
      </c>
      <c r="L26" s="10">
        <f t="shared" si="9"/>
        <v>-2.8571428571428574E-5</v>
      </c>
      <c r="M26" s="11">
        <f t="shared" si="10"/>
        <v>-85.71</v>
      </c>
      <c r="N26" s="11">
        <v>-85.71</v>
      </c>
      <c r="O26" s="13">
        <f t="shared" si="12"/>
        <v>1</v>
      </c>
      <c r="Q26" s="11">
        <v>-176.29</v>
      </c>
      <c r="R26" s="11">
        <f t="shared" si="13"/>
        <v>6</v>
      </c>
      <c r="S26" s="11">
        <v>2.58</v>
      </c>
      <c r="T26" s="13">
        <f t="shared" ref="T26:T83" si="14">IF(OR(ISBLANK(S26), S26 = ""),"",COUNTIF($R$20:$R$83,S26))</f>
        <v>2</v>
      </c>
    </row>
    <row r="27" spans="2:20" x14ac:dyDescent="0.35">
      <c r="B27" s="6">
        <v>3</v>
      </c>
      <c r="C27" s="2" t="s">
        <v>16</v>
      </c>
      <c r="D27" s="6" t="str">
        <f t="shared" si="1"/>
        <v>0</v>
      </c>
      <c r="E27" s="6" t="str">
        <f t="shared" si="2"/>
        <v>0</v>
      </c>
      <c r="F27" s="6" t="str">
        <f t="shared" si="3"/>
        <v>0</v>
      </c>
      <c r="G27" s="6" t="str">
        <f t="shared" si="4"/>
        <v>0</v>
      </c>
      <c r="H27" s="6" t="str">
        <f t="shared" si="5"/>
        <v>1</v>
      </c>
      <c r="I27" s="6" t="str">
        <f t="shared" si="6"/>
        <v>1</v>
      </c>
      <c r="J27" s="10">
        <f t="shared" si="7"/>
        <v>-5.7142857142857148E-5</v>
      </c>
      <c r="K27" s="10">
        <f t="shared" si="8"/>
        <v>-3.8571428571428577E-5</v>
      </c>
      <c r="L27" s="10">
        <f t="shared" si="9"/>
        <v>-3.8571428571428577E-5</v>
      </c>
      <c r="M27" s="11">
        <f t="shared" si="10"/>
        <v>-134.29</v>
      </c>
      <c r="N27" s="11">
        <v>-134.29</v>
      </c>
      <c r="O27" s="13">
        <f t="shared" si="12"/>
        <v>1</v>
      </c>
      <c r="Q27" s="11">
        <v>-170.29</v>
      </c>
      <c r="R27" s="11">
        <f t="shared" si="13"/>
        <v>0</v>
      </c>
      <c r="S27" s="11">
        <v>3.42</v>
      </c>
      <c r="T27" s="13">
        <f t="shared" si="14"/>
        <v>2</v>
      </c>
    </row>
    <row r="28" spans="2:20" x14ac:dyDescent="0.35">
      <c r="B28" s="6">
        <v>7</v>
      </c>
      <c r="C28" s="2" t="s">
        <v>16</v>
      </c>
      <c r="D28" s="6" t="str">
        <f t="shared" si="1"/>
        <v>0</v>
      </c>
      <c r="E28" s="6" t="str">
        <f t="shared" si="2"/>
        <v>0</v>
      </c>
      <c r="F28" s="6" t="str">
        <f t="shared" si="3"/>
        <v>0</v>
      </c>
      <c r="G28" s="6" t="str">
        <f t="shared" si="4"/>
        <v>1</v>
      </c>
      <c r="H28" s="6" t="str">
        <f t="shared" si="5"/>
        <v>1</v>
      </c>
      <c r="I28" s="6" t="str">
        <f t="shared" si="6"/>
        <v>1</v>
      </c>
      <c r="J28" s="10">
        <f t="shared" si="7"/>
        <v>-5.914285714285715E-5</v>
      </c>
      <c r="K28" s="10">
        <f t="shared" si="8"/>
        <v>-4.0571428571428578E-5</v>
      </c>
      <c r="L28" s="10">
        <f t="shared" si="9"/>
        <v>-4.0571428571428578E-5</v>
      </c>
      <c r="M28" s="11">
        <f t="shared" si="10"/>
        <v>-140.29</v>
      </c>
      <c r="N28" s="11">
        <v>-140.29</v>
      </c>
      <c r="O28" s="13">
        <f t="shared" si="12"/>
        <v>1</v>
      </c>
      <c r="Q28" s="11">
        <v>-170.29</v>
      </c>
      <c r="R28" s="11">
        <f t="shared" si="13"/>
        <v>6</v>
      </c>
      <c r="S28" s="11">
        <v>1.1399999999999999</v>
      </c>
      <c r="T28" s="13">
        <f t="shared" si="14"/>
        <v>6</v>
      </c>
    </row>
    <row r="29" spans="2:20" ht="15" hidden="1" customHeight="1" x14ac:dyDescent="0.35">
      <c r="B29" s="6">
        <v>9</v>
      </c>
      <c r="C29" s="2" t="s">
        <v>20</v>
      </c>
      <c r="D29" s="6" t="str">
        <f t="shared" si="1"/>
        <v>0</v>
      </c>
      <c r="E29" s="6" t="str">
        <f t="shared" si="2"/>
        <v>0</v>
      </c>
      <c r="F29" s="6" t="str">
        <f t="shared" si="3"/>
        <v>1</v>
      </c>
      <c r="G29" s="6" t="str">
        <f t="shared" si="4"/>
        <v>0</v>
      </c>
      <c r="H29" s="6" t="str">
        <f t="shared" si="5"/>
        <v>0</v>
      </c>
      <c r="I29" s="6" t="str">
        <f t="shared" si="6"/>
        <v>1</v>
      </c>
      <c r="J29" s="10">
        <f t="shared" si="7"/>
        <v>-3.8571428571428577E-5</v>
      </c>
      <c r="K29" s="10">
        <f t="shared" si="8"/>
        <v>-3.0571428571428572E-5</v>
      </c>
      <c r="L29" s="10">
        <f t="shared" si="9"/>
        <v>-3.0571428571428572E-5</v>
      </c>
      <c r="M29" s="11">
        <f t="shared" si="10"/>
        <v>-99.71</v>
      </c>
      <c r="N29" s="11">
        <v>-99.71</v>
      </c>
      <c r="O29" s="13">
        <f t="shared" si="12"/>
        <v>1</v>
      </c>
      <c r="Q29" s="11">
        <v>-164.29</v>
      </c>
      <c r="R29" s="11">
        <f t="shared" si="13"/>
        <v>2</v>
      </c>
      <c r="S29" s="11">
        <v>4.8600000000000003</v>
      </c>
      <c r="T29" s="13">
        <f t="shared" si="14"/>
        <v>2</v>
      </c>
    </row>
    <row r="30" spans="2:20" ht="15" hidden="1" customHeight="1" x14ac:dyDescent="0.35">
      <c r="B30" s="6">
        <v>10</v>
      </c>
      <c r="C30" s="2" t="s">
        <v>20</v>
      </c>
      <c r="D30" s="6" t="str">
        <f t="shared" si="1"/>
        <v>0</v>
      </c>
      <c r="E30" s="6" t="str">
        <f t="shared" si="2"/>
        <v>0</v>
      </c>
      <c r="F30" s="6" t="str">
        <f t="shared" si="3"/>
        <v>1</v>
      </c>
      <c r="G30" s="6" t="str">
        <f t="shared" si="4"/>
        <v>0</v>
      </c>
      <c r="H30" s="6" t="str">
        <f t="shared" si="5"/>
        <v>1</v>
      </c>
      <c r="I30" s="6" t="str">
        <f t="shared" si="6"/>
        <v>0</v>
      </c>
      <c r="J30" s="10">
        <f t="shared" si="7"/>
        <v>-3.8571428571428577E-5</v>
      </c>
      <c r="K30" s="10">
        <f t="shared" si="8"/>
        <v>-1.2E-5</v>
      </c>
      <c r="L30" s="10">
        <f t="shared" si="9"/>
        <v>-1.2E-5</v>
      </c>
      <c r="M30" s="11">
        <f t="shared" si="10"/>
        <v>-62.57</v>
      </c>
      <c r="N30" s="11">
        <v>-62.57</v>
      </c>
      <c r="O30" s="13">
        <f t="shared" si="12"/>
        <v>1</v>
      </c>
      <c r="Q30" s="11">
        <v>-162.29</v>
      </c>
      <c r="R30" s="11">
        <f t="shared" si="13"/>
        <v>4.58</v>
      </c>
      <c r="S30" s="11">
        <v>0.86</v>
      </c>
      <c r="T30" s="13">
        <f t="shared" si="14"/>
        <v>4</v>
      </c>
    </row>
    <row r="31" spans="2:20" ht="15" hidden="1" customHeight="1" x14ac:dyDescent="0.35">
      <c r="B31" s="6">
        <v>11</v>
      </c>
      <c r="C31" s="2" t="s">
        <v>20</v>
      </c>
      <c r="D31" s="6" t="str">
        <f t="shared" si="1"/>
        <v>0</v>
      </c>
      <c r="E31" s="6" t="str">
        <f t="shared" si="2"/>
        <v>0</v>
      </c>
      <c r="F31" s="6" t="str">
        <f t="shared" si="3"/>
        <v>1</v>
      </c>
      <c r="G31" s="6" t="str">
        <f t="shared" si="4"/>
        <v>0</v>
      </c>
      <c r="H31" s="6" t="str">
        <f t="shared" si="5"/>
        <v>1</v>
      </c>
      <c r="I31" s="6" t="str">
        <f t="shared" si="6"/>
        <v>1</v>
      </c>
      <c r="J31" s="10">
        <f t="shared" si="7"/>
        <v>-6.7142857142857154E-5</v>
      </c>
      <c r="K31" s="10">
        <f t="shared" si="8"/>
        <v>-4.0571428571428578E-5</v>
      </c>
      <c r="L31" s="10">
        <f t="shared" si="9"/>
        <v>-4.0571428571428578E-5</v>
      </c>
      <c r="M31" s="11">
        <f t="shared" si="10"/>
        <v>-148.29</v>
      </c>
      <c r="N31" s="11">
        <v>-148.29</v>
      </c>
      <c r="O31" s="13">
        <f t="shared" si="12"/>
        <v>1</v>
      </c>
      <c r="Q31" s="11">
        <v>-157.71</v>
      </c>
      <c r="R31" s="11">
        <f t="shared" si="13"/>
        <v>1.42</v>
      </c>
      <c r="S31" s="11">
        <v>5.14</v>
      </c>
      <c r="T31" s="13">
        <f t="shared" si="14"/>
        <v>1</v>
      </c>
    </row>
    <row r="32" spans="2:20" x14ac:dyDescent="0.35">
      <c r="B32" s="6">
        <v>15</v>
      </c>
      <c r="C32" s="2" t="s">
        <v>16</v>
      </c>
      <c r="D32" s="6" t="str">
        <f t="shared" si="1"/>
        <v>0</v>
      </c>
      <c r="E32" s="6" t="str">
        <f t="shared" si="2"/>
        <v>0</v>
      </c>
      <c r="F32" s="6" t="str">
        <f t="shared" si="3"/>
        <v>1</v>
      </c>
      <c r="G32" s="6" t="str">
        <f t="shared" si="4"/>
        <v>1</v>
      </c>
      <c r="H32" s="6" t="str">
        <f t="shared" si="5"/>
        <v>1</v>
      </c>
      <c r="I32" s="6" t="str">
        <f t="shared" si="6"/>
        <v>1</v>
      </c>
      <c r="J32" s="10">
        <f t="shared" si="7"/>
        <v>-6.9142857142857149E-5</v>
      </c>
      <c r="K32" s="10">
        <f t="shared" si="8"/>
        <v>-4.2571428571428572E-5</v>
      </c>
      <c r="L32" s="10">
        <f t="shared" si="9"/>
        <v>-4.2571428571428572E-5</v>
      </c>
      <c r="M32" s="11">
        <f t="shared" si="10"/>
        <v>-154.29</v>
      </c>
      <c r="N32" s="11">
        <v>-154.29</v>
      </c>
      <c r="O32" s="13">
        <f t="shared" si="12"/>
        <v>1</v>
      </c>
      <c r="Q32" s="11">
        <v>-156.29</v>
      </c>
      <c r="R32" s="11">
        <f t="shared" si="13"/>
        <v>2</v>
      </c>
      <c r="S32" s="11">
        <v>4.57</v>
      </c>
      <c r="T32" s="13">
        <f t="shared" si="14"/>
        <v>3</v>
      </c>
    </row>
    <row r="33" spans="2:20" ht="15" hidden="1" customHeight="1" x14ac:dyDescent="0.35">
      <c r="B33" s="6">
        <v>13</v>
      </c>
      <c r="C33" s="2" t="s">
        <v>20</v>
      </c>
      <c r="D33" s="6" t="str">
        <f t="shared" si="1"/>
        <v>0</v>
      </c>
      <c r="E33" s="6" t="str">
        <f t="shared" si="2"/>
        <v>0</v>
      </c>
      <c r="F33" s="6" t="str">
        <f t="shared" si="3"/>
        <v>1</v>
      </c>
      <c r="G33" s="6" t="str">
        <f t="shared" si="4"/>
        <v>1</v>
      </c>
      <c r="H33" s="6" t="str">
        <f t="shared" si="5"/>
        <v>0</v>
      </c>
      <c r="I33" s="6" t="str">
        <f t="shared" si="6"/>
        <v>1</v>
      </c>
      <c r="J33" s="10">
        <f t="shared" si="7"/>
        <v>-4.0571428571428578E-5</v>
      </c>
      <c r="K33" s="10">
        <f t="shared" si="8"/>
        <v>-3.2571428571428573E-5</v>
      </c>
      <c r="L33" s="10">
        <f t="shared" si="9"/>
        <v>-3.2571428571428573E-5</v>
      </c>
      <c r="M33" s="11">
        <f t="shared" si="10"/>
        <v>-105.71</v>
      </c>
      <c r="N33" s="11">
        <v>-105.71</v>
      </c>
      <c r="O33" s="13">
        <f t="shared" si="12"/>
        <v>1</v>
      </c>
      <c r="Q33" s="11">
        <v>-154.29</v>
      </c>
      <c r="R33" s="11">
        <f t="shared" si="13"/>
        <v>2.58</v>
      </c>
      <c r="S33" s="11">
        <v>1.43</v>
      </c>
      <c r="T33" s="13">
        <f t="shared" si="14"/>
        <v>2</v>
      </c>
    </row>
    <row r="34" spans="2:20" x14ac:dyDescent="0.35">
      <c r="B34" s="6">
        <v>31</v>
      </c>
      <c r="C34" s="2" t="s">
        <v>16</v>
      </c>
      <c r="D34" s="6" t="str">
        <f t="shared" si="1"/>
        <v>0</v>
      </c>
      <c r="E34" s="6" t="str">
        <f t="shared" si="2"/>
        <v>1</v>
      </c>
      <c r="F34" s="6" t="str">
        <f t="shared" si="3"/>
        <v>1</v>
      </c>
      <c r="G34" s="6" t="str">
        <f t="shared" si="4"/>
        <v>1</v>
      </c>
      <c r="H34" s="6" t="str">
        <f t="shared" si="5"/>
        <v>1</v>
      </c>
      <c r="I34" s="6" t="str">
        <f t="shared" si="6"/>
        <v>1</v>
      </c>
      <c r="J34" s="10">
        <f t="shared" si="7"/>
        <v>-7.9142857142857148E-5</v>
      </c>
      <c r="K34" s="10">
        <f t="shared" si="8"/>
        <v>-5.2571428571428571E-5</v>
      </c>
      <c r="L34" s="10">
        <f t="shared" si="9"/>
        <v>-4.457142857142858E-5</v>
      </c>
      <c r="M34" s="11">
        <f t="shared" si="10"/>
        <v>-176.29</v>
      </c>
      <c r="N34" s="11">
        <v>-176.29</v>
      </c>
      <c r="O34" s="13">
        <f t="shared" si="12"/>
        <v>1</v>
      </c>
      <c r="Q34" s="11">
        <v>-151.71</v>
      </c>
      <c r="R34" s="11">
        <f t="shared" si="13"/>
        <v>3.42</v>
      </c>
      <c r="S34" s="11">
        <v>2.57</v>
      </c>
      <c r="T34" s="13">
        <f t="shared" si="14"/>
        <v>2</v>
      </c>
    </row>
    <row r="35" spans="2:20" x14ac:dyDescent="0.35">
      <c r="B35" s="6">
        <v>8</v>
      </c>
      <c r="C35" s="2" t="s">
        <v>19</v>
      </c>
      <c r="D35" s="6" t="str">
        <f t="shared" si="1"/>
        <v>0</v>
      </c>
      <c r="E35" s="6" t="str">
        <f t="shared" si="2"/>
        <v>0</v>
      </c>
      <c r="F35" s="6" t="str">
        <f t="shared" si="3"/>
        <v>1</v>
      </c>
      <c r="G35" s="6" t="str">
        <f t="shared" si="4"/>
        <v>0</v>
      </c>
      <c r="H35" s="6" t="str">
        <f t="shared" si="5"/>
        <v>0</v>
      </c>
      <c r="I35" s="6" t="str">
        <f t="shared" si="6"/>
        <v>0</v>
      </c>
      <c r="J35" s="10">
        <f t="shared" si="7"/>
        <v>-1.0000000000000001E-5</v>
      </c>
      <c r="K35" s="10">
        <f t="shared" si="8"/>
        <v>-1.9999999999999999E-6</v>
      </c>
      <c r="L35" s="10">
        <f t="shared" si="9"/>
        <v>-1.9999999999999999E-6</v>
      </c>
      <c r="M35" s="11">
        <f t="shared" si="10"/>
        <v>-14</v>
      </c>
      <c r="N35" s="11">
        <v>-14</v>
      </c>
      <c r="O35" s="13">
        <f t="shared" si="12"/>
        <v>1</v>
      </c>
      <c r="Q35" s="11">
        <v>-148.29</v>
      </c>
      <c r="R35" s="11">
        <f t="shared" si="13"/>
        <v>4.58</v>
      </c>
      <c r="S35" s="11">
        <v>3.43</v>
      </c>
      <c r="T35" s="13">
        <f t="shared" si="14"/>
        <v>2</v>
      </c>
    </row>
    <row r="36" spans="2:20" x14ac:dyDescent="0.35">
      <c r="B36" s="6">
        <v>12</v>
      </c>
      <c r="C36" s="2" t="s">
        <v>19</v>
      </c>
      <c r="D36" s="6" t="str">
        <f t="shared" si="1"/>
        <v>0</v>
      </c>
      <c r="E36" s="6" t="str">
        <f t="shared" si="2"/>
        <v>0</v>
      </c>
      <c r="F36" s="6" t="str">
        <f t="shared" si="3"/>
        <v>1</v>
      </c>
      <c r="G36" s="6" t="str">
        <f t="shared" si="4"/>
        <v>1</v>
      </c>
      <c r="H36" s="6" t="str">
        <f t="shared" si="5"/>
        <v>0</v>
      </c>
      <c r="I36" s="6" t="str">
        <f t="shared" si="6"/>
        <v>0</v>
      </c>
      <c r="J36" s="10">
        <f t="shared" si="7"/>
        <v>-1.2E-5</v>
      </c>
      <c r="K36" s="10">
        <f t="shared" si="8"/>
        <v>-3.9999999999999998E-6</v>
      </c>
      <c r="L36" s="10">
        <f t="shared" si="9"/>
        <v>-3.9999999999999998E-6</v>
      </c>
      <c r="M36" s="11">
        <f t="shared" si="10"/>
        <v>-20</v>
      </c>
      <c r="N36" s="11">
        <v>-20</v>
      </c>
      <c r="O36" s="13">
        <f t="shared" si="12"/>
        <v>1</v>
      </c>
      <c r="Q36" s="11">
        <v>-143.71</v>
      </c>
      <c r="R36" s="11">
        <f t="shared" si="13"/>
        <v>3.42</v>
      </c>
      <c r="S36" s="11" t="str">
        <v/>
      </c>
      <c r="T36" s="13" t="str">
        <f t="shared" si="14"/>
        <v/>
      </c>
    </row>
    <row r="37" spans="2:20" ht="15" hidden="1" customHeight="1" x14ac:dyDescent="0.35">
      <c r="B37" s="6">
        <v>17</v>
      </c>
      <c r="C37" s="2" t="s">
        <v>20</v>
      </c>
      <c r="D37" s="6" t="str">
        <f t="shared" si="1"/>
        <v>0</v>
      </c>
      <c r="E37" s="6" t="str">
        <f t="shared" si="2"/>
        <v>1</v>
      </c>
      <c r="F37" s="6" t="str">
        <f t="shared" si="3"/>
        <v>0</v>
      </c>
      <c r="G37" s="6" t="str">
        <f t="shared" si="4"/>
        <v>0</v>
      </c>
      <c r="H37" s="6" t="str">
        <f t="shared" si="5"/>
        <v>0</v>
      </c>
      <c r="I37" s="6" t="str">
        <f t="shared" si="6"/>
        <v>1</v>
      </c>
      <c r="J37" s="10">
        <f t="shared" si="7"/>
        <v>-3.8571428571428577E-5</v>
      </c>
      <c r="K37" s="10">
        <f t="shared" si="8"/>
        <v>-3.8571428571428577E-5</v>
      </c>
      <c r="L37" s="10">
        <f t="shared" si="9"/>
        <v>-3.0571428571428572E-5</v>
      </c>
      <c r="M37" s="11">
        <f t="shared" si="10"/>
        <v>-107.71</v>
      </c>
      <c r="N37" s="11">
        <v>-107.71</v>
      </c>
      <c r="O37" s="13">
        <f t="shared" si="12"/>
        <v>1</v>
      </c>
      <c r="Q37" s="11">
        <v>-140.29</v>
      </c>
      <c r="R37" s="11">
        <f t="shared" si="13"/>
        <v>2.58</v>
      </c>
      <c r="T37" s="13" t="str">
        <f t="shared" si="14"/>
        <v/>
      </c>
    </row>
    <row r="38" spans="2:20" ht="15" hidden="1" customHeight="1" x14ac:dyDescent="0.35">
      <c r="B38" s="6">
        <v>18</v>
      </c>
      <c r="C38" s="2" t="s">
        <v>20</v>
      </c>
      <c r="D38" s="6" t="str">
        <f t="shared" si="1"/>
        <v>0</v>
      </c>
      <c r="E38" s="6" t="str">
        <f t="shared" si="2"/>
        <v>1</v>
      </c>
      <c r="F38" s="6" t="str">
        <f t="shared" si="3"/>
        <v>0</v>
      </c>
      <c r="G38" s="6" t="str">
        <f t="shared" si="4"/>
        <v>0</v>
      </c>
      <c r="H38" s="6" t="str">
        <f t="shared" si="5"/>
        <v>1</v>
      </c>
      <c r="I38" s="6" t="str">
        <f t="shared" si="6"/>
        <v>0</v>
      </c>
      <c r="J38" s="10">
        <f t="shared" si="7"/>
        <v>-3.8571428571428577E-5</v>
      </c>
      <c r="K38" s="10">
        <f t="shared" si="8"/>
        <v>-2.0000000000000002E-5</v>
      </c>
      <c r="L38" s="10">
        <f t="shared" si="9"/>
        <v>-1.2E-5</v>
      </c>
      <c r="M38" s="11">
        <f t="shared" si="10"/>
        <v>-70.569999999999993</v>
      </c>
      <c r="N38" s="11">
        <v>-70.569999999999993</v>
      </c>
      <c r="O38" s="13">
        <f t="shared" si="12"/>
        <v>1</v>
      </c>
      <c r="Q38" s="11">
        <v>-137.71</v>
      </c>
      <c r="R38" s="11">
        <f t="shared" si="13"/>
        <v>2</v>
      </c>
      <c r="T38" s="13" t="str">
        <f t="shared" si="14"/>
        <v/>
      </c>
    </row>
    <row r="39" spans="2:20" ht="15" hidden="1" customHeight="1" x14ac:dyDescent="0.35">
      <c r="B39" s="6">
        <v>19</v>
      </c>
      <c r="C39" s="2" t="s">
        <v>20</v>
      </c>
      <c r="D39" s="6" t="str">
        <f t="shared" si="1"/>
        <v>0</v>
      </c>
      <c r="E39" s="6" t="str">
        <f t="shared" si="2"/>
        <v>1</v>
      </c>
      <c r="F39" s="6" t="str">
        <f t="shared" si="3"/>
        <v>0</v>
      </c>
      <c r="G39" s="6" t="str">
        <f t="shared" si="4"/>
        <v>0</v>
      </c>
      <c r="H39" s="6" t="str">
        <f t="shared" si="5"/>
        <v>1</v>
      </c>
      <c r="I39" s="6" t="str">
        <f t="shared" si="6"/>
        <v>1</v>
      </c>
      <c r="J39" s="10">
        <f t="shared" si="7"/>
        <v>-6.7142857142857154E-5</v>
      </c>
      <c r="K39" s="10">
        <f t="shared" si="8"/>
        <v>-4.8571428571428576E-5</v>
      </c>
      <c r="L39" s="10">
        <f t="shared" si="9"/>
        <v>-4.0571428571428578E-5</v>
      </c>
      <c r="M39" s="11">
        <f t="shared" si="10"/>
        <v>-156.29</v>
      </c>
      <c r="N39" s="11">
        <v>-156.29</v>
      </c>
      <c r="O39" s="13">
        <f t="shared" si="12"/>
        <v>1</v>
      </c>
      <c r="Q39" s="11">
        <v>-135.71</v>
      </c>
      <c r="R39" s="11">
        <f t="shared" si="13"/>
        <v>1.42</v>
      </c>
      <c r="T39" s="13" t="str">
        <f t="shared" si="14"/>
        <v/>
      </c>
    </row>
    <row r="40" spans="2:20" ht="15" hidden="1" customHeight="1" x14ac:dyDescent="0.35">
      <c r="B40" s="6">
        <v>20</v>
      </c>
      <c r="C40" s="2" t="s">
        <v>20</v>
      </c>
      <c r="D40" s="6" t="str">
        <f t="shared" si="1"/>
        <v>0</v>
      </c>
      <c r="E40" s="6" t="str">
        <f t="shared" si="2"/>
        <v>1</v>
      </c>
      <c r="F40" s="6" t="str">
        <f t="shared" si="3"/>
        <v>0</v>
      </c>
      <c r="G40" s="6" t="str">
        <f t="shared" si="4"/>
        <v>1</v>
      </c>
      <c r="H40" s="6" t="str">
        <f t="shared" si="5"/>
        <v>0</v>
      </c>
      <c r="I40" s="6" t="str">
        <f t="shared" si="6"/>
        <v>0</v>
      </c>
      <c r="J40" s="10">
        <f t="shared" si="7"/>
        <v>-1.2E-5</v>
      </c>
      <c r="K40" s="10">
        <f t="shared" si="8"/>
        <v>-1.2E-5</v>
      </c>
      <c r="L40" s="10">
        <f t="shared" si="9"/>
        <v>-3.9999999999999998E-6</v>
      </c>
      <c r="M40" s="11">
        <f t="shared" si="10"/>
        <v>-28</v>
      </c>
      <c r="N40" s="11">
        <v>-28</v>
      </c>
      <c r="O40" s="13">
        <f t="shared" si="12"/>
        <v>1</v>
      </c>
      <c r="Q40" s="11">
        <v>-134.29</v>
      </c>
      <c r="R40" s="11">
        <f t="shared" si="13"/>
        <v>4.58</v>
      </c>
      <c r="T40" s="13" t="str">
        <f t="shared" si="14"/>
        <v/>
      </c>
    </row>
    <row r="41" spans="2:20" ht="15" hidden="1" customHeight="1" x14ac:dyDescent="0.35">
      <c r="B41" s="6">
        <v>21</v>
      </c>
      <c r="C41" s="2" t="s">
        <v>20</v>
      </c>
      <c r="D41" s="6" t="str">
        <f t="shared" si="1"/>
        <v>0</v>
      </c>
      <c r="E41" s="6" t="str">
        <f t="shared" si="2"/>
        <v>1</v>
      </c>
      <c r="F41" s="6" t="str">
        <f t="shared" si="3"/>
        <v>0</v>
      </c>
      <c r="G41" s="6" t="str">
        <f t="shared" si="4"/>
        <v>1</v>
      </c>
      <c r="H41" s="6" t="str">
        <f t="shared" si="5"/>
        <v>0</v>
      </c>
      <c r="I41" s="6" t="str">
        <f t="shared" si="6"/>
        <v>1</v>
      </c>
      <c r="J41" s="10">
        <f t="shared" si="7"/>
        <v>-4.0571428571428578E-5</v>
      </c>
      <c r="K41" s="10">
        <f t="shared" si="8"/>
        <v>-4.0571428571428578E-5</v>
      </c>
      <c r="L41" s="10">
        <f t="shared" si="9"/>
        <v>-3.2571428571428573E-5</v>
      </c>
      <c r="M41" s="11">
        <f t="shared" si="10"/>
        <v>-113.71</v>
      </c>
      <c r="N41" s="11">
        <v>-113.71</v>
      </c>
      <c r="O41" s="13">
        <f t="shared" si="12"/>
        <v>1</v>
      </c>
      <c r="Q41" s="11">
        <v>-129.71</v>
      </c>
      <c r="R41" s="11">
        <f t="shared" si="13"/>
        <v>2</v>
      </c>
      <c r="T41" s="13" t="str">
        <f t="shared" si="14"/>
        <v/>
      </c>
    </row>
    <row r="42" spans="2:20" ht="15" hidden="1" customHeight="1" x14ac:dyDescent="0.35">
      <c r="B42" s="6">
        <v>22</v>
      </c>
      <c r="C42" s="2" t="s">
        <v>20</v>
      </c>
      <c r="D42" s="6" t="str">
        <f t="shared" si="1"/>
        <v>0</v>
      </c>
      <c r="E42" s="6" t="str">
        <f t="shared" si="2"/>
        <v>1</v>
      </c>
      <c r="F42" s="6" t="str">
        <f t="shared" si="3"/>
        <v>0</v>
      </c>
      <c r="G42" s="6" t="str">
        <f t="shared" si="4"/>
        <v>1</v>
      </c>
      <c r="H42" s="6" t="str">
        <f t="shared" si="5"/>
        <v>1</v>
      </c>
      <c r="I42" s="6" t="str">
        <f t="shared" si="6"/>
        <v>0</v>
      </c>
      <c r="J42" s="10">
        <f t="shared" si="7"/>
        <v>-4.0571428571428578E-5</v>
      </c>
      <c r="K42" s="10">
        <f t="shared" si="8"/>
        <v>-2.1999999999999999E-5</v>
      </c>
      <c r="L42" s="10">
        <f t="shared" si="9"/>
        <v>-1.4000000000000001E-5</v>
      </c>
      <c r="M42" s="11">
        <f t="shared" si="10"/>
        <v>-76.569999999999993</v>
      </c>
      <c r="N42" s="11">
        <v>-76.569999999999993</v>
      </c>
      <c r="O42" s="13">
        <f t="shared" ref="O42:O78" si="15">IF(ISBLANK(N42), "", COUNTIF($L$20:$L$83,N42))</f>
        <v>0</v>
      </c>
      <c r="Q42" s="11">
        <v>-127.71</v>
      </c>
      <c r="R42" s="11">
        <f t="shared" si="13"/>
        <v>6</v>
      </c>
      <c r="T42" s="13" t="str">
        <f t="shared" si="14"/>
        <v/>
      </c>
    </row>
    <row r="43" spans="2:20" ht="15" hidden="1" customHeight="1" x14ac:dyDescent="0.35">
      <c r="B43" s="6">
        <v>23</v>
      </c>
      <c r="C43" s="2" t="s">
        <v>20</v>
      </c>
      <c r="D43" s="6" t="str">
        <f t="shared" si="1"/>
        <v>0</v>
      </c>
      <c r="E43" s="6" t="str">
        <f t="shared" si="2"/>
        <v>1</v>
      </c>
      <c r="F43" s="6" t="str">
        <f t="shared" si="3"/>
        <v>0</v>
      </c>
      <c r="G43" s="6" t="str">
        <f t="shared" si="4"/>
        <v>1</v>
      </c>
      <c r="H43" s="6" t="str">
        <f t="shared" si="5"/>
        <v>1</v>
      </c>
      <c r="I43" s="6" t="str">
        <f t="shared" si="6"/>
        <v>1</v>
      </c>
      <c r="J43" s="10">
        <f t="shared" si="7"/>
        <v>-6.9142857142857149E-5</v>
      </c>
      <c r="K43" s="10">
        <f t="shared" si="8"/>
        <v>-5.0571428571428577E-5</v>
      </c>
      <c r="L43" s="10">
        <f t="shared" si="9"/>
        <v>-4.2571428571428572E-5</v>
      </c>
      <c r="M43" s="11">
        <f t="shared" si="10"/>
        <v>-162.29</v>
      </c>
      <c r="N43" s="11">
        <v>-162.29</v>
      </c>
      <c r="O43" s="13">
        <f t="shared" si="15"/>
        <v>0</v>
      </c>
      <c r="Q43" s="11">
        <v>-121.71</v>
      </c>
      <c r="R43" s="11">
        <f t="shared" si="13"/>
        <v>0</v>
      </c>
      <c r="T43" s="13" t="str">
        <f t="shared" si="14"/>
        <v/>
      </c>
    </row>
    <row r="44" spans="2:20" x14ac:dyDescent="0.35">
      <c r="B44" s="6">
        <v>2</v>
      </c>
      <c r="C44" s="2" t="s">
        <v>17</v>
      </c>
      <c r="D44" s="6" t="str">
        <f t="shared" si="1"/>
        <v>0</v>
      </c>
      <c r="E44" s="6" t="str">
        <f t="shared" si="2"/>
        <v>0</v>
      </c>
      <c r="F44" s="6" t="str">
        <f t="shared" si="3"/>
        <v>0</v>
      </c>
      <c r="G44" s="6" t="str">
        <f t="shared" si="4"/>
        <v>0</v>
      </c>
      <c r="H44" s="6" t="str">
        <f t="shared" si="5"/>
        <v>1</v>
      </c>
      <c r="I44" s="6" t="str">
        <f t="shared" si="6"/>
        <v>0</v>
      </c>
      <c r="J44" s="10">
        <f t="shared" si="7"/>
        <v>-2.8571428571428574E-5</v>
      </c>
      <c r="K44" s="10">
        <f t="shared" si="8"/>
        <v>-1.0000000000000001E-5</v>
      </c>
      <c r="L44" s="10">
        <f t="shared" si="9"/>
        <v>-1.0000000000000001E-5</v>
      </c>
      <c r="M44" s="11">
        <f t="shared" si="10"/>
        <v>-48.57</v>
      </c>
      <c r="N44" s="11">
        <v>-48.57</v>
      </c>
      <c r="O44" s="13">
        <f t="shared" si="15"/>
        <v>0</v>
      </c>
      <c r="Q44" s="11">
        <v>-121.71</v>
      </c>
      <c r="R44" s="11">
        <f t="shared" si="13"/>
        <v>1.1399999999999999</v>
      </c>
      <c r="T44" s="13" t="str">
        <f t="shared" si="14"/>
        <v/>
      </c>
    </row>
    <row r="45" spans="2:20" ht="15" hidden="1" customHeight="1" x14ac:dyDescent="0.35">
      <c r="B45" s="6">
        <v>25</v>
      </c>
      <c r="C45" s="2" t="s">
        <v>20</v>
      </c>
      <c r="D45" s="6" t="str">
        <f t="shared" si="1"/>
        <v>0</v>
      </c>
      <c r="E45" s="6" t="str">
        <f t="shared" si="2"/>
        <v>1</v>
      </c>
      <c r="F45" s="6" t="str">
        <f t="shared" si="3"/>
        <v>1</v>
      </c>
      <c r="G45" s="6" t="str">
        <f t="shared" si="4"/>
        <v>0</v>
      </c>
      <c r="H45" s="6" t="str">
        <f t="shared" si="5"/>
        <v>0</v>
      </c>
      <c r="I45" s="6" t="str">
        <f t="shared" si="6"/>
        <v>1</v>
      </c>
      <c r="J45" s="10">
        <f t="shared" si="7"/>
        <v>-4.8571428571428576E-5</v>
      </c>
      <c r="K45" s="10">
        <f t="shared" si="8"/>
        <v>-4.0571428571428578E-5</v>
      </c>
      <c r="L45" s="10">
        <f t="shared" si="9"/>
        <v>-3.2571428571428573E-5</v>
      </c>
      <c r="M45" s="11">
        <f t="shared" si="10"/>
        <v>-121.71</v>
      </c>
      <c r="N45" s="11">
        <v>-121.71</v>
      </c>
      <c r="O45" s="13">
        <f t="shared" si="15"/>
        <v>0</v>
      </c>
      <c r="Q45" s="11">
        <v>-120.57</v>
      </c>
      <c r="R45" s="11">
        <f t="shared" si="13"/>
        <v>4.8600000000000003</v>
      </c>
      <c r="T45" s="13" t="str">
        <f t="shared" si="14"/>
        <v/>
      </c>
    </row>
    <row r="46" spans="2:20" ht="15" hidden="1" customHeight="1" x14ac:dyDescent="0.35">
      <c r="B46" s="6">
        <v>26</v>
      </c>
      <c r="C46" s="2" t="s">
        <v>20</v>
      </c>
      <c r="D46" s="6" t="str">
        <f t="shared" si="1"/>
        <v>0</v>
      </c>
      <c r="E46" s="6" t="str">
        <f t="shared" si="2"/>
        <v>1</v>
      </c>
      <c r="F46" s="6" t="str">
        <f t="shared" si="3"/>
        <v>1</v>
      </c>
      <c r="G46" s="6" t="str">
        <f t="shared" si="4"/>
        <v>0</v>
      </c>
      <c r="H46" s="6" t="str">
        <f t="shared" si="5"/>
        <v>1</v>
      </c>
      <c r="I46" s="6" t="str">
        <f t="shared" si="6"/>
        <v>0</v>
      </c>
      <c r="J46" s="10">
        <f t="shared" si="7"/>
        <v>-4.8571428571428576E-5</v>
      </c>
      <c r="K46" s="10">
        <f t="shared" si="8"/>
        <v>-2.1999999999999999E-5</v>
      </c>
      <c r="L46" s="10">
        <f t="shared" si="9"/>
        <v>-1.4000000000000001E-5</v>
      </c>
      <c r="M46" s="11">
        <f t="shared" si="10"/>
        <v>-84.57</v>
      </c>
      <c r="N46" s="11">
        <v>-84.57</v>
      </c>
      <c r="O46" s="13">
        <f t="shared" si="15"/>
        <v>0</v>
      </c>
      <c r="Q46" s="11">
        <v>-115.71</v>
      </c>
      <c r="R46" s="11">
        <f t="shared" si="13"/>
        <v>1.1399999999999999</v>
      </c>
      <c r="T46" s="13" t="str">
        <f t="shared" si="14"/>
        <v/>
      </c>
    </row>
    <row r="47" spans="2:20" ht="15" hidden="1" customHeight="1" x14ac:dyDescent="0.35">
      <c r="B47" s="6">
        <v>27</v>
      </c>
      <c r="C47" s="2" t="s">
        <v>20</v>
      </c>
      <c r="D47" s="6" t="str">
        <f t="shared" si="1"/>
        <v>0</v>
      </c>
      <c r="E47" s="6" t="str">
        <f t="shared" si="2"/>
        <v>1</v>
      </c>
      <c r="F47" s="6" t="str">
        <f t="shared" si="3"/>
        <v>1</v>
      </c>
      <c r="G47" s="6" t="str">
        <f t="shared" si="4"/>
        <v>0</v>
      </c>
      <c r="H47" s="6" t="str">
        <f t="shared" si="5"/>
        <v>1</v>
      </c>
      <c r="I47" s="6" t="str">
        <f t="shared" si="6"/>
        <v>1</v>
      </c>
      <c r="J47" s="10">
        <f t="shared" si="7"/>
        <v>-7.7142857142857154E-5</v>
      </c>
      <c r="K47" s="10">
        <f t="shared" si="8"/>
        <v>-5.0571428571428577E-5</v>
      </c>
      <c r="L47" s="10">
        <f t="shared" si="9"/>
        <v>-4.2571428571428572E-5</v>
      </c>
      <c r="M47" s="11">
        <f t="shared" si="10"/>
        <v>-170.29</v>
      </c>
      <c r="N47" s="11">
        <v>-170.29</v>
      </c>
      <c r="O47" s="13">
        <f t="shared" si="15"/>
        <v>0</v>
      </c>
      <c r="Q47" s="11">
        <v>-114.57</v>
      </c>
      <c r="R47" s="11">
        <f t="shared" si="13"/>
        <v>0.86</v>
      </c>
      <c r="T47" s="13" t="str">
        <f t="shared" si="14"/>
        <v/>
      </c>
    </row>
    <row r="48" spans="2:20" x14ac:dyDescent="0.35">
      <c r="B48" s="6">
        <v>6</v>
      </c>
      <c r="C48" s="2" t="s">
        <v>17</v>
      </c>
      <c r="D48" s="6" t="str">
        <f t="shared" si="1"/>
        <v>0</v>
      </c>
      <c r="E48" s="6" t="str">
        <f t="shared" si="2"/>
        <v>0</v>
      </c>
      <c r="F48" s="6" t="str">
        <f t="shared" si="3"/>
        <v>0</v>
      </c>
      <c r="G48" s="6" t="str">
        <f t="shared" si="4"/>
        <v>1</v>
      </c>
      <c r="H48" s="6" t="str">
        <f t="shared" si="5"/>
        <v>1</v>
      </c>
      <c r="I48" s="6" t="str">
        <f t="shared" si="6"/>
        <v>0</v>
      </c>
      <c r="J48" s="10">
        <f t="shared" si="7"/>
        <v>-3.0571428571428572E-5</v>
      </c>
      <c r="K48" s="10">
        <f t="shared" si="8"/>
        <v>-1.2E-5</v>
      </c>
      <c r="L48" s="10">
        <f t="shared" si="9"/>
        <v>-1.2E-5</v>
      </c>
      <c r="M48" s="11">
        <f t="shared" si="10"/>
        <v>-54.57</v>
      </c>
      <c r="N48" s="11">
        <v>-54.57</v>
      </c>
      <c r="O48" s="13">
        <f t="shared" si="15"/>
        <v>0</v>
      </c>
      <c r="Q48" s="11">
        <v>-113.71</v>
      </c>
      <c r="R48" s="11">
        <f t="shared" si="13"/>
        <v>6</v>
      </c>
      <c r="T48" s="13" t="str">
        <f t="shared" si="14"/>
        <v/>
      </c>
    </row>
    <row r="49" spans="2:20" ht="15" hidden="1" customHeight="1" x14ac:dyDescent="0.35">
      <c r="B49" s="6">
        <v>29</v>
      </c>
      <c r="C49" s="2" t="s">
        <v>20</v>
      </c>
      <c r="D49" s="6" t="str">
        <f t="shared" si="1"/>
        <v>0</v>
      </c>
      <c r="E49" s="6" t="str">
        <f t="shared" si="2"/>
        <v>1</v>
      </c>
      <c r="F49" s="6" t="str">
        <f t="shared" si="3"/>
        <v>1</v>
      </c>
      <c r="G49" s="6" t="str">
        <f t="shared" si="4"/>
        <v>1</v>
      </c>
      <c r="H49" s="6" t="str">
        <f t="shared" si="5"/>
        <v>0</v>
      </c>
      <c r="I49" s="6" t="str">
        <f t="shared" si="6"/>
        <v>1</v>
      </c>
      <c r="J49" s="10">
        <f t="shared" si="7"/>
        <v>-5.0571428571428577E-5</v>
      </c>
      <c r="K49" s="10">
        <f t="shared" si="8"/>
        <v>-4.2571428571428572E-5</v>
      </c>
      <c r="L49" s="10">
        <f t="shared" si="9"/>
        <v>-3.4571428571428574E-5</v>
      </c>
      <c r="M49" s="11">
        <f t="shared" si="10"/>
        <v>-127.71</v>
      </c>
      <c r="N49" s="11">
        <v>-127.71</v>
      </c>
      <c r="O49" s="13">
        <f t="shared" si="15"/>
        <v>0</v>
      </c>
      <c r="Q49" s="11">
        <v>-107.71</v>
      </c>
      <c r="R49" s="11">
        <f t="shared" si="13"/>
        <v>1.1399999999999999</v>
      </c>
      <c r="T49" s="13" t="str">
        <f t="shared" si="14"/>
        <v/>
      </c>
    </row>
    <row r="50" spans="2:20" ht="15" hidden="1" customHeight="1" x14ac:dyDescent="0.35">
      <c r="B50" s="6">
        <v>30</v>
      </c>
      <c r="C50" s="2" t="s">
        <v>20</v>
      </c>
      <c r="D50" s="6" t="str">
        <f t="shared" si="1"/>
        <v>0</v>
      </c>
      <c r="E50" s="6" t="str">
        <f t="shared" si="2"/>
        <v>1</v>
      </c>
      <c r="F50" s="6" t="str">
        <f t="shared" si="3"/>
        <v>1</v>
      </c>
      <c r="G50" s="6" t="str">
        <f t="shared" si="4"/>
        <v>1</v>
      </c>
      <c r="H50" s="6" t="str">
        <f t="shared" si="5"/>
        <v>1</v>
      </c>
      <c r="I50" s="6" t="str">
        <f t="shared" si="6"/>
        <v>0</v>
      </c>
      <c r="J50" s="10">
        <f t="shared" si="7"/>
        <v>-5.0571428571428577E-5</v>
      </c>
      <c r="K50" s="10">
        <f t="shared" si="8"/>
        <v>-2.4000000000000001E-5</v>
      </c>
      <c r="L50" s="10">
        <f t="shared" si="9"/>
        <v>-1.6000000000000003E-5</v>
      </c>
      <c r="M50" s="11">
        <f t="shared" si="10"/>
        <v>-90.57</v>
      </c>
      <c r="N50" s="11">
        <v>-90.57</v>
      </c>
      <c r="O50" s="13">
        <f t="shared" si="15"/>
        <v>0</v>
      </c>
      <c r="Q50" s="11">
        <v>-106.57</v>
      </c>
      <c r="R50" s="11">
        <f t="shared" si="13"/>
        <v>0.86</v>
      </c>
      <c r="T50" s="13" t="str">
        <f t="shared" si="14"/>
        <v/>
      </c>
    </row>
    <row r="51" spans="2:20" x14ac:dyDescent="0.35">
      <c r="B51" s="6">
        <v>14</v>
      </c>
      <c r="C51" s="2" t="s">
        <v>17</v>
      </c>
      <c r="D51" s="6" t="str">
        <f t="shared" si="1"/>
        <v>0</v>
      </c>
      <c r="E51" s="6" t="str">
        <f t="shared" si="2"/>
        <v>0</v>
      </c>
      <c r="F51" s="6" t="str">
        <f t="shared" si="3"/>
        <v>1</v>
      </c>
      <c r="G51" s="6" t="str">
        <f t="shared" si="4"/>
        <v>1</v>
      </c>
      <c r="H51" s="6" t="str">
        <f t="shared" si="5"/>
        <v>1</v>
      </c>
      <c r="I51" s="6" t="str">
        <f t="shared" si="6"/>
        <v>0</v>
      </c>
      <c r="J51" s="10">
        <f t="shared" si="7"/>
        <v>-4.0571428571428578E-5</v>
      </c>
      <c r="K51" s="10">
        <f t="shared" si="8"/>
        <v>-1.4000000000000001E-5</v>
      </c>
      <c r="L51" s="10">
        <f t="shared" si="9"/>
        <v>-1.4000000000000001E-5</v>
      </c>
      <c r="M51" s="11">
        <f t="shared" si="10"/>
        <v>-68.569999999999993</v>
      </c>
      <c r="N51" s="11">
        <v>-68.569999999999993</v>
      </c>
      <c r="O51" s="13">
        <f t="shared" si="15"/>
        <v>0</v>
      </c>
      <c r="Q51" s="11">
        <v>-105.71</v>
      </c>
      <c r="R51" s="11">
        <f t="shared" si="13"/>
        <v>5.14</v>
      </c>
      <c r="T51" s="13" t="str">
        <f t="shared" si="14"/>
        <v/>
      </c>
    </row>
    <row r="52" spans="2:20" hidden="1" x14ac:dyDescent="0.35">
      <c r="B52" s="6">
        <v>32</v>
      </c>
      <c r="C52" s="2" t="s">
        <v>22</v>
      </c>
      <c r="D52" s="6" t="str">
        <f t="shared" ref="D52:D83" si="16">LEFT(RIGHT(DEC2BIN($B52,6),6),1)</f>
        <v>1</v>
      </c>
      <c r="E52" s="6" t="str">
        <f t="shared" ref="E52:E83" si="17">LEFT(RIGHT(DEC2BIN($B52,6),5),1)</f>
        <v>0</v>
      </c>
      <c r="F52" s="6" t="str">
        <f t="shared" ref="F52:F83" si="18">LEFT(RIGHT(DEC2BIN($B52,6),4),1)</f>
        <v>0</v>
      </c>
      <c r="G52" s="6" t="str">
        <f t="shared" ref="G52:G83" si="19">LEFT(RIGHT(DEC2BIN($B52,6),3),1)</f>
        <v>0</v>
      </c>
      <c r="H52" s="6" t="str">
        <f t="shared" ref="H52:H83" si="20">LEFT(RIGHT(DEC2BIN($B52,6),2),1)</f>
        <v>0</v>
      </c>
      <c r="I52" s="6" t="str">
        <f t="shared" ref="I52:I83" si="21">LEFT(RIGHT(DEC2BIN($B52,6),1),1)</f>
        <v>0</v>
      </c>
      <c r="J52" s="10">
        <f t="shared" ref="J52:J83" si="22">(($D52*$E$11)+($E52*$E$12)+($F52*$E$13)+($G52*$E$14)+($H52*$E$15)+($I52*$E$16))</f>
        <v>-1.0000000000000001E-5</v>
      </c>
      <c r="K52" s="10">
        <f t="shared" ref="K52:K83" si="23">(($D52*$F$11)+($E52*$F$12)+($F52*$F$13)+($G52*$F$14)+($H52*$F$15)+($I52*$F$16))</f>
        <v>-1.0000000000000001E-5</v>
      </c>
      <c r="L52" s="10">
        <f t="shared" ref="L52:L83" si="24">(($D52*$G$11)+($E52*$G$12)+($F52*$G$13)+($G52*$G$14)+($H52*$G$15)+($I52*$G$16))</f>
        <v>-1.0000000000000001E-5</v>
      </c>
      <c r="M52" s="11">
        <f t="shared" ref="M52:M83" si="25">ROUND(( J52+K52+L52)*1000000, 2)</f>
        <v>-30</v>
      </c>
      <c r="N52" s="11">
        <v>-30</v>
      </c>
      <c r="O52" s="13">
        <f t="shared" si="15"/>
        <v>0</v>
      </c>
      <c r="Q52" s="11">
        <v>-100.57</v>
      </c>
      <c r="R52" s="11">
        <f t="shared" si="13"/>
        <v>0.86</v>
      </c>
      <c r="T52" s="13" t="str">
        <f t="shared" si="14"/>
        <v/>
      </c>
    </row>
    <row r="53" spans="2:20" hidden="1" x14ac:dyDescent="0.35">
      <c r="B53" s="6">
        <v>33</v>
      </c>
      <c r="C53" s="2" t="s">
        <v>22</v>
      </c>
      <c r="D53" s="6" t="str">
        <f t="shared" si="16"/>
        <v>1</v>
      </c>
      <c r="E53" s="6" t="str">
        <f t="shared" si="17"/>
        <v>0</v>
      </c>
      <c r="F53" s="6" t="str">
        <f t="shared" si="18"/>
        <v>0</v>
      </c>
      <c r="G53" s="6" t="str">
        <f t="shared" si="19"/>
        <v>0</v>
      </c>
      <c r="H53" s="6" t="str">
        <f t="shared" si="20"/>
        <v>0</v>
      </c>
      <c r="I53" s="6" t="str">
        <f t="shared" si="21"/>
        <v>1</v>
      </c>
      <c r="J53" s="10">
        <f t="shared" si="22"/>
        <v>-3.8571428571428577E-5</v>
      </c>
      <c r="K53" s="10">
        <f t="shared" si="23"/>
        <v>-3.8571428571428577E-5</v>
      </c>
      <c r="L53" s="10">
        <f t="shared" si="24"/>
        <v>-3.8571428571428577E-5</v>
      </c>
      <c r="M53" s="11">
        <f t="shared" si="25"/>
        <v>-115.71</v>
      </c>
      <c r="N53" s="11">
        <v>-115.71</v>
      </c>
      <c r="O53" s="13">
        <f t="shared" si="15"/>
        <v>0</v>
      </c>
      <c r="Q53" s="11">
        <v>-99.71</v>
      </c>
      <c r="R53" s="11">
        <f t="shared" si="13"/>
        <v>1.1399999999999999</v>
      </c>
      <c r="T53" s="13" t="str">
        <f t="shared" si="14"/>
        <v/>
      </c>
    </row>
    <row r="54" spans="2:20" hidden="1" x14ac:dyDescent="0.35">
      <c r="B54" s="6">
        <v>34</v>
      </c>
      <c r="C54" s="2" t="s">
        <v>22</v>
      </c>
      <c r="D54" s="6" t="str">
        <f t="shared" si="16"/>
        <v>1</v>
      </c>
      <c r="E54" s="6" t="str">
        <f t="shared" si="17"/>
        <v>0</v>
      </c>
      <c r="F54" s="6" t="str">
        <f t="shared" si="18"/>
        <v>0</v>
      </c>
      <c r="G54" s="6" t="str">
        <f t="shared" si="19"/>
        <v>0</v>
      </c>
      <c r="H54" s="6" t="str">
        <f t="shared" si="20"/>
        <v>1</v>
      </c>
      <c r="I54" s="6" t="str">
        <f t="shared" si="21"/>
        <v>0</v>
      </c>
      <c r="J54" s="10">
        <f t="shared" si="22"/>
        <v>-3.8571428571428577E-5</v>
      </c>
      <c r="K54" s="10">
        <f t="shared" si="23"/>
        <v>-2.0000000000000002E-5</v>
      </c>
      <c r="L54" s="10">
        <f t="shared" si="24"/>
        <v>-2.0000000000000002E-5</v>
      </c>
      <c r="M54" s="11">
        <f t="shared" si="25"/>
        <v>-78.569999999999993</v>
      </c>
      <c r="N54" s="11">
        <v>-78.569999999999993</v>
      </c>
      <c r="O54" s="13">
        <f t="shared" si="15"/>
        <v>0</v>
      </c>
      <c r="Q54" s="11">
        <v>-98.57</v>
      </c>
      <c r="R54" s="11">
        <f t="shared" si="13"/>
        <v>6</v>
      </c>
      <c r="T54" s="13" t="str">
        <f t="shared" si="14"/>
        <v/>
      </c>
    </row>
    <row r="55" spans="2:20" hidden="1" x14ac:dyDescent="0.35">
      <c r="B55" s="6">
        <v>35</v>
      </c>
      <c r="C55" s="2" t="s">
        <v>22</v>
      </c>
      <c r="D55" s="6" t="str">
        <f t="shared" si="16"/>
        <v>1</v>
      </c>
      <c r="E55" s="6" t="str">
        <f t="shared" si="17"/>
        <v>0</v>
      </c>
      <c r="F55" s="6" t="str">
        <f t="shared" si="18"/>
        <v>0</v>
      </c>
      <c r="G55" s="6" t="str">
        <f t="shared" si="19"/>
        <v>0</v>
      </c>
      <c r="H55" s="6" t="str">
        <f t="shared" si="20"/>
        <v>1</v>
      </c>
      <c r="I55" s="6" t="str">
        <f t="shared" si="21"/>
        <v>1</v>
      </c>
      <c r="J55" s="10">
        <f t="shared" si="22"/>
        <v>-6.7142857142857154E-5</v>
      </c>
      <c r="K55" s="10">
        <f t="shared" si="23"/>
        <v>-4.8571428571428576E-5</v>
      </c>
      <c r="L55" s="10">
        <f t="shared" si="24"/>
        <v>-4.8571428571428576E-5</v>
      </c>
      <c r="M55" s="11">
        <f t="shared" si="25"/>
        <v>-164.29</v>
      </c>
      <c r="N55" s="11">
        <v>-164.29</v>
      </c>
      <c r="O55" s="13">
        <f t="shared" si="15"/>
        <v>0</v>
      </c>
      <c r="Q55" s="11">
        <v>-92.57</v>
      </c>
      <c r="R55" s="11">
        <f t="shared" si="13"/>
        <v>0.86</v>
      </c>
      <c r="T55" s="13" t="str">
        <f t="shared" si="14"/>
        <v/>
      </c>
    </row>
    <row r="56" spans="2:20" hidden="1" x14ac:dyDescent="0.35">
      <c r="B56" s="6">
        <v>36</v>
      </c>
      <c r="C56" s="2" t="s">
        <v>22</v>
      </c>
      <c r="D56" s="6" t="str">
        <f t="shared" si="16"/>
        <v>1</v>
      </c>
      <c r="E56" s="6" t="str">
        <f t="shared" si="17"/>
        <v>0</v>
      </c>
      <c r="F56" s="6" t="str">
        <f t="shared" si="18"/>
        <v>0</v>
      </c>
      <c r="G56" s="6" t="str">
        <f t="shared" si="19"/>
        <v>1</v>
      </c>
      <c r="H56" s="6" t="str">
        <f t="shared" si="20"/>
        <v>0</v>
      </c>
      <c r="I56" s="6" t="str">
        <f t="shared" si="21"/>
        <v>0</v>
      </c>
      <c r="J56" s="10">
        <f t="shared" si="22"/>
        <v>-1.2E-5</v>
      </c>
      <c r="K56" s="10">
        <f t="shared" si="23"/>
        <v>-1.2E-5</v>
      </c>
      <c r="L56" s="10">
        <f t="shared" si="24"/>
        <v>-1.2E-5</v>
      </c>
      <c r="M56" s="11">
        <f t="shared" si="25"/>
        <v>-36</v>
      </c>
      <c r="N56" s="11">
        <v>-44</v>
      </c>
      <c r="O56" s="13">
        <f t="shared" si="15"/>
        <v>0</v>
      </c>
      <c r="Q56" s="11">
        <v>-91.71</v>
      </c>
      <c r="R56" s="11">
        <f t="shared" si="13"/>
        <v>1.1399999999999999</v>
      </c>
      <c r="T56" s="13" t="str">
        <f t="shared" si="14"/>
        <v/>
      </c>
    </row>
    <row r="57" spans="2:20" hidden="1" x14ac:dyDescent="0.35">
      <c r="B57" s="6">
        <v>37</v>
      </c>
      <c r="C57" s="2" t="s">
        <v>22</v>
      </c>
      <c r="D57" s="6" t="str">
        <f t="shared" si="16"/>
        <v>1</v>
      </c>
      <c r="E57" s="6" t="str">
        <f t="shared" si="17"/>
        <v>0</v>
      </c>
      <c r="F57" s="6" t="str">
        <f t="shared" si="18"/>
        <v>0</v>
      </c>
      <c r="G57" s="6" t="str">
        <f t="shared" si="19"/>
        <v>1</v>
      </c>
      <c r="H57" s="6" t="str">
        <f t="shared" si="20"/>
        <v>0</v>
      </c>
      <c r="I57" s="6" t="str">
        <f t="shared" si="21"/>
        <v>1</v>
      </c>
      <c r="J57" s="10">
        <f t="shared" si="22"/>
        <v>-4.0571428571428578E-5</v>
      </c>
      <c r="K57" s="10">
        <f t="shared" si="23"/>
        <v>-4.0571428571428578E-5</v>
      </c>
      <c r="L57" s="10">
        <f t="shared" si="24"/>
        <v>-4.0571428571428578E-5</v>
      </c>
      <c r="M57" s="11">
        <f t="shared" si="25"/>
        <v>-121.71</v>
      </c>
      <c r="N57" s="11">
        <v>-129.71</v>
      </c>
      <c r="O57" s="13">
        <f t="shared" si="15"/>
        <v>0</v>
      </c>
      <c r="Q57" s="11">
        <v>-90.57</v>
      </c>
      <c r="R57" s="11">
        <f t="shared" si="13"/>
        <v>4.8600000000000003</v>
      </c>
      <c r="T57" s="13" t="str">
        <f t="shared" si="14"/>
        <v/>
      </c>
    </row>
    <row r="58" spans="2:20" hidden="1" x14ac:dyDescent="0.35">
      <c r="B58" s="6">
        <v>38</v>
      </c>
      <c r="C58" s="2" t="s">
        <v>22</v>
      </c>
      <c r="D58" s="6" t="str">
        <f t="shared" si="16"/>
        <v>1</v>
      </c>
      <c r="E58" s="6" t="str">
        <f t="shared" si="17"/>
        <v>0</v>
      </c>
      <c r="F58" s="6" t="str">
        <f t="shared" si="18"/>
        <v>0</v>
      </c>
      <c r="G58" s="6" t="str">
        <f t="shared" si="19"/>
        <v>1</v>
      </c>
      <c r="H58" s="6" t="str">
        <f t="shared" si="20"/>
        <v>1</v>
      </c>
      <c r="I58" s="6" t="str">
        <f t="shared" si="21"/>
        <v>0</v>
      </c>
      <c r="J58" s="10">
        <f t="shared" si="22"/>
        <v>-4.0571428571428578E-5</v>
      </c>
      <c r="K58" s="10">
        <f t="shared" si="23"/>
        <v>-2.1999999999999999E-5</v>
      </c>
      <c r="L58" s="10">
        <f t="shared" si="24"/>
        <v>-2.1999999999999999E-5</v>
      </c>
      <c r="M58" s="11">
        <f t="shared" si="25"/>
        <v>-84.57</v>
      </c>
      <c r="N58" s="11">
        <v>-92.57</v>
      </c>
      <c r="O58" s="13">
        <f t="shared" si="15"/>
        <v>0</v>
      </c>
      <c r="Q58" s="11">
        <v>-85.71</v>
      </c>
      <c r="R58" s="11">
        <f t="shared" si="13"/>
        <v>1.1399999999999999</v>
      </c>
      <c r="T58" s="13" t="str">
        <f t="shared" si="14"/>
        <v/>
      </c>
    </row>
    <row r="59" spans="2:20" hidden="1" x14ac:dyDescent="0.35">
      <c r="B59" s="6">
        <v>39</v>
      </c>
      <c r="C59" s="2" t="s">
        <v>22</v>
      </c>
      <c r="D59" s="6" t="str">
        <f t="shared" si="16"/>
        <v>1</v>
      </c>
      <c r="E59" s="6" t="str">
        <f t="shared" si="17"/>
        <v>0</v>
      </c>
      <c r="F59" s="6" t="str">
        <f t="shared" si="18"/>
        <v>0</v>
      </c>
      <c r="G59" s="6" t="str">
        <f t="shared" si="19"/>
        <v>1</v>
      </c>
      <c r="H59" s="6" t="str">
        <f t="shared" si="20"/>
        <v>1</v>
      </c>
      <c r="I59" s="6" t="str">
        <f t="shared" si="21"/>
        <v>1</v>
      </c>
      <c r="J59" s="10">
        <f t="shared" si="22"/>
        <v>-6.9142857142857149E-5</v>
      </c>
      <c r="K59" s="10">
        <f t="shared" si="23"/>
        <v>-5.0571428571428577E-5</v>
      </c>
      <c r="L59" s="10">
        <f t="shared" si="24"/>
        <v>-5.0571428571428577E-5</v>
      </c>
      <c r="M59" s="11">
        <f t="shared" si="25"/>
        <v>-170.29</v>
      </c>
      <c r="N59" s="11">
        <v>-178.29</v>
      </c>
      <c r="O59" s="13">
        <f t="shared" si="15"/>
        <v>0</v>
      </c>
      <c r="Q59" s="11">
        <v>-84.57</v>
      </c>
      <c r="R59" s="11">
        <f t="shared" si="13"/>
        <v>0</v>
      </c>
      <c r="T59" s="13" t="str">
        <f t="shared" si="14"/>
        <v/>
      </c>
    </row>
    <row r="60" spans="2:20" hidden="1" x14ac:dyDescent="0.35">
      <c r="B60" s="6">
        <v>40</v>
      </c>
      <c r="C60" s="2" t="s">
        <v>22</v>
      </c>
      <c r="D60" s="6" t="str">
        <f t="shared" si="16"/>
        <v>1</v>
      </c>
      <c r="E60" s="6" t="str">
        <f t="shared" si="17"/>
        <v>0</v>
      </c>
      <c r="F60" s="6" t="str">
        <f t="shared" si="18"/>
        <v>1</v>
      </c>
      <c r="G60" s="6" t="str">
        <f t="shared" si="19"/>
        <v>0</v>
      </c>
      <c r="H60" s="6" t="str">
        <f t="shared" si="20"/>
        <v>0</v>
      </c>
      <c r="I60" s="6" t="str">
        <f t="shared" si="21"/>
        <v>0</v>
      </c>
      <c r="J60" s="10">
        <f t="shared" si="22"/>
        <v>-2.0000000000000002E-5</v>
      </c>
      <c r="K60" s="10">
        <f t="shared" si="23"/>
        <v>-1.2E-5</v>
      </c>
      <c r="L60" s="10">
        <f t="shared" si="24"/>
        <v>-1.2E-5</v>
      </c>
      <c r="M60" s="11">
        <f t="shared" si="25"/>
        <v>-44</v>
      </c>
      <c r="N60" s="11">
        <v>-50</v>
      </c>
      <c r="O60" s="13">
        <f t="shared" si="15"/>
        <v>0</v>
      </c>
      <c r="Q60" s="11">
        <v>-84.57</v>
      </c>
      <c r="R60" s="11">
        <f t="shared" si="13"/>
        <v>6</v>
      </c>
      <c r="T60" s="13" t="str">
        <f t="shared" si="14"/>
        <v/>
      </c>
    </row>
    <row r="61" spans="2:20" hidden="1" x14ac:dyDescent="0.35">
      <c r="B61" s="6">
        <v>41</v>
      </c>
      <c r="C61" s="2" t="s">
        <v>22</v>
      </c>
      <c r="D61" s="6" t="str">
        <f t="shared" si="16"/>
        <v>1</v>
      </c>
      <c r="E61" s="6" t="str">
        <f t="shared" si="17"/>
        <v>0</v>
      </c>
      <c r="F61" s="6" t="str">
        <f t="shared" si="18"/>
        <v>1</v>
      </c>
      <c r="G61" s="6" t="str">
        <f t="shared" si="19"/>
        <v>0</v>
      </c>
      <c r="H61" s="6" t="str">
        <f t="shared" si="20"/>
        <v>0</v>
      </c>
      <c r="I61" s="6" t="str">
        <f t="shared" si="21"/>
        <v>1</v>
      </c>
      <c r="J61" s="10">
        <f t="shared" si="22"/>
        <v>-4.8571428571428576E-5</v>
      </c>
      <c r="K61" s="10">
        <f t="shared" si="23"/>
        <v>-4.0571428571428578E-5</v>
      </c>
      <c r="L61" s="10">
        <f t="shared" si="24"/>
        <v>-4.0571428571428578E-5</v>
      </c>
      <c r="M61" s="11">
        <f t="shared" si="25"/>
        <v>-129.71</v>
      </c>
      <c r="N61" s="11">
        <v>-135.71</v>
      </c>
      <c r="O61" s="13">
        <f t="shared" si="15"/>
        <v>0</v>
      </c>
      <c r="Q61" s="11">
        <v>-78.569999999999993</v>
      </c>
      <c r="R61" s="11">
        <f t="shared" si="13"/>
        <v>2</v>
      </c>
      <c r="T61" s="13" t="str">
        <f t="shared" si="14"/>
        <v/>
      </c>
    </row>
    <row r="62" spans="2:20" hidden="1" x14ac:dyDescent="0.35">
      <c r="B62" s="6">
        <v>42</v>
      </c>
      <c r="C62" s="2" t="s">
        <v>22</v>
      </c>
      <c r="D62" s="6" t="str">
        <f t="shared" si="16"/>
        <v>1</v>
      </c>
      <c r="E62" s="6" t="str">
        <f t="shared" si="17"/>
        <v>0</v>
      </c>
      <c r="F62" s="6" t="str">
        <f t="shared" si="18"/>
        <v>1</v>
      </c>
      <c r="G62" s="6" t="str">
        <f t="shared" si="19"/>
        <v>0</v>
      </c>
      <c r="H62" s="6" t="str">
        <f t="shared" si="20"/>
        <v>1</v>
      </c>
      <c r="I62" s="6" t="str">
        <f t="shared" si="21"/>
        <v>0</v>
      </c>
      <c r="J62" s="10">
        <f t="shared" si="22"/>
        <v>-4.8571428571428576E-5</v>
      </c>
      <c r="K62" s="10">
        <f t="shared" si="23"/>
        <v>-2.1999999999999999E-5</v>
      </c>
      <c r="L62" s="10">
        <f t="shared" si="24"/>
        <v>-2.1999999999999999E-5</v>
      </c>
      <c r="M62" s="11">
        <f t="shared" si="25"/>
        <v>-92.57</v>
      </c>
      <c r="N62" s="11">
        <v>-98.57</v>
      </c>
      <c r="O62" s="13">
        <f t="shared" si="15"/>
        <v>0</v>
      </c>
      <c r="Q62" s="11">
        <v>-76.569999999999993</v>
      </c>
      <c r="R62" s="11">
        <f t="shared" si="13"/>
        <v>4.57</v>
      </c>
      <c r="T62" s="13" t="str">
        <f t="shared" si="14"/>
        <v/>
      </c>
    </row>
    <row r="63" spans="2:20" hidden="1" x14ac:dyDescent="0.35">
      <c r="B63" s="6">
        <v>43</v>
      </c>
      <c r="C63" s="2" t="s">
        <v>22</v>
      </c>
      <c r="D63" s="6" t="str">
        <f t="shared" si="16"/>
        <v>1</v>
      </c>
      <c r="E63" s="6" t="str">
        <f t="shared" si="17"/>
        <v>0</v>
      </c>
      <c r="F63" s="6" t="str">
        <f t="shared" si="18"/>
        <v>1</v>
      </c>
      <c r="G63" s="6" t="str">
        <f t="shared" si="19"/>
        <v>0</v>
      </c>
      <c r="H63" s="6" t="str">
        <f t="shared" si="20"/>
        <v>1</v>
      </c>
      <c r="I63" s="6" t="str">
        <f t="shared" si="21"/>
        <v>1</v>
      </c>
      <c r="J63" s="10">
        <f t="shared" si="22"/>
        <v>-7.7142857142857154E-5</v>
      </c>
      <c r="K63" s="10">
        <f t="shared" si="23"/>
        <v>-5.0571428571428577E-5</v>
      </c>
      <c r="L63" s="10">
        <f t="shared" si="24"/>
        <v>-5.0571428571428577E-5</v>
      </c>
      <c r="M63" s="11">
        <f t="shared" si="25"/>
        <v>-178.29</v>
      </c>
      <c r="N63" s="11">
        <v>-184.29</v>
      </c>
      <c r="O63" s="13">
        <f t="shared" si="15"/>
        <v>0</v>
      </c>
      <c r="Q63" s="11">
        <v>-72</v>
      </c>
      <c r="R63" s="11">
        <f t="shared" si="13"/>
        <v>1.43</v>
      </c>
      <c r="T63" s="13" t="str">
        <f t="shared" si="14"/>
        <v/>
      </c>
    </row>
    <row r="64" spans="2:20" hidden="1" x14ac:dyDescent="0.35">
      <c r="B64" s="6">
        <v>44</v>
      </c>
      <c r="C64" s="2" t="s">
        <v>22</v>
      </c>
      <c r="D64" s="6" t="str">
        <f t="shared" si="16"/>
        <v>1</v>
      </c>
      <c r="E64" s="6" t="str">
        <f t="shared" si="17"/>
        <v>0</v>
      </c>
      <c r="F64" s="6" t="str">
        <f t="shared" si="18"/>
        <v>1</v>
      </c>
      <c r="G64" s="6" t="str">
        <f t="shared" si="19"/>
        <v>1</v>
      </c>
      <c r="H64" s="6" t="str">
        <f t="shared" si="20"/>
        <v>0</v>
      </c>
      <c r="I64" s="6" t="str">
        <f t="shared" si="21"/>
        <v>0</v>
      </c>
      <c r="J64" s="10">
        <f t="shared" si="22"/>
        <v>-2.2000000000000003E-5</v>
      </c>
      <c r="K64" s="10">
        <f t="shared" si="23"/>
        <v>-1.4E-5</v>
      </c>
      <c r="L64" s="10">
        <f t="shared" si="24"/>
        <v>-1.4E-5</v>
      </c>
      <c r="M64" s="11">
        <f t="shared" si="25"/>
        <v>-50</v>
      </c>
      <c r="N64" s="11">
        <v>-52</v>
      </c>
      <c r="O64" s="13">
        <f t="shared" si="15"/>
        <v>0</v>
      </c>
      <c r="Q64" s="11">
        <v>-70.569999999999993</v>
      </c>
      <c r="R64" s="11">
        <f t="shared" si="13"/>
        <v>2</v>
      </c>
      <c r="T64" s="13" t="str">
        <f t="shared" si="14"/>
        <v/>
      </c>
    </row>
    <row r="65" spans="2:20" hidden="1" x14ac:dyDescent="0.35">
      <c r="B65" s="6">
        <v>45</v>
      </c>
      <c r="C65" s="2" t="s">
        <v>22</v>
      </c>
      <c r="D65" s="6" t="str">
        <f t="shared" si="16"/>
        <v>1</v>
      </c>
      <c r="E65" s="6" t="str">
        <f t="shared" si="17"/>
        <v>0</v>
      </c>
      <c r="F65" s="6" t="str">
        <f t="shared" si="18"/>
        <v>1</v>
      </c>
      <c r="G65" s="6" t="str">
        <f t="shared" si="19"/>
        <v>1</v>
      </c>
      <c r="H65" s="6" t="str">
        <f t="shared" si="20"/>
        <v>0</v>
      </c>
      <c r="I65" s="6" t="str">
        <f t="shared" si="21"/>
        <v>1</v>
      </c>
      <c r="J65" s="10">
        <f t="shared" si="22"/>
        <v>-5.0571428571428577E-5</v>
      </c>
      <c r="K65" s="10">
        <f t="shared" si="23"/>
        <v>-4.2571428571428572E-5</v>
      </c>
      <c r="L65" s="10">
        <f t="shared" si="24"/>
        <v>-4.2571428571428572E-5</v>
      </c>
      <c r="M65" s="11">
        <f t="shared" si="25"/>
        <v>-135.71</v>
      </c>
      <c r="N65" s="11">
        <v>-137.71</v>
      </c>
      <c r="O65" s="13">
        <f t="shared" si="15"/>
        <v>0</v>
      </c>
      <c r="Q65" s="11">
        <v>-68.569999999999993</v>
      </c>
      <c r="R65" s="11">
        <f t="shared" si="13"/>
        <v>2.57</v>
      </c>
      <c r="T65" s="13" t="str">
        <f t="shared" si="14"/>
        <v/>
      </c>
    </row>
    <row r="66" spans="2:20" hidden="1" x14ac:dyDescent="0.35">
      <c r="B66" s="6">
        <v>46</v>
      </c>
      <c r="C66" s="2" t="s">
        <v>22</v>
      </c>
      <c r="D66" s="6" t="str">
        <f t="shared" si="16"/>
        <v>1</v>
      </c>
      <c r="E66" s="6" t="str">
        <f t="shared" si="17"/>
        <v>0</v>
      </c>
      <c r="F66" s="6" t="str">
        <f t="shared" si="18"/>
        <v>1</v>
      </c>
      <c r="G66" s="6" t="str">
        <f t="shared" si="19"/>
        <v>1</v>
      </c>
      <c r="H66" s="6" t="str">
        <f t="shared" si="20"/>
        <v>1</v>
      </c>
      <c r="I66" s="6" t="str">
        <f t="shared" si="21"/>
        <v>0</v>
      </c>
      <c r="J66" s="10">
        <f t="shared" si="22"/>
        <v>-5.0571428571428577E-5</v>
      </c>
      <c r="K66" s="10">
        <f t="shared" si="23"/>
        <v>-2.4000000000000001E-5</v>
      </c>
      <c r="L66" s="10">
        <f t="shared" si="24"/>
        <v>-2.4000000000000001E-5</v>
      </c>
      <c r="M66" s="11">
        <f t="shared" si="25"/>
        <v>-98.57</v>
      </c>
      <c r="N66" s="11">
        <v>-100.57</v>
      </c>
      <c r="O66" s="13">
        <f t="shared" si="15"/>
        <v>0</v>
      </c>
      <c r="Q66" s="11">
        <v>-66</v>
      </c>
      <c r="R66" s="11">
        <f t="shared" si="13"/>
        <v>3.43</v>
      </c>
      <c r="T66" s="13" t="str">
        <f t="shared" si="14"/>
        <v/>
      </c>
    </row>
    <row r="67" spans="2:20" hidden="1" x14ac:dyDescent="0.35">
      <c r="B67" s="6">
        <v>47</v>
      </c>
      <c r="C67" s="2" t="s">
        <v>22</v>
      </c>
      <c r="D67" s="6" t="str">
        <f t="shared" si="16"/>
        <v>1</v>
      </c>
      <c r="E67" s="6" t="str">
        <f t="shared" si="17"/>
        <v>0</v>
      </c>
      <c r="F67" s="6" t="str">
        <f t="shared" si="18"/>
        <v>1</v>
      </c>
      <c r="G67" s="6" t="str">
        <f t="shared" si="19"/>
        <v>1</v>
      </c>
      <c r="H67" s="6" t="str">
        <f t="shared" si="20"/>
        <v>1</v>
      </c>
      <c r="I67" s="6" t="str">
        <f t="shared" si="21"/>
        <v>1</v>
      </c>
      <c r="J67" s="10">
        <f t="shared" si="22"/>
        <v>-7.9142857142857148E-5</v>
      </c>
      <c r="K67" s="10">
        <f t="shared" si="23"/>
        <v>-5.2571428571428571E-5</v>
      </c>
      <c r="L67" s="10">
        <f t="shared" si="24"/>
        <v>-5.2571428571428571E-5</v>
      </c>
      <c r="M67" s="11">
        <f t="shared" si="25"/>
        <v>-184.29</v>
      </c>
      <c r="N67" s="11">
        <v>-186.29</v>
      </c>
      <c r="O67" s="13">
        <f t="shared" si="15"/>
        <v>0</v>
      </c>
      <c r="Q67" s="11">
        <v>-62.57</v>
      </c>
      <c r="R67" s="11">
        <f t="shared" si="13"/>
        <v>4.57</v>
      </c>
      <c r="T67" s="13" t="str">
        <f t="shared" si="14"/>
        <v/>
      </c>
    </row>
    <row r="68" spans="2:20" hidden="1" x14ac:dyDescent="0.35">
      <c r="B68" s="6">
        <v>48</v>
      </c>
      <c r="C68" s="2" t="s">
        <v>22</v>
      </c>
      <c r="D68" s="6" t="str">
        <f t="shared" si="16"/>
        <v>1</v>
      </c>
      <c r="E68" s="6" t="str">
        <f t="shared" si="17"/>
        <v>1</v>
      </c>
      <c r="F68" s="6" t="str">
        <f t="shared" si="18"/>
        <v>0</v>
      </c>
      <c r="G68" s="6" t="str">
        <f t="shared" si="19"/>
        <v>0</v>
      </c>
      <c r="H68" s="6" t="str">
        <f t="shared" si="20"/>
        <v>0</v>
      </c>
      <c r="I68" s="6" t="str">
        <f t="shared" si="21"/>
        <v>0</v>
      </c>
      <c r="J68" s="10">
        <f t="shared" si="22"/>
        <v>-2.0000000000000002E-5</v>
      </c>
      <c r="K68" s="10">
        <f t="shared" si="23"/>
        <v>-2.0000000000000002E-5</v>
      </c>
      <c r="L68" s="10">
        <f t="shared" si="24"/>
        <v>-1.2E-5</v>
      </c>
      <c r="M68" s="11">
        <f t="shared" si="25"/>
        <v>-52</v>
      </c>
      <c r="N68" s="11">
        <v>-58</v>
      </c>
      <c r="O68" s="13">
        <f t="shared" si="15"/>
        <v>0</v>
      </c>
      <c r="Q68" s="11">
        <v>-58</v>
      </c>
      <c r="R68" s="11">
        <f t="shared" si="13"/>
        <v>3.43</v>
      </c>
      <c r="T68" s="13" t="str">
        <f t="shared" si="14"/>
        <v/>
      </c>
    </row>
    <row r="69" spans="2:20" hidden="1" x14ac:dyDescent="0.35">
      <c r="B69" s="6">
        <v>49</v>
      </c>
      <c r="C69" s="2" t="s">
        <v>22</v>
      </c>
      <c r="D69" s="6" t="str">
        <f t="shared" si="16"/>
        <v>1</v>
      </c>
      <c r="E69" s="6" t="str">
        <f t="shared" si="17"/>
        <v>1</v>
      </c>
      <c r="F69" s="6" t="str">
        <f t="shared" si="18"/>
        <v>0</v>
      </c>
      <c r="G69" s="6" t="str">
        <f t="shared" si="19"/>
        <v>0</v>
      </c>
      <c r="H69" s="6" t="str">
        <f t="shared" si="20"/>
        <v>0</v>
      </c>
      <c r="I69" s="6" t="str">
        <f t="shared" si="21"/>
        <v>1</v>
      </c>
      <c r="J69" s="10">
        <f t="shared" si="22"/>
        <v>-4.8571428571428576E-5</v>
      </c>
      <c r="K69" s="10">
        <f t="shared" si="23"/>
        <v>-4.8571428571428576E-5</v>
      </c>
      <c r="L69" s="10">
        <f t="shared" si="24"/>
        <v>-4.0571428571428578E-5</v>
      </c>
      <c r="M69" s="11">
        <f t="shared" si="25"/>
        <v>-137.71</v>
      </c>
      <c r="N69" s="11">
        <v>-143.71</v>
      </c>
      <c r="O69" s="13">
        <f t="shared" si="15"/>
        <v>0</v>
      </c>
      <c r="Q69" s="11">
        <v>-54.57</v>
      </c>
      <c r="R69" s="11">
        <f t="shared" si="13"/>
        <v>2.57</v>
      </c>
      <c r="T69" s="13" t="str">
        <f t="shared" si="14"/>
        <v/>
      </c>
    </row>
    <row r="70" spans="2:20" hidden="1" x14ac:dyDescent="0.35">
      <c r="B70" s="6">
        <v>50</v>
      </c>
      <c r="C70" s="2" t="s">
        <v>22</v>
      </c>
      <c r="D70" s="6" t="str">
        <f t="shared" si="16"/>
        <v>1</v>
      </c>
      <c r="E70" s="6" t="str">
        <f t="shared" si="17"/>
        <v>1</v>
      </c>
      <c r="F70" s="6" t="str">
        <f t="shared" si="18"/>
        <v>0</v>
      </c>
      <c r="G70" s="6" t="str">
        <f t="shared" si="19"/>
        <v>0</v>
      </c>
      <c r="H70" s="6" t="str">
        <f t="shared" si="20"/>
        <v>1</v>
      </c>
      <c r="I70" s="6" t="str">
        <f t="shared" si="21"/>
        <v>0</v>
      </c>
      <c r="J70" s="10">
        <f t="shared" si="22"/>
        <v>-4.8571428571428576E-5</v>
      </c>
      <c r="K70" s="10">
        <f t="shared" si="23"/>
        <v>-3.0000000000000004E-5</v>
      </c>
      <c r="L70" s="10">
        <f t="shared" si="24"/>
        <v>-2.1999999999999999E-5</v>
      </c>
      <c r="M70" s="11">
        <f t="shared" si="25"/>
        <v>-100.57</v>
      </c>
      <c r="N70" s="11">
        <v>-106.57</v>
      </c>
      <c r="O70" s="13">
        <f t="shared" si="15"/>
        <v>0</v>
      </c>
      <c r="Q70" s="11">
        <v>-52</v>
      </c>
      <c r="R70" s="11">
        <f t="shared" si="13"/>
        <v>2</v>
      </c>
      <c r="T70" s="13" t="str">
        <f t="shared" si="14"/>
        <v/>
      </c>
    </row>
    <row r="71" spans="2:20" hidden="1" x14ac:dyDescent="0.35">
      <c r="B71" s="6">
        <v>51</v>
      </c>
      <c r="C71" s="2" t="s">
        <v>22</v>
      </c>
      <c r="D71" s="6" t="str">
        <f t="shared" si="16"/>
        <v>1</v>
      </c>
      <c r="E71" s="6" t="str">
        <f t="shared" si="17"/>
        <v>1</v>
      </c>
      <c r="F71" s="6" t="str">
        <f t="shared" si="18"/>
        <v>0</v>
      </c>
      <c r="G71" s="6" t="str">
        <f t="shared" si="19"/>
        <v>0</v>
      </c>
      <c r="H71" s="6" t="str">
        <f t="shared" si="20"/>
        <v>1</v>
      </c>
      <c r="I71" s="6" t="str">
        <f t="shared" si="21"/>
        <v>1</v>
      </c>
      <c r="J71" s="10">
        <f t="shared" si="22"/>
        <v>-7.7142857142857154E-5</v>
      </c>
      <c r="K71" s="10">
        <f t="shared" si="23"/>
        <v>-5.8571428571428582E-5</v>
      </c>
      <c r="L71" s="10">
        <f t="shared" si="24"/>
        <v>-5.0571428571428577E-5</v>
      </c>
      <c r="M71" s="11">
        <f t="shared" si="25"/>
        <v>-186.29</v>
      </c>
      <c r="N71" s="11">
        <v>-192.29</v>
      </c>
      <c r="O71" s="13">
        <f t="shared" si="15"/>
        <v>0</v>
      </c>
      <c r="Q71" s="11">
        <v>-50</v>
      </c>
      <c r="R71" s="11">
        <f t="shared" si="13"/>
        <v>1.43</v>
      </c>
      <c r="T71" s="13" t="str">
        <f t="shared" si="14"/>
        <v/>
      </c>
    </row>
    <row r="72" spans="2:20" hidden="1" x14ac:dyDescent="0.35">
      <c r="B72" s="6">
        <v>52</v>
      </c>
      <c r="C72" s="2" t="s">
        <v>22</v>
      </c>
      <c r="D72" s="6" t="str">
        <f t="shared" si="16"/>
        <v>1</v>
      </c>
      <c r="E72" s="6" t="str">
        <f t="shared" si="17"/>
        <v>1</v>
      </c>
      <c r="F72" s="6" t="str">
        <f t="shared" si="18"/>
        <v>0</v>
      </c>
      <c r="G72" s="6" t="str">
        <f t="shared" si="19"/>
        <v>1</v>
      </c>
      <c r="H72" s="6" t="str">
        <f t="shared" si="20"/>
        <v>0</v>
      </c>
      <c r="I72" s="6" t="str">
        <f t="shared" si="21"/>
        <v>0</v>
      </c>
      <c r="J72" s="10">
        <f t="shared" si="22"/>
        <v>-2.2000000000000003E-5</v>
      </c>
      <c r="K72" s="10">
        <f t="shared" si="23"/>
        <v>-2.2000000000000003E-5</v>
      </c>
      <c r="L72" s="10">
        <f t="shared" si="24"/>
        <v>-1.4E-5</v>
      </c>
      <c r="M72" s="11">
        <f t="shared" si="25"/>
        <v>-58</v>
      </c>
      <c r="N72" s="11">
        <v>-66</v>
      </c>
      <c r="O72" s="13">
        <f t="shared" si="15"/>
        <v>0</v>
      </c>
      <c r="Q72" s="11">
        <v>-48.57</v>
      </c>
      <c r="R72" s="11">
        <f t="shared" si="13"/>
        <v>4.57</v>
      </c>
      <c r="T72" s="13" t="str">
        <f t="shared" si="14"/>
        <v/>
      </c>
    </row>
    <row r="73" spans="2:20" hidden="1" x14ac:dyDescent="0.35">
      <c r="B73" s="6">
        <v>53</v>
      </c>
      <c r="C73" s="2" t="s">
        <v>22</v>
      </c>
      <c r="D73" s="6" t="str">
        <f t="shared" si="16"/>
        <v>1</v>
      </c>
      <c r="E73" s="6" t="str">
        <f t="shared" si="17"/>
        <v>1</v>
      </c>
      <c r="F73" s="6" t="str">
        <f t="shared" si="18"/>
        <v>0</v>
      </c>
      <c r="G73" s="6" t="str">
        <f t="shared" si="19"/>
        <v>1</v>
      </c>
      <c r="H73" s="6" t="str">
        <f t="shared" si="20"/>
        <v>0</v>
      </c>
      <c r="I73" s="6" t="str">
        <f t="shared" si="21"/>
        <v>1</v>
      </c>
      <c r="J73" s="10">
        <f t="shared" si="22"/>
        <v>-5.0571428571428577E-5</v>
      </c>
      <c r="K73" s="10">
        <f t="shared" si="23"/>
        <v>-5.0571428571428577E-5</v>
      </c>
      <c r="L73" s="10">
        <f t="shared" si="24"/>
        <v>-4.2571428571428572E-5</v>
      </c>
      <c r="M73" s="11">
        <f t="shared" si="25"/>
        <v>-143.71</v>
      </c>
      <c r="N73" s="11">
        <v>-151.71</v>
      </c>
      <c r="O73" s="13">
        <f t="shared" si="15"/>
        <v>0</v>
      </c>
      <c r="Q73" s="11">
        <v>-44</v>
      </c>
      <c r="R73" s="11">
        <f t="shared" si="13"/>
        <v>2</v>
      </c>
      <c r="T73" s="13" t="str">
        <f t="shared" si="14"/>
        <v/>
      </c>
    </row>
    <row r="74" spans="2:20" hidden="1" x14ac:dyDescent="0.35">
      <c r="B74" s="6">
        <v>54</v>
      </c>
      <c r="C74" s="2" t="s">
        <v>22</v>
      </c>
      <c r="D74" s="6" t="str">
        <f t="shared" si="16"/>
        <v>1</v>
      </c>
      <c r="E74" s="6" t="str">
        <f t="shared" si="17"/>
        <v>1</v>
      </c>
      <c r="F74" s="6" t="str">
        <f t="shared" si="18"/>
        <v>0</v>
      </c>
      <c r="G74" s="6" t="str">
        <f t="shared" si="19"/>
        <v>1</v>
      </c>
      <c r="H74" s="6" t="str">
        <f t="shared" si="20"/>
        <v>1</v>
      </c>
      <c r="I74" s="6" t="str">
        <f t="shared" si="21"/>
        <v>0</v>
      </c>
      <c r="J74" s="10">
        <f t="shared" si="22"/>
        <v>-5.0571428571428577E-5</v>
      </c>
      <c r="K74" s="10">
        <f t="shared" si="23"/>
        <v>-3.2000000000000005E-5</v>
      </c>
      <c r="L74" s="10">
        <f t="shared" si="24"/>
        <v>-2.4000000000000001E-5</v>
      </c>
      <c r="M74" s="11">
        <f t="shared" si="25"/>
        <v>-106.57</v>
      </c>
      <c r="N74" s="11">
        <v>-114.57</v>
      </c>
      <c r="O74" s="13">
        <f t="shared" si="15"/>
        <v>0</v>
      </c>
      <c r="Q74" s="11">
        <v>-42</v>
      </c>
      <c r="R74" s="11">
        <f t="shared" si="13"/>
        <v>6</v>
      </c>
      <c r="T74" s="13" t="str">
        <f t="shared" si="14"/>
        <v/>
      </c>
    </row>
    <row r="75" spans="2:20" hidden="1" x14ac:dyDescent="0.35">
      <c r="B75" s="6">
        <v>55</v>
      </c>
      <c r="C75" s="2" t="s">
        <v>22</v>
      </c>
      <c r="D75" s="6" t="str">
        <f t="shared" si="16"/>
        <v>1</v>
      </c>
      <c r="E75" s="6" t="str">
        <f t="shared" si="17"/>
        <v>1</v>
      </c>
      <c r="F75" s="6" t="str">
        <f t="shared" si="18"/>
        <v>0</v>
      </c>
      <c r="G75" s="6" t="str">
        <f t="shared" si="19"/>
        <v>1</v>
      </c>
      <c r="H75" s="6" t="str">
        <f t="shared" si="20"/>
        <v>1</v>
      </c>
      <c r="I75" s="6" t="str">
        <f t="shared" si="21"/>
        <v>1</v>
      </c>
      <c r="J75" s="10">
        <f t="shared" si="22"/>
        <v>-7.9142857142857148E-5</v>
      </c>
      <c r="K75" s="10">
        <f t="shared" si="23"/>
        <v>-6.0571428571428576E-5</v>
      </c>
      <c r="L75" s="10">
        <f t="shared" si="24"/>
        <v>-5.2571428571428571E-5</v>
      </c>
      <c r="M75" s="11">
        <f t="shared" si="25"/>
        <v>-192.29</v>
      </c>
      <c r="N75" s="11">
        <v>-200.29</v>
      </c>
      <c r="O75" s="13">
        <f t="shared" si="15"/>
        <v>0</v>
      </c>
      <c r="Q75" s="11">
        <v>-36</v>
      </c>
      <c r="R75" s="11">
        <f t="shared" si="13"/>
        <v>0</v>
      </c>
      <c r="T75" s="13" t="str">
        <f t="shared" si="14"/>
        <v/>
      </c>
    </row>
    <row r="76" spans="2:20" hidden="1" x14ac:dyDescent="0.35">
      <c r="B76" s="6">
        <v>56</v>
      </c>
      <c r="C76" s="2" t="s">
        <v>22</v>
      </c>
      <c r="D76" s="6" t="str">
        <f t="shared" si="16"/>
        <v>1</v>
      </c>
      <c r="E76" s="6" t="str">
        <f t="shared" si="17"/>
        <v>1</v>
      </c>
      <c r="F76" s="6" t="str">
        <f t="shared" si="18"/>
        <v>1</v>
      </c>
      <c r="G76" s="6" t="str">
        <f t="shared" si="19"/>
        <v>0</v>
      </c>
      <c r="H76" s="6" t="str">
        <f t="shared" si="20"/>
        <v>0</v>
      </c>
      <c r="I76" s="6" t="str">
        <f t="shared" si="21"/>
        <v>0</v>
      </c>
      <c r="J76" s="10">
        <f t="shared" si="22"/>
        <v>-3.0000000000000004E-5</v>
      </c>
      <c r="K76" s="10">
        <f t="shared" si="23"/>
        <v>-2.2000000000000003E-5</v>
      </c>
      <c r="L76" s="10">
        <f t="shared" si="24"/>
        <v>-1.4E-5</v>
      </c>
      <c r="M76" s="11">
        <f t="shared" si="25"/>
        <v>-66</v>
      </c>
      <c r="N76" s="11">
        <v>-72</v>
      </c>
      <c r="O76" s="13">
        <f t="shared" si="15"/>
        <v>0</v>
      </c>
      <c r="Q76" s="11">
        <v>-36</v>
      </c>
      <c r="R76" s="11">
        <f t="shared" si="13"/>
        <v>6</v>
      </c>
      <c r="T76" s="13" t="str">
        <f t="shared" si="14"/>
        <v/>
      </c>
    </row>
    <row r="77" spans="2:20" hidden="1" x14ac:dyDescent="0.35">
      <c r="B77" s="6">
        <v>57</v>
      </c>
      <c r="C77" s="2" t="s">
        <v>22</v>
      </c>
      <c r="D77" s="6" t="str">
        <f t="shared" si="16"/>
        <v>1</v>
      </c>
      <c r="E77" s="6" t="str">
        <f t="shared" si="17"/>
        <v>1</v>
      </c>
      <c r="F77" s="6" t="str">
        <f t="shared" si="18"/>
        <v>1</v>
      </c>
      <c r="G77" s="6" t="str">
        <f t="shared" si="19"/>
        <v>0</v>
      </c>
      <c r="H77" s="6" t="str">
        <f t="shared" si="20"/>
        <v>0</v>
      </c>
      <c r="I77" s="6" t="str">
        <f t="shared" si="21"/>
        <v>1</v>
      </c>
      <c r="J77" s="10">
        <f t="shared" si="22"/>
        <v>-5.8571428571428582E-5</v>
      </c>
      <c r="K77" s="10">
        <f t="shared" si="23"/>
        <v>-5.0571428571428577E-5</v>
      </c>
      <c r="L77" s="10">
        <f t="shared" si="24"/>
        <v>-4.2571428571428572E-5</v>
      </c>
      <c r="M77" s="11">
        <f t="shared" si="25"/>
        <v>-151.71</v>
      </c>
      <c r="N77" s="11">
        <v>-157.71</v>
      </c>
      <c r="O77" s="13">
        <f t="shared" si="15"/>
        <v>0</v>
      </c>
      <c r="Q77" s="11">
        <v>-30</v>
      </c>
      <c r="R77" s="11">
        <f t="shared" si="13"/>
        <v>2</v>
      </c>
      <c r="T77" s="13" t="str">
        <f t="shared" si="14"/>
        <v/>
      </c>
    </row>
    <row r="78" spans="2:20" hidden="1" x14ac:dyDescent="0.35">
      <c r="B78" s="6">
        <v>58</v>
      </c>
      <c r="C78" s="2" t="s">
        <v>22</v>
      </c>
      <c r="D78" s="6" t="str">
        <f t="shared" si="16"/>
        <v>1</v>
      </c>
      <c r="E78" s="6" t="str">
        <f t="shared" si="17"/>
        <v>1</v>
      </c>
      <c r="F78" s="6" t="str">
        <f t="shared" si="18"/>
        <v>1</v>
      </c>
      <c r="G78" s="6" t="str">
        <f t="shared" si="19"/>
        <v>0</v>
      </c>
      <c r="H78" s="6" t="str">
        <f t="shared" si="20"/>
        <v>1</v>
      </c>
      <c r="I78" s="6" t="str">
        <f t="shared" si="21"/>
        <v>0</v>
      </c>
      <c r="J78" s="10">
        <f t="shared" si="22"/>
        <v>-5.8571428571428582E-5</v>
      </c>
      <c r="K78" s="10">
        <f t="shared" si="23"/>
        <v>-3.2000000000000005E-5</v>
      </c>
      <c r="L78" s="10">
        <f t="shared" si="24"/>
        <v>-2.4000000000000001E-5</v>
      </c>
      <c r="M78" s="11">
        <f t="shared" si="25"/>
        <v>-114.57</v>
      </c>
      <c r="N78" s="11">
        <v>-120.57</v>
      </c>
      <c r="O78" s="13">
        <f t="shared" si="15"/>
        <v>0</v>
      </c>
      <c r="Q78" s="11">
        <v>-28</v>
      </c>
      <c r="R78" s="11">
        <f t="shared" si="13"/>
        <v>6</v>
      </c>
      <c r="T78" s="13" t="str">
        <f t="shared" si="14"/>
        <v/>
      </c>
    </row>
    <row r="79" spans="2:20" hidden="1" x14ac:dyDescent="0.35">
      <c r="B79" s="6">
        <v>59</v>
      </c>
      <c r="C79" s="2" t="s">
        <v>22</v>
      </c>
      <c r="D79" s="6" t="str">
        <f t="shared" si="16"/>
        <v>1</v>
      </c>
      <c r="E79" s="6" t="str">
        <f t="shared" si="17"/>
        <v>1</v>
      </c>
      <c r="F79" s="6" t="str">
        <f t="shared" si="18"/>
        <v>1</v>
      </c>
      <c r="G79" s="6" t="str">
        <f t="shared" si="19"/>
        <v>0</v>
      </c>
      <c r="H79" s="6" t="str">
        <f t="shared" si="20"/>
        <v>1</v>
      </c>
      <c r="I79" s="6" t="str">
        <f t="shared" si="21"/>
        <v>1</v>
      </c>
      <c r="J79" s="10">
        <f t="shared" si="22"/>
        <v>-8.7142857142857153E-5</v>
      </c>
      <c r="K79" s="10">
        <f t="shared" si="23"/>
        <v>-6.0571428571428576E-5</v>
      </c>
      <c r="L79" s="10">
        <f t="shared" si="24"/>
        <v>-5.2571428571428571E-5</v>
      </c>
      <c r="M79" s="11">
        <f t="shared" si="25"/>
        <v>-200.29</v>
      </c>
      <c r="N79" s="11">
        <v>-206.29</v>
      </c>
      <c r="O79" s="13">
        <f>IF(ISBLANK(N79), 0, COUNTIF($L$20:$L$83,N79))</f>
        <v>0</v>
      </c>
      <c r="Q79" s="11">
        <v>-22</v>
      </c>
      <c r="R79" s="11">
        <f t="shared" si="13"/>
        <v>2</v>
      </c>
      <c r="T79" s="13" t="str">
        <f t="shared" si="14"/>
        <v/>
      </c>
    </row>
    <row r="80" spans="2:20" hidden="1" x14ac:dyDescent="0.35">
      <c r="B80" s="6">
        <v>60</v>
      </c>
      <c r="C80" s="2" t="s">
        <v>22</v>
      </c>
      <c r="D80" s="6" t="str">
        <f t="shared" si="16"/>
        <v>1</v>
      </c>
      <c r="E80" s="6" t="str">
        <f t="shared" si="17"/>
        <v>1</v>
      </c>
      <c r="F80" s="6" t="str">
        <f t="shared" si="18"/>
        <v>1</v>
      </c>
      <c r="G80" s="6" t="str">
        <f t="shared" si="19"/>
        <v>1</v>
      </c>
      <c r="H80" s="6" t="str">
        <f t="shared" si="20"/>
        <v>0</v>
      </c>
      <c r="I80" s="6" t="str">
        <f t="shared" si="21"/>
        <v>0</v>
      </c>
      <c r="J80" s="10">
        <f t="shared" si="22"/>
        <v>-3.2000000000000005E-5</v>
      </c>
      <c r="K80" s="10">
        <f t="shared" si="23"/>
        <v>-2.4000000000000004E-5</v>
      </c>
      <c r="L80" s="10">
        <f t="shared" si="24"/>
        <v>-1.5999999999999999E-5</v>
      </c>
      <c r="M80" s="11">
        <f t="shared" si="25"/>
        <v>-72</v>
      </c>
      <c r="O80" s="13">
        <f t="shared" ref="O80:O83" si="26">IF(ISBLANK(N80), 0, COUNTIF($L$20:$L$83,N80))</f>
        <v>0</v>
      </c>
      <c r="Q80" s="11">
        <v>-20</v>
      </c>
      <c r="R80" s="11">
        <f t="shared" si="13"/>
        <v>6</v>
      </c>
      <c r="T80" s="13" t="str">
        <f t="shared" si="14"/>
        <v/>
      </c>
    </row>
    <row r="81" spans="2:20" hidden="1" x14ac:dyDescent="0.35">
      <c r="B81" s="6">
        <v>61</v>
      </c>
      <c r="C81" s="2" t="s">
        <v>22</v>
      </c>
      <c r="D81" s="6" t="str">
        <f t="shared" si="16"/>
        <v>1</v>
      </c>
      <c r="E81" s="6" t="str">
        <f t="shared" si="17"/>
        <v>1</v>
      </c>
      <c r="F81" s="6" t="str">
        <f t="shared" si="18"/>
        <v>1</v>
      </c>
      <c r="G81" s="6" t="str">
        <f t="shared" si="19"/>
        <v>1</v>
      </c>
      <c r="H81" s="6" t="str">
        <f t="shared" si="20"/>
        <v>0</v>
      </c>
      <c r="I81" s="6" t="str">
        <f t="shared" si="21"/>
        <v>1</v>
      </c>
      <c r="J81" s="10">
        <f t="shared" si="22"/>
        <v>-6.0571428571428576E-5</v>
      </c>
      <c r="K81" s="10">
        <f t="shared" si="23"/>
        <v>-5.2571428571428578E-5</v>
      </c>
      <c r="L81" s="10">
        <f t="shared" si="24"/>
        <v>-4.4571428571428574E-5</v>
      </c>
      <c r="M81" s="11">
        <f t="shared" si="25"/>
        <v>-157.71</v>
      </c>
      <c r="O81" s="13">
        <f t="shared" si="26"/>
        <v>0</v>
      </c>
      <c r="Q81" s="11">
        <v>-14</v>
      </c>
      <c r="R81" s="11">
        <f t="shared" si="13"/>
        <v>8</v>
      </c>
      <c r="T81" s="13" t="str">
        <f t="shared" si="14"/>
        <v/>
      </c>
    </row>
    <row r="82" spans="2:20" hidden="1" x14ac:dyDescent="0.35">
      <c r="B82" s="6">
        <v>62</v>
      </c>
      <c r="C82" s="2" t="s">
        <v>22</v>
      </c>
      <c r="D82" s="6" t="str">
        <f t="shared" si="16"/>
        <v>1</v>
      </c>
      <c r="E82" s="6" t="str">
        <f t="shared" si="17"/>
        <v>1</v>
      </c>
      <c r="F82" s="6" t="str">
        <f t="shared" si="18"/>
        <v>1</v>
      </c>
      <c r="G82" s="6" t="str">
        <f t="shared" si="19"/>
        <v>1</v>
      </c>
      <c r="H82" s="6" t="str">
        <f t="shared" si="20"/>
        <v>1</v>
      </c>
      <c r="I82" s="6" t="str">
        <f t="shared" si="21"/>
        <v>0</v>
      </c>
      <c r="J82" s="10">
        <f t="shared" si="22"/>
        <v>-6.0571428571428576E-5</v>
      </c>
      <c r="K82" s="10">
        <f t="shared" si="23"/>
        <v>-3.4000000000000007E-5</v>
      </c>
      <c r="L82" s="10">
        <f t="shared" si="24"/>
        <v>-2.6000000000000002E-5</v>
      </c>
      <c r="M82" s="11">
        <f t="shared" si="25"/>
        <v>-120.57</v>
      </c>
      <c r="O82" s="13">
        <f t="shared" si="26"/>
        <v>0</v>
      </c>
      <c r="Q82" s="11">
        <v>-6</v>
      </c>
      <c r="R82" s="11">
        <f t="shared" si="13"/>
        <v>6</v>
      </c>
      <c r="T82" s="13" t="str">
        <f t="shared" si="14"/>
        <v/>
      </c>
    </row>
    <row r="83" spans="2:20" x14ac:dyDescent="0.35">
      <c r="B83" s="6">
        <v>63</v>
      </c>
      <c r="C83" s="2" t="s">
        <v>17</v>
      </c>
      <c r="D83" s="6" t="str">
        <f t="shared" si="16"/>
        <v>1</v>
      </c>
      <c r="E83" s="6" t="str">
        <f t="shared" si="17"/>
        <v>1</v>
      </c>
      <c r="F83" s="6" t="str">
        <f t="shared" si="18"/>
        <v>1</v>
      </c>
      <c r="G83" s="6" t="str">
        <f t="shared" si="19"/>
        <v>1</v>
      </c>
      <c r="H83" s="6" t="str">
        <f t="shared" si="20"/>
        <v>1</v>
      </c>
      <c r="I83" s="6" t="str">
        <f t="shared" si="21"/>
        <v>1</v>
      </c>
      <c r="J83" s="10">
        <f t="shared" si="22"/>
        <v>-8.9142857142857147E-5</v>
      </c>
      <c r="K83" s="10">
        <f t="shared" si="23"/>
        <v>-6.2571428571428584E-5</v>
      </c>
      <c r="L83" s="10">
        <f t="shared" si="24"/>
        <v>-5.4571428571428579E-5</v>
      </c>
      <c r="M83" s="11">
        <f t="shared" si="25"/>
        <v>-206.29</v>
      </c>
      <c r="O83" s="13">
        <f t="shared" si="26"/>
        <v>0</v>
      </c>
      <c r="Q83" s="11">
        <v>0</v>
      </c>
      <c r="R83" s="11" t="str">
        <f>IF(ISBLANK(Q84),"",ROUND(Q84-Q83,2))</f>
        <v/>
      </c>
      <c r="T83" s="13" t="str">
        <f t="shared" si="14"/>
        <v/>
      </c>
    </row>
  </sheetData>
  <conditionalFormatting sqref="M20:M83">
    <cfRule type="duplicateValues" dxfId="20" priority="1"/>
  </conditionalFormatting>
  <hyperlinks>
    <hyperlink ref="F10" r:id="rId1" display="R@" xr:uid="{0E83F89C-916C-404F-B7E9-180E56BEB4FD}"/>
    <hyperlink ref="G10" r:id="rId2" display="R@" xr:uid="{B088B002-3A8A-4802-AAA5-741DCC5DB0DE}"/>
    <hyperlink ref="F2" r:id="rId3" display="R@" xr:uid="{92AF9035-AEE5-4208-85D7-79CD86C2D4A6}"/>
    <hyperlink ref="G2" r:id="rId4" display="R@" xr:uid="{B7554A83-BC4E-4D27-8224-E89B65385459}"/>
  </hyperlinks>
  <pageMargins left="0.7" right="0.7" top="0.75" bottom="0.75" header="0.3" footer="0.3"/>
  <pageSetup orientation="portrait" r:id="rId5"/>
  <drawing r:id="rId6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D09A3-95D3-4F79-A653-26495F342EE8}">
  <dimension ref="A2:AG83"/>
  <sheetViews>
    <sheetView topLeftCell="B1" zoomScaleNormal="100" workbookViewId="0">
      <selection activeCell="C15" sqref="C15"/>
    </sheetView>
  </sheetViews>
  <sheetFormatPr defaultRowHeight="14.5" x14ac:dyDescent="0.35"/>
  <cols>
    <col min="2" max="2" width="6.7265625" style="6" bestFit="1" customWidth="1"/>
    <col min="3" max="3" width="19.1796875" style="2" bestFit="1" customWidth="1"/>
    <col min="4" max="4" width="12.1796875" customWidth="1"/>
    <col min="5" max="9" width="10" bestFit="1" customWidth="1"/>
    <col min="10" max="12" width="10" style="10" bestFit="1" customWidth="1"/>
    <col min="13" max="13" width="10" style="10" customWidth="1"/>
    <col min="14" max="14" width="10" style="11" bestFit="1" customWidth="1"/>
    <col min="15" max="15" width="14.7265625" style="11" bestFit="1" customWidth="1"/>
    <col min="16" max="16" width="9.54296875" style="13" bestFit="1" customWidth="1"/>
    <col min="18" max="18" width="7.26953125" style="11" bestFit="1" customWidth="1"/>
    <col min="19" max="19" width="10.81640625" style="11" customWidth="1"/>
    <col min="20" max="20" width="9.1796875" style="11"/>
    <col min="29" max="29" width="10" bestFit="1" customWidth="1"/>
    <col min="30" max="30" width="10.453125" customWidth="1"/>
    <col min="31" max="31" width="11.1796875" customWidth="1"/>
    <col min="32" max="32" width="11.453125" customWidth="1"/>
    <col min="33" max="33" width="11.54296875" customWidth="1"/>
  </cols>
  <sheetData>
    <row r="2" spans="1:33" x14ac:dyDescent="0.35">
      <c r="E2" s="4" t="s">
        <v>10</v>
      </c>
      <c r="F2" s="5" t="s">
        <v>11</v>
      </c>
      <c r="G2" s="5" t="s">
        <v>13</v>
      </c>
      <c r="H2" s="5" t="s">
        <v>25</v>
      </c>
    </row>
    <row r="3" spans="1:33" x14ac:dyDescent="0.35">
      <c r="E3">
        <v>7</v>
      </c>
      <c r="F3">
        <v>7</v>
      </c>
      <c r="G3">
        <v>7</v>
      </c>
      <c r="H3">
        <v>7</v>
      </c>
      <c r="AC3" s="4" t="s">
        <v>10</v>
      </c>
      <c r="AD3" s="5" t="s">
        <v>11</v>
      </c>
      <c r="AE3" s="5" t="s">
        <v>13</v>
      </c>
      <c r="AF3" s="5" t="s">
        <v>25</v>
      </c>
    </row>
    <row r="4" spans="1:33" x14ac:dyDescent="0.35">
      <c r="A4">
        <v>7</v>
      </c>
      <c r="B4">
        <v>7</v>
      </c>
      <c r="C4">
        <v>20</v>
      </c>
      <c r="D4">
        <v>20</v>
      </c>
      <c r="E4">
        <v>7</v>
      </c>
      <c r="F4">
        <v>7</v>
      </c>
      <c r="G4">
        <v>7</v>
      </c>
      <c r="H4">
        <v>20</v>
      </c>
      <c r="AC4">
        <v>20</v>
      </c>
      <c r="AD4">
        <v>20</v>
      </c>
      <c r="AE4">
        <v>7</v>
      </c>
      <c r="AF4">
        <v>100</v>
      </c>
    </row>
    <row r="5" spans="1:33" x14ac:dyDescent="0.35">
      <c r="A5">
        <v>20</v>
      </c>
      <c r="B5">
        <v>7</v>
      </c>
      <c r="C5">
        <v>100</v>
      </c>
      <c r="D5">
        <v>100</v>
      </c>
      <c r="E5">
        <v>7</v>
      </c>
      <c r="F5">
        <v>7</v>
      </c>
      <c r="G5">
        <v>20</v>
      </c>
      <c r="H5">
        <v>20</v>
      </c>
      <c r="AC5">
        <v>20</v>
      </c>
      <c r="AD5">
        <v>7</v>
      </c>
      <c r="AE5">
        <v>100</v>
      </c>
      <c r="AF5">
        <v>100</v>
      </c>
    </row>
    <row r="6" spans="1:33" x14ac:dyDescent="0.35">
      <c r="A6">
        <v>7</v>
      </c>
      <c r="B6">
        <v>7</v>
      </c>
      <c r="C6">
        <v>20</v>
      </c>
      <c r="D6">
        <v>20</v>
      </c>
      <c r="E6">
        <v>100</v>
      </c>
      <c r="F6">
        <v>100</v>
      </c>
      <c r="G6">
        <v>100</v>
      </c>
      <c r="H6">
        <v>100</v>
      </c>
      <c r="AC6">
        <v>20</v>
      </c>
      <c r="AD6">
        <v>100</v>
      </c>
      <c r="AE6">
        <v>100</v>
      </c>
      <c r="AF6">
        <v>100</v>
      </c>
    </row>
    <row r="7" spans="1:33" x14ac:dyDescent="0.35">
      <c r="E7">
        <v>20</v>
      </c>
      <c r="F7">
        <v>100</v>
      </c>
      <c r="G7">
        <v>100</v>
      </c>
      <c r="H7">
        <v>100</v>
      </c>
      <c r="AC7">
        <v>100</v>
      </c>
      <c r="AD7">
        <v>100</v>
      </c>
      <c r="AE7">
        <v>100</v>
      </c>
      <c r="AF7">
        <v>100</v>
      </c>
    </row>
    <row r="8" spans="1:33" x14ac:dyDescent="0.35">
      <c r="E8">
        <v>7</v>
      </c>
      <c r="F8">
        <v>20</v>
      </c>
      <c r="G8">
        <v>100</v>
      </c>
      <c r="H8">
        <v>100</v>
      </c>
      <c r="AC8">
        <v>7</v>
      </c>
      <c r="AD8">
        <v>7</v>
      </c>
      <c r="AE8">
        <v>20</v>
      </c>
      <c r="AF8">
        <v>20</v>
      </c>
    </row>
    <row r="9" spans="1:33" x14ac:dyDescent="0.35">
      <c r="AC9">
        <v>7</v>
      </c>
      <c r="AD9">
        <v>7</v>
      </c>
      <c r="AE9">
        <v>7</v>
      </c>
      <c r="AF9">
        <v>7</v>
      </c>
    </row>
    <row r="10" spans="1:33" x14ac:dyDescent="0.35">
      <c r="E10" s="16" t="s">
        <v>10</v>
      </c>
      <c r="F10" s="9" t="s">
        <v>11</v>
      </c>
      <c r="G10" s="9" t="s">
        <v>13</v>
      </c>
      <c r="H10" s="9" t="s">
        <v>25</v>
      </c>
    </row>
    <row r="11" spans="1:33" x14ac:dyDescent="0.35">
      <c r="E11" s="10">
        <f t="shared" ref="E11:H12" si="0">-0.2/(E3*1000)</f>
        <v>-2.8571428571428574E-5</v>
      </c>
      <c r="F11" s="10">
        <f t="shared" si="0"/>
        <v>-2.8571428571428574E-5</v>
      </c>
      <c r="G11" s="10">
        <f t="shared" si="0"/>
        <v>-2.8571428571428574E-5</v>
      </c>
      <c r="H11" s="10">
        <f>-0.2/(H3*1000)</f>
        <v>-2.8571428571428574E-5</v>
      </c>
      <c r="I11" s="11">
        <f xml:space="preserve"> SUM(E11:H11)*1000000</f>
        <v>-114.28571428571429</v>
      </c>
      <c r="AC11" s="16" t="s">
        <v>10</v>
      </c>
      <c r="AD11" s="9" t="s">
        <v>11</v>
      </c>
      <c r="AE11" s="9" t="s">
        <v>13</v>
      </c>
      <c r="AF11" s="9" t="s">
        <v>25</v>
      </c>
    </row>
    <row r="12" spans="1:33" x14ac:dyDescent="0.35">
      <c r="E12" s="10">
        <f t="shared" si="0"/>
        <v>-2.8571428571428574E-5</v>
      </c>
      <c r="F12" s="10">
        <f t="shared" si="0"/>
        <v>-2.8571428571428574E-5</v>
      </c>
      <c r="G12" s="10">
        <f t="shared" si="0"/>
        <v>-2.8571428571428574E-5</v>
      </c>
      <c r="H12" s="10">
        <f t="shared" si="0"/>
        <v>-1.0000000000000001E-5</v>
      </c>
      <c r="I12" s="11">
        <f t="shared" ref="I12:I16" si="1" xml:space="preserve"> SUM(E12:H12)*1000000</f>
        <v>-95.714285714285722</v>
      </c>
      <c r="AC12" s="10">
        <f t="shared" ref="AC12:AF17" si="2">-0.2/(AC4*1000)</f>
        <v>-1.0000000000000001E-5</v>
      </c>
      <c r="AD12" s="10">
        <f t="shared" si="2"/>
        <v>-1.0000000000000001E-5</v>
      </c>
      <c r="AE12" s="10">
        <f t="shared" si="2"/>
        <v>-2.8571428571428574E-5</v>
      </c>
      <c r="AF12" s="10">
        <f t="shared" si="2"/>
        <v>-1.9999999999999999E-6</v>
      </c>
      <c r="AG12" s="11">
        <f xml:space="preserve"> SUM(AC12:AF12)*1000000</f>
        <v>-50.571428571428577</v>
      </c>
    </row>
    <row r="13" spans="1:33" x14ac:dyDescent="0.35">
      <c r="E13" s="10">
        <f>-0.2/(E5*1000)</f>
        <v>-2.8571428571428574E-5</v>
      </c>
      <c r="F13" s="10">
        <f>-0.2/(F5*1000)</f>
        <v>-2.8571428571428574E-5</v>
      </c>
      <c r="G13" s="10">
        <f t="shared" ref="G13:H13" si="3">-0.2/(G5*1000)</f>
        <v>-1.0000000000000001E-5</v>
      </c>
      <c r="H13" s="10">
        <f t="shared" si="3"/>
        <v>-1.0000000000000001E-5</v>
      </c>
      <c r="I13" s="11">
        <f t="shared" si="1"/>
        <v>-77.142857142857153</v>
      </c>
      <c r="AC13" s="10">
        <f t="shared" ref="AC13:AE13" si="4">-0.2/(AC5*1000)</f>
        <v>-1.0000000000000001E-5</v>
      </c>
      <c r="AD13" s="10">
        <f t="shared" si="4"/>
        <v>-2.8571428571428574E-5</v>
      </c>
      <c r="AE13" s="10">
        <f t="shared" si="4"/>
        <v>-1.9999999999999999E-6</v>
      </c>
      <c r="AF13" s="10">
        <f t="shared" si="2"/>
        <v>-1.9999999999999999E-6</v>
      </c>
      <c r="AG13" s="11">
        <f t="shared" ref="AG13:AG17" si="5" xml:space="preserve"> SUM(AC13:AF13)*1000000</f>
        <v>-42.571428571428577</v>
      </c>
    </row>
    <row r="14" spans="1:33" x14ac:dyDescent="0.35">
      <c r="E14" s="10">
        <f t="shared" ref="E14:G15" si="6">-0.2/(E6*1000)</f>
        <v>-1.9999999999999999E-6</v>
      </c>
      <c r="F14" s="10">
        <f t="shared" si="6"/>
        <v>-1.9999999999999999E-6</v>
      </c>
      <c r="G14" s="10">
        <f t="shared" si="6"/>
        <v>-1.9999999999999999E-6</v>
      </c>
      <c r="H14" s="10">
        <f t="shared" ref="H14" si="7">-0.2/(H6*1000)</f>
        <v>-1.9999999999999999E-6</v>
      </c>
      <c r="I14" s="11">
        <f t="shared" si="1"/>
        <v>-8</v>
      </c>
      <c r="AC14" s="10">
        <f t="shared" ref="AC14:AE14" si="8">-0.2/(AC6*1000)</f>
        <v>-1.0000000000000001E-5</v>
      </c>
      <c r="AD14" s="10">
        <f t="shared" si="8"/>
        <v>-1.9999999999999999E-6</v>
      </c>
      <c r="AE14" s="10">
        <f t="shared" si="8"/>
        <v>-1.9999999999999999E-6</v>
      </c>
      <c r="AF14" s="10">
        <f t="shared" si="2"/>
        <v>-1.9999999999999999E-6</v>
      </c>
      <c r="AG14" s="11">
        <f t="shared" si="5"/>
        <v>-16</v>
      </c>
    </row>
    <row r="15" spans="1:33" x14ac:dyDescent="0.35">
      <c r="E15" s="10">
        <f>-0.2/(E7*1000)</f>
        <v>-1.0000000000000001E-5</v>
      </c>
      <c r="F15" s="10">
        <f t="shared" si="6"/>
        <v>-1.9999999999999999E-6</v>
      </c>
      <c r="G15" s="10">
        <f t="shared" si="6"/>
        <v>-1.9999999999999999E-6</v>
      </c>
      <c r="H15" s="10">
        <f>-0.2/(H7*1000)</f>
        <v>-1.9999999999999999E-6</v>
      </c>
      <c r="I15" s="11">
        <f t="shared" si="1"/>
        <v>-16</v>
      </c>
      <c r="AC15" s="10">
        <f t="shared" ref="AC15:AE15" si="9">-0.2/(AC7*1000)</f>
        <v>-1.9999999999999999E-6</v>
      </c>
      <c r="AD15" s="10">
        <f t="shared" si="9"/>
        <v>-1.9999999999999999E-6</v>
      </c>
      <c r="AE15" s="10">
        <f t="shared" si="9"/>
        <v>-1.9999999999999999E-6</v>
      </c>
      <c r="AF15" s="10">
        <f t="shared" si="2"/>
        <v>-1.9999999999999999E-6</v>
      </c>
      <c r="AG15" s="11">
        <f t="shared" si="5"/>
        <v>-8</v>
      </c>
    </row>
    <row r="16" spans="1:33" x14ac:dyDescent="0.35">
      <c r="E16" s="10">
        <f t="shared" ref="E16:G16" si="10">-0.2/(E8*1000)</f>
        <v>-2.8571428571428574E-5</v>
      </c>
      <c r="F16" s="10">
        <f t="shared" si="10"/>
        <v>-1.0000000000000001E-5</v>
      </c>
      <c r="G16" s="10">
        <f t="shared" si="10"/>
        <v>-1.9999999999999999E-6</v>
      </c>
      <c r="H16" s="10">
        <f>-0.2/(H8*1000)</f>
        <v>-1.9999999999999999E-6</v>
      </c>
      <c r="I16" s="11">
        <f t="shared" si="1"/>
        <v>-42.571428571428577</v>
      </c>
      <c r="AC16" s="10">
        <f t="shared" ref="AC16:AE16" si="11">-0.2/(AC8*1000)</f>
        <v>-2.8571428571428574E-5</v>
      </c>
      <c r="AD16" s="10">
        <f t="shared" si="11"/>
        <v>-2.8571428571428574E-5</v>
      </c>
      <c r="AE16" s="10">
        <f t="shared" si="11"/>
        <v>-1.0000000000000001E-5</v>
      </c>
      <c r="AF16" s="10">
        <f t="shared" si="2"/>
        <v>-1.0000000000000001E-5</v>
      </c>
      <c r="AG16" s="11">
        <f t="shared" si="5"/>
        <v>-77.142857142857153</v>
      </c>
    </row>
    <row r="17" spans="2:33" x14ac:dyDescent="0.35">
      <c r="AC17" s="10">
        <f t="shared" ref="AC17:AE17" si="12">-0.2/(AC9*1000)</f>
        <v>-2.8571428571428574E-5</v>
      </c>
      <c r="AD17" s="10">
        <f t="shared" si="12"/>
        <v>-2.8571428571428574E-5</v>
      </c>
      <c r="AE17" s="10">
        <f t="shared" si="12"/>
        <v>-2.8571428571428574E-5</v>
      </c>
      <c r="AF17" s="10">
        <f t="shared" si="2"/>
        <v>-2.8571428571428574E-5</v>
      </c>
      <c r="AG17" s="11">
        <f t="shared" si="5"/>
        <v>-114.28571428571429</v>
      </c>
    </row>
    <row r="19" spans="2:33" s="2" customFormat="1" x14ac:dyDescent="0.35">
      <c r="B19" s="3" t="s">
        <v>6</v>
      </c>
      <c r="C19" s="4" t="s">
        <v>23</v>
      </c>
      <c r="D19" s="3" t="s">
        <v>5</v>
      </c>
      <c r="E19" s="3" t="s">
        <v>0</v>
      </c>
      <c r="F19" s="3" t="s">
        <v>1</v>
      </c>
      <c r="G19" s="3" t="s">
        <v>2</v>
      </c>
      <c r="H19" s="3" t="s">
        <v>3</v>
      </c>
      <c r="I19" s="3" t="s">
        <v>4</v>
      </c>
      <c r="J19" s="8" t="s">
        <v>7</v>
      </c>
      <c r="K19" s="8" t="s">
        <v>8</v>
      </c>
      <c r="L19" s="8" t="s">
        <v>12</v>
      </c>
      <c r="M19" s="8" t="s">
        <v>26</v>
      </c>
      <c r="N19" s="12" t="s">
        <v>9</v>
      </c>
      <c r="O19" s="12" t="s">
        <v>14</v>
      </c>
      <c r="P19" s="14" t="s">
        <v>15</v>
      </c>
      <c r="R19" s="12"/>
      <c r="S19" s="12"/>
      <c r="T19" s="12" t="s">
        <v>24</v>
      </c>
      <c r="U19" s="14" t="s">
        <v>15</v>
      </c>
    </row>
    <row r="20" spans="2:33" x14ac:dyDescent="0.35">
      <c r="B20" s="6">
        <v>0</v>
      </c>
      <c r="C20" s="2" t="s">
        <v>16</v>
      </c>
      <c r="D20" s="6" t="str">
        <f t="shared" ref="D20:D51" si="13">LEFT(RIGHT(DEC2BIN($B20,6),6),1)</f>
        <v>0</v>
      </c>
      <c r="E20" s="6" t="str">
        <f t="shared" ref="E20:E51" si="14">LEFT(RIGHT(DEC2BIN($B20,6),5),1)</f>
        <v>0</v>
      </c>
      <c r="F20" s="6" t="str">
        <f t="shared" ref="F20:F51" si="15">LEFT(RIGHT(DEC2BIN($B20,6),4),1)</f>
        <v>0</v>
      </c>
      <c r="G20" s="6" t="str">
        <f t="shared" ref="G20:G51" si="16">LEFT(RIGHT(DEC2BIN($B20,6),3),1)</f>
        <v>0</v>
      </c>
      <c r="H20" s="6" t="str">
        <f t="shared" ref="H20:H51" si="17">LEFT(RIGHT(DEC2BIN($B20,6),2),1)</f>
        <v>0</v>
      </c>
      <c r="I20" s="6" t="str">
        <f t="shared" ref="I20:I51" si="18">LEFT(RIGHT(DEC2BIN($B20,6),1),1)</f>
        <v>0</v>
      </c>
      <c r="J20" s="10">
        <f t="shared" ref="J20:J51" si="19">(($D20*$E$11)+($E20*$E$12)+($F20*$E$13)+($G20*$E$14)+($H20*$E$15)+($I20*$E$16))</f>
        <v>0</v>
      </c>
      <c r="K20" s="10">
        <f t="shared" ref="K20:K51" si="20">(($D20*$F$11)+($E20*$F$12)+($F20*$F$13)+($G20*$F$14)+($H20*$F$15)+($I20*$F$16))</f>
        <v>0</v>
      </c>
      <c r="L20" s="10">
        <f t="shared" ref="L20:L51" si="21">(($D20*$G$11)+($E20*$G$12)+($F20*$G$13)+($G20*$G$14)+($H20*$G$15)+($I20*$G$16))</f>
        <v>0</v>
      </c>
      <c r="M20" s="10">
        <f t="shared" ref="M20:M51" si="22">(($D20*$H$11)+($E20*$H$12)+($F20*$H$13)+($G20*$H$14)+($H20*$H$15)+($I20*$H$16))</f>
        <v>0</v>
      </c>
      <c r="N20" s="11">
        <f t="shared" ref="N20:N51" si="23">ROUND(( J20+K20+L20+M20)*1000000, 0)</f>
        <v>0</v>
      </c>
      <c r="O20" s="11" cm="1">
        <f t="array" ref="O20:O77" xml:space="preserve"> _xlfn.UNIQUE(N20:N83)</f>
        <v>0</v>
      </c>
      <c r="P20" s="13">
        <f>IF(ISBLANK(O20), "", COUNTIF($N$20:$N$83,O20))</f>
        <v>1</v>
      </c>
      <c r="R20" s="11" cm="1">
        <f t="array" ref="R20:R83">_xlfn._xlws.SORT(Table32[I-diff])</f>
        <v>-354</v>
      </c>
      <c r="S20" s="11">
        <f>IF(ISBLANK(R21),"",R21-R20)</f>
        <v>8</v>
      </c>
      <c r="T20" s="11" cm="1">
        <f t="array" ref="T20:T28">_xlfn.UNIQUE(S20:S83)</f>
        <v>8</v>
      </c>
      <c r="U20" s="13">
        <f t="shared" ref="U20:U24" si="24">IF(OR(ISBLANK(T20), T20 = ""),"",COUNTIF($S$20:$S$83,T20))</f>
        <v>23</v>
      </c>
    </row>
    <row r="21" spans="2:33" x14ac:dyDescent="0.35">
      <c r="B21" s="6">
        <v>1</v>
      </c>
      <c r="C21" s="2" t="s">
        <v>16</v>
      </c>
      <c r="D21" s="6" t="str">
        <f t="shared" si="13"/>
        <v>0</v>
      </c>
      <c r="E21" s="6" t="str">
        <f t="shared" si="14"/>
        <v>0</v>
      </c>
      <c r="F21" s="6" t="str">
        <f t="shared" si="15"/>
        <v>0</v>
      </c>
      <c r="G21" s="6" t="str">
        <f t="shared" si="16"/>
        <v>0</v>
      </c>
      <c r="H21" s="6" t="str">
        <f t="shared" si="17"/>
        <v>0</v>
      </c>
      <c r="I21" s="6" t="str">
        <f t="shared" si="18"/>
        <v>1</v>
      </c>
      <c r="J21" s="10">
        <f t="shared" si="19"/>
        <v>-2.8571428571428574E-5</v>
      </c>
      <c r="K21" s="10">
        <f t="shared" si="20"/>
        <v>-1.0000000000000001E-5</v>
      </c>
      <c r="L21" s="10">
        <f t="shared" si="21"/>
        <v>-1.9999999999999999E-6</v>
      </c>
      <c r="M21" s="10">
        <f t="shared" si="22"/>
        <v>-1.9999999999999999E-6</v>
      </c>
      <c r="N21" s="11">
        <f t="shared" si="23"/>
        <v>-43</v>
      </c>
      <c r="O21" s="11">
        <v>-43</v>
      </c>
      <c r="P21" s="13">
        <f t="shared" ref="P21:P41" si="25">IF(ISBLANK(O21), "", COUNTIF($N$20:$N$83,O21))</f>
        <v>1</v>
      </c>
      <c r="R21" s="11">
        <v>-346</v>
      </c>
      <c r="S21" s="11">
        <f>IF(ISBLANK(R22),"",R22-R21)</f>
        <v>8</v>
      </c>
      <c r="T21" s="11">
        <v>19</v>
      </c>
      <c r="U21" s="13">
        <f t="shared" si="24"/>
        <v>2</v>
      </c>
    </row>
    <row r="22" spans="2:33" x14ac:dyDescent="0.35">
      <c r="B22" s="6">
        <v>2</v>
      </c>
      <c r="C22" s="2" t="s">
        <v>17</v>
      </c>
      <c r="D22" s="6" t="str">
        <f t="shared" si="13"/>
        <v>0</v>
      </c>
      <c r="E22" s="6" t="str">
        <f t="shared" si="14"/>
        <v>0</v>
      </c>
      <c r="F22" s="6" t="str">
        <f t="shared" si="15"/>
        <v>0</v>
      </c>
      <c r="G22" s="6" t="str">
        <f t="shared" si="16"/>
        <v>0</v>
      </c>
      <c r="H22" s="6" t="str">
        <f t="shared" si="17"/>
        <v>1</v>
      </c>
      <c r="I22" s="6" t="str">
        <f t="shared" si="18"/>
        <v>0</v>
      </c>
      <c r="J22" s="10">
        <f t="shared" si="19"/>
        <v>-1.0000000000000001E-5</v>
      </c>
      <c r="K22" s="10">
        <f t="shared" si="20"/>
        <v>-1.9999999999999999E-6</v>
      </c>
      <c r="L22" s="10">
        <f t="shared" si="21"/>
        <v>-1.9999999999999999E-6</v>
      </c>
      <c r="M22" s="10">
        <f t="shared" si="22"/>
        <v>-1.9999999999999999E-6</v>
      </c>
      <c r="N22" s="11">
        <f t="shared" si="23"/>
        <v>-16</v>
      </c>
      <c r="O22" s="11">
        <v>-16</v>
      </c>
      <c r="P22" s="13">
        <f t="shared" si="25"/>
        <v>1</v>
      </c>
      <c r="R22" s="11">
        <v>-338</v>
      </c>
      <c r="S22" s="11">
        <f>IF(ISBLANK(R23),"",R23-R22)</f>
        <v>8</v>
      </c>
      <c r="T22" s="11">
        <v>10</v>
      </c>
      <c r="U22" s="13">
        <f t="shared" si="24"/>
        <v>2</v>
      </c>
    </row>
    <row r="23" spans="2:33" x14ac:dyDescent="0.35">
      <c r="B23" s="6">
        <v>3</v>
      </c>
      <c r="C23" s="2" t="s">
        <v>16</v>
      </c>
      <c r="D23" s="6" t="str">
        <f t="shared" si="13"/>
        <v>0</v>
      </c>
      <c r="E23" s="6" t="str">
        <f t="shared" si="14"/>
        <v>0</v>
      </c>
      <c r="F23" s="6" t="str">
        <f t="shared" si="15"/>
        <v>0</v>
      </c>
      <c r="G23" s="6" t="str">
        <f t="shared" si="16"/>
        <v>0</v>
      </c>
      <c r="H23" s="6" t="str">
        <f t="shared" si="17"/>
        <v>1</v>
      </c>
      <c r="I23" s="6" t="str">
        <f t="shared" si="18"/>
        <v>1</v>
      </c>
      <c r="J23" s="10">
        <f t="shared" si="19"/>
        <v>-3.8571428571428577E-5</v>
      </c>
      <c r="K23" s="10">
        <f t="shared" si="20"/>
        <v>-1.2E-5</v>
      </c>
      <c r="L23" s="10">
        <f t="shared" si="21"/>
        <v>-3.9999999999999998E-6</v>
      </c>
      <c r="M23" s="10">
        <f t="shared" si="22"/>
        <v>-3.9999999999999998E-6</v>
      </c>
      <c r="N23" s="11">
        <f t="shared" si="23"/>
        <v>-59</v>
      </c>
      <c r="O23" s="11">
        <v>-59</v>
      </c>
      <c r="P23" s="13">
        <f t="shared" si="25"/>
        <v>1</v>
      </c>
      <c r="R23" s="11">
        <v>-330</v>
      </c>
      <c r="S23" s="11">
        <f t="shared" ref="S23:S83" si="26">IF(ISBLANK(R24),"",R24-R23)</f>
        <v>19</v>
      </c>
      <c r="T23" s="11">
        <v>3</v>
      </c>
      <c r="U23" s="13">
        <f t="shared" si="24"/>
        <v>11</v>
      </c>
    </row>
    <row r="24" spans="2:33" x14ac:dyDescent="0.35">
      <c r="B24" s="6">
        <v>4</v>
      </c>
      <c r="C24" s="2" t="s">
        <v>18</v>
      </c>
      <c r="D24" s="6" t="str">
        <f t="shared" si="13"/>
        <v>0</v>
      </c>
      <c r="E24" s="6" t="str">
        <f t="shared" si="14"/>
        <v>0</v>
      </c>
      <c r="F24" s="6" t="str">
        <f t="shared" si="15"/>
        <v>0</v>
      </c>
      <c r="G24" s="6" t="str">
        <f t="shared" si="16"/>
        <v>1</v>
      </c>
      <c r="H24" s="6" t="str">
        <f t="shared" si="17"/>
        <v>0</v>
      </c>
      <c r="I24" s="6" t="str">
        <f t="shared" si="18"/>
        <v>0</v>
      </c>
      <c r="J24" s="10">
        <f t="shared" si="19"/>
        <v>-1.9999999999999999E-6</v>
      </c>
      <c r="K24" s="10">
        <f t="shared" si="20"/>
        <v>-1.9999999999999999E-6</v>
      </c>
      <c r="L24" s="10">
        <f t="shared" si="21"/>
        <v>-1.9999999999999999E-6</v>
      </c>
      <c r="M24" s="10">
        <f t="shared" si="22"/>
        <v>-1.9999999999999999E-6</v>
      </c>
      <c r="N24" s="11">
        <f t="shared" si="23"/>
        <v>-8</v>
      </c>
      <c r="O24" s="11">
        <v>-8</v>
      </c>
      <c r="P24" s="13">
        <f t="shared" si="25"/>
        <v>1</v>
      </c>
      <c r="R24" s="11">
        <v>-311</v>
      </c>
      <c r="S24" s="11">
        <f t="shared" si="26"/>
        <v>8</v>
      </c>
      <c r="T24" s="11">
        <v>5</v>
      </c>
      <c r="U24" s="13">
        <f t="shared" si="24"/>
        <v>7</v>
      </c>
    </row>
    <row r="25" spans="2:33" x14ac:dyDescent="0.35">
      <c r="B25" s="6">
        <v>5</v>
      </c>
      <c r="C25" s="2" t="s">
        <v>20</v>
      </c>
      <c r="D25" s="6" t="str">
        <f t="shared" si="13"/>
        <v>0</v>
      </c>
      <c r="E25" s="6" t="str">
        <f t="shared" si="14"/>
        <v>0</v>
      </c>
      <c r="F25" s="6" t="str">
        <f t="shared" si="15"/>
        <v>0</v>
      </c>
      <c r="G25" s="6" t="str">
        <f t="shared" si="16"/>
        <v>1</v>
      </c>
      <c r="H25" s="6" t="str">
        <f t="shared" si="17"/>
        <v>0</v>
      </c>
      <c r="I25" s="6" t="str">
        <f t="shared" si="18"/>
        <v>1</v>
      </c>
      <c r="J25" s="10">
        <f t="shared" si="19"/>
        <v>-3.0571428571428572E-5</v>
      </c>
      <c r="K25" s="10">
        <f t="shared" si="20"/>
        <v>-1.2E-5</v>
      </c>
      <c r="L25" s="10">
        <f t="shared" si="21"/>
        <v>-3.9999999999999998E-6</v>
      </c>
      <c r="M25" s="10">
        <f t="shared" si="22"/>
        <v>-3.9999999999999998E-6</v>
      </c>
      <c r="N25" s="11">
        <f t="shared" si="23"/>
        <v>-51</v>
      </c>
      <c r="O25" s="11">
        <v>-51</v>
      </c>
      <c r="P25" s="13">
        <f t="shared" si="25"/>
        <v>1</v>
      </c>
      <c r="R25" s="11">
        <v>-303</v>
      </c>
      <c r="S25" s="11">
        <f t="shared" si="26"/>
        <v>8</v>
      </c>
      <c r="T25" s="11">
        <v>0</v>
      </c>
      <c r="U25" s="13">
        <f>IF(OR(ISBLANK(T25), T25 = ""),"",COUNTIF($S$20:$S$83,T25))</f>
        <v>6</v>
      </c>
    </row>
    <row r="26" spans="2:33" x14ac:dyDescent="0.35">
      <c r="B26" s="6">
        <v>6</v>
      </c>
      <c r="C26" s="2" t="s">
        <v>17</v>
      </c>
      <c r="D26" s="6" t="str">
        <f t="shared" si="13"/>
        <v>0</v>
      </c>
      <c r="E26" s="6" t="str">
        <f t="shared" si="14"/>
        <v>0</v>
      </c>
      <c r="F26" s="6" t="str">
        <f t="shared" si="15"/>
        <v>0</v>
      </c>
      <c r="G26" s="6" t="str">
        <f t="shared" si="16"/>
        <v>1</v>
      </c>
      <c r="H26" s="6" t="str">
        <f t="shared" si="17"/>
        <v>1</v>
      </c>
      <c r="I26" s="6" t="str">
        <f t="shared" si="18"/>
        <v>0</v>
      </c>
      <c r="J26" s="10">
        <f t="shared" si="19"/>
        <v>-1.2E-5</v>
      </c>
      <c r="K26" s="10">
        <f t="shared" si="20"/>
        <v>-3.9999999999999998E-6</v>
      </c>
      <c r="L26" s="10">
        <f t="shared" si="21"/>
        <v>-3.9999999999999998E-6</v>
      </c>
      <c r="M26" s="10">
        <f t="shared" si="22"/>
        <v>-3.9999999999999998E-6</v>
      </c>
      <c r="N26" s="11">
        <f t="shared" si="23"/>
        <v>-24</v>
      </c>
      <c r="O26" s="11">
        <v>-24</v>
      </c>
      <c r="P26" s="13">
        <f t="shared" si="25"/>
        <v>1</v>
      </c>
      <c r="R26" s="11">
        <v>-295</v>
      </c>
      <c r="S26" s="11">
        <f t="shared" si="26"/>
        <v>8</v>
      </c>
      <c r="T26" s="11">
        <v>2</v>
      </c>
      <c r="U26" s="13">
        <f t="shared" ref="U26:U83" si="27">IF(OR(ISBLANK(T26), T26 = ""),"",COUNTIF($S$20:$S$83,T26))</f>
        <v>7</v>
      </c>
    </row>
    <row r="27" spans="2:33" x14ac:dyDescent="0.35">
      <c r="B27" s="6">
        <v>7</v>
      </c>
      <c r="C27" s="2" t="s">
        <v>16</v>
      </c>
      <c r="D27" s="6" t="str">
        <f t="shared" si="13"/>
        <v>0</v>
      </c>
      <c r="E27" s="6" t="str">
        <f t="shared" si="14"/>
        <v>0</v>
      </c>
      <c r="F27" s="6" t="str">
        <f t="shared" si="15"/>
        <v>0</v>
      </c>
      <c r="G27" s="6" t="str">
        <f t="shared" si="16"/>
        <v>1</v>
      </c>
      <c r="H27" s="6" t="str">
        <f t="shared" si="17"/>
        <v>1</v>
      </c>
      <c r="I27" s="6" t="str">
        <f t="shared" si="18"/>
        <v>1</v>
      </c>
      <c r="J27" s="10">
        <f t="shared" si="19"/>
        <v>-4.0571428571428578E-5</v>
      </c>
      <c r="K27" s="10">
        <f t="shared" si="20"/>
        <v>-1.4000000000000001E-5</v>
      </c>
      <c r="L27" s="10">
        <f t="shared" si="21"/>
        <v>-6.0000000000000002E-6</v>
      </c>
      <c r="M27" s="10">
        <f t="shared" si="22"/>
        <v>-6.0000000000000002E-6</v>
      </c>
      <c r="N27" s="11">
        <f t="shared" si="23"/>
        <v>-67</v>
      </c>
      <c r="O27" s="11">
        <v>-67</v>
      </c>
      <c r="P27" s="13">
        <f t="shared" si="25"/>
        <v>1</v>
      </c>
      <c r="R27" s="11">
        <v>-287</v>
      </c>
      <c r="S27" s="11">
        <f t="shared" si="26"/>
        <v>10</v>
      </c>
      <c r="T27" s="11">
        <v>6</v>
      </c>
      <c r="U27" s="13">
        <f t="shared" si="27"/>
        <v>5</v>
      </c>
    </row>
    <row r="28" spans="2:33" x14ac:dyDescent="0.35">
      <c r="B28" s="6">
        <v>8</v>
      </c>
      <c r="C28" s="2" t="s">
        <v>19</v>
      </c>
      <c r="D28" s="6" t="str">
        <f t="shared" si="13"/>
        <v>0</v>
      </c>
      <c r="E28" s="6" t="str">
        <f t="shared" si="14"/>
        <v>0</v>
      </c>
      <c r="F28" s="6" t="str">
        <f t="shared" si="15"/>
        <v>1</v>
      </c>
      <c r="G28" s="6" t="str">
        <f t="shared" si="16"/>
        <v>0</v>
      </c>
      <c r="H28" s="6" t="str">
        <f t="shared" si="17"/>
        <v>0</v>
      </c>
      <c r="I28" s="6" t="str">
        <f t="shared" si="18"/>
        <v>0</v>
      </c>
      <c r="J28" s="10">
        <f t="shared" si="19"/>
        <v>-2.8571428571428574E-5</v>
      </c>
      <c r="K28" s="10">
        <f t="shared" si="20"/>
        <v>-2.8571428571428574E-5</v>
      </c>
      <c r="L28" s="10">
        <f t="shared" si="21"/>
        <v>-1.0000000000000001E-5</v>
      </c>
      <c r="M28" s="10">
        <f t="shared" si="22"/>
        <v>-1.0000000000000001E-5</v>
      </c>
      <c r="N28" s="11">
        <f t="shared" si="23"/>
        <v>-77</v>
      </c>
      <c r="O28" s="11">
        <v>-77</v>
      </c>
      <c r="P28" s="13">
        <f t="shared" si="25"/>
        <v>1</v>
      </c>
      <c r="R28" s="11">
        <v>-277</v>
      </c>
      <c r="S28" s="11">
        <f t="shared" si="26"/>
        <v>8</v>
      </c>
      <c r="T28" s="11" t="str">
        <v/>
      </c>
      <c r="U28" s="13" t="str">
        <f t="shared" si="27"/>
        <v/>
      </c>
    </row>
    <row r="29" spans="2:33" ht="15" customHeight="1" x14ac:dyDescent="0.35">
      <c r="B29" s="6">
        <v>9</v>
      </c>
      <c r="C29" s="2" t="s">
        <v>20</v>
      </c>
      <c r="D29" s="6" t="str">
        <f t="shared" si="13"/>
        <v>0</v>
      </c>
      <c r="E29" s="6" t="str">
        <f t="shared" si="14"/>
        <v>0</v>
      </c>
      <c r="F29" s="6" t="str">
        <f t="shared" si="15"/>
        <v>1</v>
      </c>
      <c r="G29" s="6" t="str">
        <f t="shared" si="16"/>
        <v>0</v>
      </c>
      <c r="H29" s="6" t="str">
        <f t="shared" si="17"/>
        <v>0</v>
      </c>
      <c r="I29" s="6" t="str">
        <f t="shared" si="18"/>
        <v>1</v>
      </c>
      <c r="J29" s="10">
        <f t="shared" si="19"/>
        <v>-5.7142857142857148E-5</v>
      </c>
      <c r="K29" s="10">
        <f t="shared" si="20"/>
        <v>-3.8571428571428577E-5</v>
      </c>
      <c r="L29" s="10">
        <f t="shared" si="21"/>
        <v>-1.2E-5</v>
      </c>
      <c r="M29" s="10">
        <f t="shared" si="22"/>
        <v>-1.2E-5</v>
      </c>
      <c r="N29" s="11">
        <f t="shared" si="23"/>
        <v>-120</v>
      </c>
      <c r="O29" s="11">
        <v>-120</v>
      </c>
      <c r="P29" s="13">
        <f t="shared" si="25"/>
        <v>2</v>
      </c>
      <c r="R29" s="11">
        <v>-269</v>
      </c>
      <c r="S29" s="11">
        <f t="shared" si="26"/>
        <v>8</v>
      </c>
      <c r="U29" s="13" t="str">
        <f t="shared" si="27"/>
        <v/>
      </c>
    </row>
    <row r="30" spans="2:33" ht="15" customHeight="1" x14ac:dyDescent="0.35">
      <c r="B30" s="6">
        <v>10</v>
      </c>
      <c r="C30" s="2" t="s">
        <v>20</v>
      </c>
      <c r="D30" s="6" t="str">
        <f t="shared" si="13"/>
        <v>0</v>
      </c>
      <c r="E30" s="6" t="str">
        <f t="shared" si="14"/>
        <v>0</v>
      </c>
      <c r="F30" s="6" t="str">
        <f t="shared" si="15"/>
        <v>1</v>
      </c>
      <c r="G30" s="6" t="str">
        <f t="shared" si="16"/>
        <v>0</v>
      </c>
      <c r="H30" s="6" t="str">
        <f t="shared" si="17"/>
        <v>1</v>
      </c>
      <c r="I30" s="6" t="str">
        <f t="shared" si="18"/>
        <v>0</v>
      </c>
      <c r="J30" s="10">
        <f t="shared" si="19"/>
        <v>-3.8571428571428577E-5</v>
      </c>
      <c r="K30" s="10">
        <f t="shared" si="20"/>
        <v>-3.0571428571428572E-5</v>
      </c>
      <c r="L30" s="10">
        <f t="shared" si="21"/>
        <v>-1.2E-5</v>
      </c>
      <c r="M30" s="10">
        <f t="shared" si="22"/>
        <v>-1.2E-5</v>
      </c>
      <c r="N30" s="11">
        <f t="shared" si="23"/>
        <v>-93</v>
      </c>
      <c r="O30" s="11">
        <v>-93</v>
      </c>
      <c r="P30" s="13">
        <f t="shared" si="25"/>
        <v>1</v>
      </c>
      <c r="R30" s="11">
        <v>-261</v>
      </c>
      <c r="S30" s="11">
        <f t="shared" si="26"/>
        <v>3</v>
      </c>
      <c r="U30" s="13" t="str">
        <f t="shared" si="27"/>
        <v/>
      </c>
    </row>
    <row r="31" spans="2:33" ht="15" customHeight="1" x14ac:dyDescent="0.35">
      <c r="B31" s="6">
        <v>11</v>
      </c>
      <c r="C31" s="2" t="s">
        <v>20</v>
      </c>
      <c r="D31" s="6" t="str">
        <f t="shared" si="13"/>
        <v>0</v>
      </c>
      <c r="E31" s="6" t="str">
        <f t="shared" si="14"/>
        <v>0</v>
      </c>
      <c r="F31" s="6" t="str">
        <f t="shared" si="15"/>
        <v>1</v>
      </c>
      <c r="G31" s="6" t="str">
        <f t="shared" si="16"/>
        <v>0</v>
      </c>
      <c r="H31" s="6" t="str">
        <f t="shared" si="17"/>
        <v>1</v>
      </c>
      <c r="I31" s="6" t="str">
        <f t="shared" si="18"/>
        <v>1</v>
      </c>
      <c r="J31" s="10">
        <f t="shared" si="19"/>
        <v>-6.7142857142857154E-5</v>
      </c>
      <c r="K31" s="10">
        <f t="shared" si="20"/>
        <v>-4.0571428571428571E-5</v>
      </c>
      <c r="L31" s="10">
        <f t="shared" si="21"/>
        <v>-1.4E-5</v>
      </c>
      <c r="M31" s="10">
        <f t="shared" si="22"/>
        <v>-1.4E-5</v>
      </c>
      <c r="N31" s="11">
        <f t="shared" si="23"/>
        <v>-136</v>
      </c>
      <c r="O31" s="11">
        <v>-136</v>
      </c>
      <c r="P31" s="13">
        <f t="shared" si="25"/>
        <v>1</v>
      </c>
      <c r="R31" s="11">
        <v>-258</v>
      </c>
      <c r="S31" s="11">
        <f t="shared" si="26"/>
        <v>5</v>
      </c>
      <c r="U31" s="13" t="str">
        <f t="shared" si="27"/>
        <v/>
      </c>
    </row>
    <row r="32" spans="2:33" x14ac:dyDescent="0.35">
      <c r="B32" s="6">
        <v>12</v>
      </c>
      <c r="C32" s="2" t="s">
        <v>19</v>
      </c>
      <c r="D32" s="6" t="str">
        <f t="shared" si="13"/>
        <v>0</v>
      </c>
      <c r="E32" s="6" t="str">
        <f t="shared" si="14"/>
        <v>0</v>
      </c>
      <c r="F32" s="6" t="str">
        <f t="shared" si="15"/>
        <v>1</v>
      </c>
      <c r="G32" s="6" t="str">
        <f t="shared" si="16"/>
        <v>1</v>
      </c>
      <c r="H32" s="6" t="str">
        <f t="shared" si="17"/>
        <v>0</v>
      </c>
      <c r="I32" s="6" t="str">
        <f t="shared" si="18"/>
        <v>0</v>
      </c>
      <c r="J32" s="10">
        <f t="shared" si="19"/>
        <v>-3.0571428571428572E-5</v>
      </c>
      <c r="K32" s="10">
        <f t="shared" si="20"/>
        <v>-3.0571428571428572E-5</v>
      </c>
      <c r="L32" s="10">
        <f t="shared" si="21"/>
        <v>-1.2E-5</v>
      </c>
      <c r="M32" s="10">
        <f t="shared" si="22"/>
        <v>-1.2E-5</v>
      </c>
      <c r="N32" s="11">
        <f t="shared" si="23"/>
        <v>-85</v>
      </c>
      <c r="O32" s="11">
        <v>-85</v>
      </c>
      <c r="P32" s="13">
        <f t="shared" si="25"/>
        <v>1</v>
      </c>
      <c r="R32" s="11">
        <v>-253</v>
      </c>
      <c r="S32" s="11">
        <f t="shared" si="26"/>
        <v>3</v>
      </c>
      <c r="U32" s="13" t="str">
        <f t="shared" si="27"/>
        <v/>
      </c>
    </row>
    <row r="33" spans="2:21" ht="15" customHeight="1" x14ac:dyDescent="0.35">
      <c r="B33" s="6">
        <v>13</v>
      </c>
      <c r="C33" s="2" t="s">
        <v>20</v>
      </c>
      <c r="D33" s="6" t="str">
        <f t="shared" si="13"/>
        <v>0</v>
      </c>
      <c r="E33" s="6" t="str">
        <f t="shared" si="14"/>
        <v>0</v>
      </c>
      <c r="F33" s="6" t="str">
        <f t="shared" si="15"/>
        <v>1</v>
      </c>
      <c r="G33" s="6" t="str">
        <f t="shared" si="16"/>
        <v>1</v>
      </c>
      <c r="H33" s="6" t="str">
        <f t="shared" si="17"/>
        <v>0</v>
      </c>
      <c r="I33" s="6" t="str">
        <f t="shared" si="18"/>
        <v>1</v>
      </c>
      <c r="J33" s="10">
        <f t="shared" si="19"/>
        <v>-5.914285714285715E-5</v>
      </c>
      <c r="K33" s="10">
        <f t="shared" si="20"/>
        <v>-4.0571428571428571E-5</v>
      </c>
      <c r="L33" s="10">
        <f t="shared" si="21"/>
        <v>-1.4E-5</v>
      </c>
      <c r="M33" s="10">
        <f t="shared" si="22"/>
        <v>-1.4E-5</v>
      </c>
      <c r="N33" s="11">
        <f t="shared" si="23"/>
        <v>-128</v>
      </c>
      <c r="O33" s="11">
        <v>-128</v>
      </c>
      <c r="P33" s="13">
        <f t="shared" si="25"/>
        <v>1</v>
      </c>
      <c r="R33" s="11">
        <v>-250</v>
      </c>
      <c r="S33" s="11">
        <f t="shared" si="26"/>
        <v>8</v>
      </c>
      <c r="U33" s="13" t="str">
        <f t="shared" si="27"/>
        <v/>
      </c>
    </row>
    <row r="34" spans="2:21" x14ac:dyDescent="0.35">
      <c r="B34" s="6">
        <v>14</v>
      </c>
      <c r="C34" s="2" t="s">
        <v>20</v>
      </c>
      <c r="D34" s="6" t="str">
        <f t="shared" si="13"/>
        <v>0</v>
      </c>
      <c r="E34" s="6" t="str">
        <f t="shared" si="14"/>
        <v>0</v>
      </c>
      <c r="F34" s="6" t="str">
        <f t="shared" si="15"/>
        <v>1</v>
      </c>
      <c r="G34" s="6" t="str">
        <f t="shared" si="16"/>
        <v>1</v>
      </c>
      <c r="H34" s="6" t="str">
        <f t="shared" si="17"/>
        <v>1</v>
      </c>
      <c r="I34" s="6" t="str">
        <f t="shared" si="18"/>
        <v>0</v>
      </c>
      <c r="J34" s="10">
        <f t="shared" si="19"/>
        <v>-4.0571428571428571E-5</v>
      </c>
      <c r="K34" s="10">
        <f t="shared" si="20"/>
        <v>-3.2571428571428573E-5</v>
      </c>
      <c r="L34" s="10">
        <f t="shared" si="21"/>
        <v>-1.4E-5</v>
      </c>
      <c r="M34" s="10">
        <f t="shared" si="22"/>
        <v>-1.4E-5</v>
      </c>
      <c r="N34" s="11">
        <f t="shared" si="23"/>
        <v>-101</v>
      </c>
      <c r="O34" s="11">
        <v>-101</v>
      </c>
      <c r="P34" s="13">
        <f t="shared" si="25"/>
        <v>1</v>
      </c>
      <c r="R34" s="11">
        <v>-242</v>
      </c>
      <c r="S34" s="11">
        <f t="shared" si="26"/>
        <v>3</v>
      </c>
      <c r="U34" s="13" t="str">
        <f t="shared" si="27"/>
        <v/>
      </c>
    </row>
    <row r="35" spans="2:21" x14ac:dyDescent="0.35">
      <c r="B35" s="6">
        <v>15</v>
      </c>
      <c r="C35" s="2" t="s">
        <v>16</v>
      </c>
      <c r="D35" s="6" t="str">
        <f t="shared" si="13"/>
        <v>0</v>
      </c>
      <c r="E35" s="6" t="str">
        <f t="shared" si="14"/>
        <v>0</v>
      </c>
      <c r="F35" s="6" t="str">
        <f t="shared" si="15"/>
        <v>1</v>
      </c>
      <c r="G35" s="6" t="str">
        <f t="shared" si="16"/>
        <v>1</v>
      </c>
      <c r="H35" s="6" t="str">
        <f t="shared" si="17"/>
        <v>1</v>
      </c>
      <c r="I35" s="6" t="str">
        <f t="shared" si="18"/>
        <v>1</v>
      </c>
      <c r="J35" s="10">
        <f t="shared" si="19"/>
        <v>-6.9142857142857149E-5</v>
      </c>
      <c r="K35" s="10">
        <f t="shared" si="20"/>
        <v>-4.2571428571428572E-5</v>
      </c>
      <c r="L35" s="10">
        <f t="shared" si="21"/>
        <v>-1.5999999999999999E-5</v>
      </c>
      <c r="M35" s="10">
        <f t="shared" si="22"/>
        <v>-1.5999999999999999E-5</v>
      </c>
      <c r="N35" s="11">
        <f t="shared" si="23"/>
        <v>-144</v>
      </c>
      <c r="O35" s="11">
        <v>-144</v>
      </c>
      <c r="P35" s="13">
        <f t="shared" si="25"/>
        <v>1</v>
      </c>
      <c r="R35" s="11">
        <v>-239</v>
      </c>
      <c r="S35" s="11">
        <f t="shared" si="26"/>
        <v>5</v>
      </c>
      <c r="U35" s="13" t="str">
        <f t="shared" si="27"/>
        <v/>
      </c>
    </row>
    <row r="36" spans="2:21" x14ac:dyDescent="0.35">
      <c r="B36" s="6">
        <v>16</v>
      </c>
      <c r="C36" s="2" t="s">
        <v>21</v>
      </c>
      <c r="D36" s="6" t="str">
        <f t="shared" si="13"/>
        <v>0</v>
      </c>
      <c r="E36" s="6" t="str">
        <f t="shared" si="14"/>
        <v>1</v>
      </c>
      <c r="F36" s="6" t="str">
        <f t="shared" si="15"/>
        <v>0</v>
      </c>
      <c r="G36" s="6" t="str">
        <f t="shared" si="16"/>
        <v>0</v>
      </c>
      <c r="H36" s="6" t="str">
        <f t="shared" si="17"/>
        <v>0</v>
      </c>
      <c r="I36" s="6" t="str">
        <f t="shared" si="18"/>
        <v>0</v>
      </c>
      <c r="J36" s="10">
        <f t="shared" si="19"/>
        <v>-2.8571428571428574E-5</v>
      </c>
      <c r="K36" s="10">
        <f t="shared" si="20"/>
        <v>-2.8571428571428574E-5</v>
      </c>
      <c r="L36" s="10">
        <f t="shared" si="21"/>
        <v>-2.8571428571428574E-5</v>
      </c>
      <c r="M36" s="10">
        <f t="shared" si="22"/>
        <v>-1.0000000000000001E-5</v>
      </c>
      <c r="N36" s="11">
        <f t="shared" si="23"/>
        <v>-96</v>
      </c>
      <c r="O36" s="11">
        <v>-96</v>
      </c>
      <c r="P36" s="13">
        <f t="shared" si="25"/>
        <v>1</v>
      </c>
      <c r="R36" s="11">
        <v>-234</v>
      </c>
      <c r="S36" s="11">
        <f t="shared" si="26"/>
        <v>0</v>
      </c>
      <c r="U36" s="13" t="str">
        <f t="shared" si="27"/>
        <v/>
      </c>
    </row>
    <row r="37" spans="2:21" ht="15" customHeight="1" x14ac:dyDescent="0.35">
      <c r="B37" s="6">
        <v>17</v>
      </c>
      <c r="C37" s="2" t="s">
        <v>20</v>
      </c>
      <c r="D37" s="6" t="str">
        <f t="shared" si="13"/>
        <v>0</v>
      </c>
      <c r="E37" s="6" t="str">
        <f t="shared" si="14"/>
        <v>1</v>
      </c>
      <c r="F37" s="6" t="str">
        <f t="shared" si="15"/>
        <v>0</v>
      </c>
      <c r="G37" s="6" t="str">
        <f t="shared" si="16"/>
        <v>0</v>
      </c>
      <c r="H37" s="6" t="str">
        <f t="shared" si="17"/>
        <v>0</v>
      </c>
      <c r="I37" s="6" t="str">
        <f t="shared" si="18"/>
        <v>1</v>
      </c>
      <c r="J37" s="10">
        <f t="shared" si="19"/>
        <v>-5.7142857142857148E-5</v>
      </c>
      <c r="K37" s="10">
        <f t="shared" si="20"/>
        <v>-3.8571428571428577E-5</v>
      </c>
      <c r="L37" s="10">
        <f t="shared" si="21"/>
        <v>-3.0571428571428572E-5</v>
      </c>
      <c r="M37" s="10">
        <f t="shared" si="22"/>
        <v>-1.2E-5</v>
      </c>
      <c r="N37" s="11">
        <f t="shared" si="23"/>
        <v>-138</v>
      </c>
      <c r="O37" s="11">
        <v>-138</v>
      </c>
      <c r="P37" s="13">
        <f t="shared" si="25"/>
        <v>2</v>
      </c>
      <c r="R37" s="11">
        <v>-234</v>
      </c>
      <c r="S37" s="11">
        <f t="shared" si="26"/>
        <v>3</v>
      </c>
      <c r="U37" s="13" t="str">
        <f t="shared" si="27"/>
        <v/>
      </c>
    </row>
    <row r="38" spans="2:21" ht="15" customHeight="1" x14ac:dyDescent="0.35">
      <c r="B38" s="6">
        <v>18</v>
      </c>
      <c r="C38" s="2" t="s">
        <v>20</v>
      </c>
      <c r="D38" s="6" t="str">
        <f t="shared" si="13"/>
        <v>0</v>
      </c>
      <c r="E38" s="6" t="str">
        <f t="shared" si="14"/>
        <v>1</v>
      </c>
      <c r="F38" s="6" t="str">
        <f t="shared" si="15"/>
        <v>0</v>
      </c>
      <c r="G38" s="6" t="str">
        <f t="shared" si="16"/>
        <v>0</v>
      </c>
      <c r="H38" s="6" t="str">
        <f t="shared" si="17"/>
        <v>1</v>
      </c>
      <c r="I38" s="6" t="str">
        <f t="shared" si="18"/>
        <v>0</v>
      </c>
      <c r="J38" s="10">
        <f t="shared" si="19"/>
        <v>-3.8571428571428577E-5</v>
      </c>
      <c r="K38" s="10">
        <f t="shared" si="20"/>
        <v>-3.0571428571428572E-5</v>
      </c>
      <c r="L38" s="10">
        <f t="shared" si="21"/>
        <v>-3.0571428571428572E-5</v>
      </c>
      <c r="M38" s="10">
        <f t="shared" si="22"/>
        <v>-1.2E-5</v>
      </c>
      <c r="N38" s="11">
        <f t="shared" si="23"/>
        <v>-112</v>
      </c>
      <c r="O38" s="11">
        <v>-112</v>
      </c>
      <c r="P38" s="13">
        <f t="shared" si="25"/>
        <v>1</v>
      </c>
      <c r="R38" s="11">
        <v>-231</v>
      </c>
      <c r="S38" s="11">
        <f t="shared" si="26"/>
        <v>5</v>
      </c>
      <c r="U38" s="13" t="str">
        <f t="shared" si="27"/>
        <v/>
      </c>
    </row>
    <row r="39" spans="2:21" ht="15" customHeight="1" x14ac:dyDescent="0.35">
      <c r="B39" s="6">
        <v>19</v>
      </c>
      <c r="C39" s="2" t="s">
        <v>20</v>
      </c>
      <c r="D39" s="6" t="str">
        <f t="shared" si="13"/>
        <v>0</v>
      </c>
      <c r="E39" s="6" t="str">
        <f t="shared" si="14"/>
        <v>1</v>
      </c>
      <c r="F39" s="6" t="str">
        <f t="shared" si="15"/>
        <v>0</v>
      </c>
      <c r="G39" s="6" t="str">
        <f t="shared" si="16"/>
        <v>0</v>
      </c>
      <c r="H39" s="6" t="str">
        <f t="shared" si="17"/>
        <v>1</v>
      </c>
      <c r="I39" s="6" t="str">
        <f t="shared" si="18"/>
        <v>1</v>
      </c>
      <c r="J39" s="10">
        <f t="shared" si="19"/>
        <v>-6.7142857142857154E-5</v>
      </c>
      <c r="K39" s="10">
        <f t="shared" si="20"/>
        <v>-4.0571428571428571E-5</v>
      </c>
      <c r="L39" s="10">
        <f t="shared" si="21"/>
        <v>-3.2571428571428573E-5</v>
      </c>
      <c r="M39" s="10">
        <f t="shared" si="22"/>
        <v>-1.4E-5</v>
      </c>
      <c r="N39" s="11">
        <f t="shared" si="23"/>
        <v>-154</v>
      </c>
      <c r="O39" s="11">
        <v>-154</v>
      </c>
      <c r="P39" s="13">
        <f t="shared" si="25"/>
        <v>1</v>
      </c>
      <c r="R39" s="11">
        <v>-226</v>
      </c>
      <c r="S39" s="11">
        <f t="shared" si="26"/>
        <v>3</v>
      </c>
      <c r="U39" s="13" t="str">
        <f t="shared" si="27"/>
        <v/>
      </c>
    </row>
    <row r="40" spans="2:21" ht="15" customHeight="1" x14ac:dyDescent="0.35">
      <c r="B40" s="6">
        <v>20</v>
      </c>
      <c r="C40" s="2" t="s">
        <v>20</v>
      </c>
      <c r="D40" s="6" t="str">
        <f t="shared" si="13"/>
        <v>0</v>
      </c>
      <c r="E40" s="6" t="str">
        <f t="shared" si="14"/>
        <v>1</v>
      </c>
      <c r="F40" s="6" t="str">
        <f t="shared" si="15"/>
        <v>0</v>
      </c>
      <c r="G40" s="6" t="str">
        <f t="shared" si="16"/>
        <v>1</v>
      </c>
      <c r="H40" s="6" t="str">
        <f t="shared" si="17"/>
        <v>0</v>
      </c>
      <c r="I40" s="6" t="str">
        <f t="shared" si="18"/>
        <v>0</v>
      </c>
      <c r="J40" s="10">
        <f t="shared" si="19"/>
        <v>-3.0571428571428572E-5</v>
      </c>
      <c r="K40" s="10">
        <f t="shared" si="20"/>
        <v>-3.0571428571428572E-5</v>
      </c>
      <c r="L40" s="10">
        <f t="shared" si="21"/>
        <v>-3.0571428571428572E-5</v>
      </c>
      <c r="M40" s="10">
        <f t="shared" si="22"/>
        <v>-1.2E-5</v>
      </c>
      <c r="N40" s="11">
        <f t="shared" si="23"/>
        <v>-104</v>
      </c>
      <c r="O40" s="11">
        <v>-104</v>
      </c>
      <c r="P40" s="13">
        <f t="shared" si="25"/>
        <v>1</v>
      </c>
      <c r="R40" s="11">
        <v>-223</v>
      </c>
      <c r="S40" s="11">
        <f t="shared" si="26"/>
        <v>5</v>
      </c>
      <c r="U40" s="13" t="str">
        <f t="shared" si="27"/>
        <v/>
      </c>
    </row>
    <row r="41" spans="2:21" ht="15" customHeight="1" x14ac:dyDescent="0.35">
      <c r="B41" s="6">
        <v>21</v>
      </c>
      <c r="C41" s="2" t="s">
        <v>20</v>
      </c>
      <c r="D41" s="6" t="str">
        <f t="shared" si="13"/>
        <v>0</v>
      </c>
      <c r="E41" s="6" t="str">
        <f t="shared" si="14"/>
        <v>1</v>
      </c>
      <c r="F41" s="6" t="str">
        <f t="shared" si="15"/>
        <v>0</v>
      </c>
      <c r="G41" s="6" t="str">
        <f t="shared" si="16"/>
        <v>1</v>
      </c>
      <c r="H41" s="6" t="str">
        <f t="shared" si="17"/>
        <v>0</v>
      </c>
      <c r="I41" s="6" t="str">
        <f t="shared" si="18"/>
        <v>1</v>
      </c>
      <c r="J41" s="10">
        <f t="shared" si="19"/>
        <v>-5.914285714285715E-5</v>
      </c>
      <c r="K41" s="10">
        <f t="shared" si="20"/>
        <v>-4.0571428571428571E-5</v>
      </c>
      <c r="L41" s="10">
        <f t="shared" si="21"/>
        <v>-3.2571428571428573E-5</v>
      </c>
      <c r="M41" s="10">
        <f t="shared" si="22"/>
        <v>-1.4E-5</v>
      </c>
      <c r="N41" s="11">
        <f t="shared" si="23"/>
        <v>-146</v>
      </c>
      <c r="O41" s="11">
        <v>-146</v>
      </c>
      <c r="P41" s="13">
        <f t="shared" si="25"/>
        <v>1</v>
      </c>
      <c r="R41" s="11">
        <v>-218</v>
      </c>
      <c r="S41" s="11">
        <f t="shared" si="26"/>
        <v>3</v>
      </c>
      <c r="U41" s="13" t="str">
        <f t="shared" si="27"/>
        <v/>
      </c>
    </row>
    <row r="42" spans="2:21" ht="15" customHeight="1" x14ac:dyDescent="0.35">
      <c r="B42" s="6">
        <v>22</v>
      </c>
      <c r="C42" s="2" t="s">
        <v>20</v>
      </c>
      <c r="D42" s="6" t="str">
        <f t="shared" si="13"/>
        <v>0</v>
      </c>
      <c r="E42" s="6" t="str">
        <f t="shared" si="14"/>
        <v>1</v>
      </c>
      <c r="F42" s="6" t="str">
        <f t="shared" si="15"/>
        <v>0</v>
      </c>
      <c r="G42" s="6" t="str">
        <f t="shared" si="16"/>
        <v>1</v>
      </c>
      <c r="H42" s="6" t="str">
        <f t="shared" si="17"/>
        <v>1</v>
      </c>
      <c r="I42" s="6" t="str">
        <f t="shared" si="18"/>
        <v>0</v>
      </c>
      <c r="J42" s="10">
        <f t="shared" si="19"/>
        <v>-4.0571428571428571E-5</v>
      </c>
      <c r="K42" s="10">
        <f t="shared" si="20"/>
        <v>-3.2571428571428573E-5</v>
      </c>
      <c r="L42" s="10">
        <f t="shared" si="21"/>
        <v>-3.2571428571428573E-5</v>
      </c>
      <c r="M42" s="10">
        <f t="shared" si="22"/>
        <v>-1.4E-5</v>
      </c>
      <c r="N42" s="11">
        <f t="shared" si="23"/>
        <v>-120</v>
      </c>
      <c r="O42" s="11">
        <v>-162</v>
      </c>
      <c r="P42" s="13">
        <f t="shared" ref="P42:P78" si="28">IF(ISBLANK(O42), "", COUNTIF($L$20:$L$83,O42))</f>
        <v>0</v>
      </c>
      <c r="R42" s="11">
        <v>-215</v>
      </c>
      <c r="S42" s="11">
        <f t="shared" si="26"/>
        <v>0</v>
      </c>
      <c r="U42" s="13" t="str">
        <f t="shared" si="27"/>
        <v/>
      </c>
    </row>
    <row r="43" spans="2:21" ht="15" customHeight="1" x14ac:dyDescent="0.35">
      <c r="B43" s="6">
        <v>23</v>
      </c>
      <c r="C43" s="2" t="s">
        <v>20</v>
      </c>
      <c r="D43" s="6" t="str">
        <f t="shared" si="13"/>
        <v>0</v>
      </c>
      <c r="E43" s="6" t="str">
        <f t="shared" si="14"/>
        <v>1</v>
      </c>
      <c r="F43" s="6" t="str">
        <f t="shared" si="15"/>
        <v>0</v>
      </c>
      <c r="G43" s="6" t="str">
        <f t="shared" si="16"/>
        <v>1</v>
      </c>
      <c r="H43" s="6" t="str">
        <f t="shared" si="17"/>
        <v>1</v>
      </c>
      <c r="I43" s="6" t="str">
        <f t="shared" si="18"/>
        <v>1</v>
      </c>
      <c r="J43" s="10">
        <f t="shared" si="19"/>
        <v>-6.9142857142857149E-5</v>
      </c>
      <c r="K43" s="10">
        <f t="shared" si="20"/>
        <v>-4.2571428571428572E-5</v>
      </c>
      <c r="L43" s="10">
        <f t="shared" si="21"/>
        <v>-3.4571428571428574E-5</v>
      </c>
      <c r="M43" s="10">
        <f t="shared" si="22"/>
        <v>-1.5999999999999999E-5</v>
      </c>
      <c r="N43" s="11">
        <f t="shared" si="23"/>
        <v>-162</v>
      </c>
      <c r="O43" s="11">
        <v>-173</v>
      </c>
      <c r="P43" s="13">
        <f t="shared" si="28"/>
        <v>0</v>
      </c>
      <c r="R43" s="11">
        <v>-215</v>
      </c>
      <c r="S43" s="11">
        <f t="shared" si="26"/>
        <v>5</v>
      </c>
      <c r="U43" s="13" t="str">
        <f t="shared" si="27"/>
        <v/>
      </c>
    </row>
    <row r="44" spans="2:21" x14ac:dyDescent="0.35">
      <c r="B44" s="6">
        <v>24</v>
      </c>
      <c r="C44" s="2" t="s">
        <v>21</v>
      </c>
      <c r="D44" s="6" t="str">
        <f t="shared" si="13"/>
        <v>0</v>
      </c>
      <c r="E44" s="6" t="str">
        <f t="shared" si="14"/>
        <v>1</v>
      </c>
      <c r="F44" s="6" t="str">
        <f t="shared" si="15"/>
        <v>1</v>
      </c>
      <c r="G44" s="6" t="str">
        <f t="shared" si="16"/>
        <v>0</v>
      </c>
      <c r="H44" s="6" t="str">
        <f t="shared" si="17"/>
        <v>0</v>
      </c>
      <c r="I44" s="6" t="str">
        <f t="shared" si="18"/>
        <v>0</v>
      </c>
      <c r="J44" s="10">
        <f t="shared" si="19"/>
        <v>-5.7142857142857148E-5</v>
      </c>
      <c r="K44" s="10">
        <f t="shared" si="20"/>
        <v>-5.7142857142857148E-5</v>
      </c>
      <c r="L44" s="10">
        <f t="shared" si="21"/>
        <v>-3.8571428571428577E-5</v>
      </c>
      <c r="M44" s="10">
        <f t="shared" si="22"/>
        <v>-2.0000000000000002E-5</v>
      </c>
      <c r="N44" s="11">
        <f t="shared" si="23"/>
        <v>-173</v>
      </c>
      <c r="O44" s="11">
        <v>-215</v>
      </c>
      <c r="P44" s="13">
        <f t="shared" si="28"/>
        <v>0</v>
      </c>
      <c r="R44" s="11">
        <v>-210</v>
      </c>
      <c r="S44" s="11">
        <f t="shared" si="26"/>
        <v>3</v>
      </c>
      <c r="U44" s="13" t="str">
        <f t="shared" si="27"/>
        <v/>
      </c>
    </row>
    <row r="45" spans="2:21" ht="15" customHeight="1" x14ac:dyDescent="0.35">
      <c r="B45" s="6">
        <v>25</v>
      </c>
      <c r="C45" s="2" t="s">
        <v>20</v>
      </c>
      <c r="D45" s="6" t="str">
        <f t="shared" si="13"/>
        <v>0</v>
      </c>
      <c r="E45" s="6" t="str">
        <f t="shared" si="14"/>
        <v>1</v>
      </c>
      <c r="F45" s="6" t="str">
        <f t="shared" si="15"/>
        <v>1</v>
      </c>
      <c r="G45" s="6" t="str">
        <f t="shared" si="16"/>
        <v>0</v>
      </c>
      <c r="H45" s="6" t="str">
        <f t="shared" si="17"/>
        <v>0</v>
      </c>
      <c r="I45" s="6" t="str">
        <f t="shared" si="18"/>
        <v>1</v>
      </c>
      <c r="J45" s="10">
        <f t="shared" si="19"/>
        <v>-8.5714285714285726E-5</v>
      </c>
      <c r="K45" s="10">
        <f t="shared" si="20"/>
        <v>-6.7142857142857154E-5</v>
      </c>
      <c r="L45" s="10">
        <f t="shared" si="21"/>
        <v>-4.0571428571428578E-5</v>
      </c>
      <c r="M45" s="10">
        <f t="shared" si="22"/>
        <v>-2.2000000000000003E-5</v>
      </c>
      <c r="N45" s="11">
        <f t="shared" si="23"/>
        <v>-215</v>
      </c>
      <c r="O45" s="11">
        <v>-189</v>
      </c>
      <c r="P45" s="13">
        <f t="shared" si="28"/>
        <v>0</v>
      </c>
      <c r="R45" s="11">
        <v>-207</v>
      </c>
      <c r="S45" s="11">
        <f t="shared" si="26"/>
        <v>8</v>
      </c>
      <c r="U45" s="13" t="str">
        <f t="shared" si="27"/>
        <v/>
      </c>
    </row>
    <row r="46" spans="2:21" ht="15" customHeight="1" x14ac:dyDescent="0.35">
      <c r="B46" s="6">
        <v>26</v>
      </c>
      <c r="C46" s="2" t="s">
        <v>20</v>
      </c>
      <c r="D46" s="6" t="str">
        <f t="shared" si="13"/>
        <v>0</v>
      </c>
      <c r="E46" s="6" t="str">
        <f t="shared" si="14"/>
        <v>1</v>
      </c>
      <c r="F46" s="6" t="str">
        <f t="shared" si="15"/>
        <v>1</v>
      </c>
      <c r="G46" s="6" t="str">
        <f t="shared" si="16"/>
        <v>0</v>
      </c>
      <c r="H46" s="6" t="str">
        <f t="shared" si="17"/>
        <v>1</v>
      </c>
      <c r="I46" s="6" t="str">
        <f t="shared" si="18"/>
        <v>0</v>
      </c>
      <c r="J46" s="10">
        <f t="shared" si="19"/>
        <v>-6.7142857142857154E-5</v>
      </c>
      <c r="K46" s="10">
        <f t="shared" si="20"/>
        <v>-5.914285714285715E-5</v>
      </c>
      <c r="L46" s="10">
        <f t="shared" si="21"/>
        <v>-4.0571428571428578E-5</v>
      </c>
      <c r="M46" s="10">
        <f t="shared" si="22"/>
        <v>-2.2000000000000003E-5</v>
      </c>
      <c r="N46" s="11">
        <f t="shared" si="23"/>
        <v>-189</v>
      </c>
      <c r="O46" s="11">
        <v>-231</v>
      </c>
      <c r="P46" s="13">
        <f t="shared" si="28"/>
        <v>0</v>
      </c>
      <c r="R46" s="11">
        <v>-199</v>
      </c>
      <c r="S46" s="11">
        <f t="shared" si="26"/>
        <v>2</v>
      </c>
      <c r="U46" s="13" t="str">
        <f t="shared" si="27"/>
        <v/>
      </c>
    </row>
    <row r="47" spans="2:21" ht="15" customHeight="1" x14ac:dyDescent="0.35">
      <c r="B47" s="6">
        <v>27</v>
      </c>
      <c r="C47" s="2" t="s">
        <v>20</v>
      </c>
      <c r="D47" s="6" t="str">
        <f t="shared" si="13"/>
        <v>0</v>
      </c>
      <c r="E47" s="6" t="str">
        <f t="shared" si="14"/>
        <v>1</v>
      </c>
      <c r="F47" s="6" t="str">
        <f t="shared" si="15"/>
        <v>1</v>
      </c>
      <c r="G47" s="6" t="str">
        <f t="shared" si="16"/>
        <v>0</v>
      </c>
      <c r="H47" s="6" t="str">
        <f t="shared" si="17"/>
        <v>1</v>
      </c>
      <c r="I47" s="6" t="str">
        <f t="shared" si="18"/>
        <v>1</v>
      </c>
      <c r="J47" s="10">
        <f t="shared" si="19"/>
        <v>-9.5714285714285725E-5</v>
      </c>
      <c r="K47" s="10">
        <f t="shared" si="20"/>
        <v>-6.9142857142857149E-5</v>
      </c>
      <c r="L47" s="10">
        <f t="shared" si="21"/>
        <v>-4.2571428571428579E-5</v>
      </c>
      <c r="M47" s="10">
        <f t="shared" si="22"/>
        <v>-2.4000000000000004E-5</v>
      </c>
      <c r="N47" s="11">
        <f t="shared" si="23"/>
        <v>-231</v>
      </c>
      <c r="O47" s="11">
        <v>-181</v>
      </c>
      <c r="P47" s="13">
        <f t="shared" si="28"/>
        <v>0</v>
      </c>
      <c r="R47" s="11">
        <v>-197</v>
      </c>
      <c r="S47" s="11">
        <f t="shared" si="26"/>
        <v>6</v>
      </c>
      <c r="U47" s="13" t="str">
        <f t="shared" si="27"/>
        <v/>
      </c>
    </row>
    <row r="48" spans="2:21" x14ac:dyDescent="0.35">
      <c r="B48" s="6">
        <v>28</v>
      </c>
      <c r="C48" s="2" t="s">
        <v>21</v>
      </c>
      <c r="D48" s="6" t="str">
        <f t="shared" si="13"/>
        <v>0</v>
      </c>
      <c r="E48" s="6" t="str">
        <f t="shared" si="14"/>
        <v>1</v>
      </c>
      <c r="F48" s="6" t="str">
        <f t="shared" si="15"/>
        <v>1</v>
      </c>
      <c r="G48" s="6" t="str">
        <f t="shared" si="16"/>
        <v>1</v>
      </c>
      <c r="H48" s="6" t="str">
        <f t="shared" si="17"/>
        <v>0</v>
      </c>
      <c r="I48" s="6" t="str">
        <f t="shared" si="18"/>
        <v>0</v>
      </c>
      <c r="J48" s="10">
        <f t="shared" si="19"/>
        <v>-5.914285714285715E-5</v>
      </c>
      <c r="K48" s="10">
        <f t="shared" si="20"/>
        <v>-5.914285714285715E-5</v>
      </c>
      <c r="L48" s="10">
        <f t="shared" si="21"/>
        <v>-4.0571428571428578E-5</v>
      </c>
      <c r="M48" s="10">
        <f t="shared" si="22"/>
        <v>-2.2000000000000003E-5</v>
      </c>
      <c r="N48" s="11">
        <f t="shared" si="23"/>
        <v>-181</v>
      </c>
      <c r="O48" s="11">
        <v>-223</v>
      </c>
      <c r="P48" s="13">
        <f t="shared" si="28"/>
        <v>0</v>
      </c>
      <c r="R48" s="11">
        <v>-191</v>
      </c>
      <c r="S48" s="11">
        <f t="shared" si="26"/>
        <v>2</v>
      </c>
      <c r="U48" s="13" t="str">
        <f t="shared" si="27"/>
        <v/>
      </c>
    </row>
    <row r="49" spans="2:21" ht="15" customHeight="1" x14ac:dyDescent="0.35">
      <c r="B49" s="6">
        <v>29</v>
      </c>
      <c r="C49" s="2" t="s">
        <v>20</v>
      </c>
      <c r="D49" s="6" t="str">
        <f t="shared" si="13"/>
        <v>0</v>
      </c>
      <c r="E49" s="6" t="str">
        <f t="shared" si="14"/>
        <v>1</v>
      </c>
      <c r="F49" s="6" t="str">
        <f t="shared" si="15"/>
        <v>1</v>
      </c>
      <c r="G49" s="6" t="str">
        <f t="shared" si="16"/>
        <v>1</v>
      </c>
      <c r="H49" s="6" t="str">
        <f t="shared" si="17"/>
        <v>0</v>
      </c>
      <c r="I49" s="6" t="str">
        <f t="shared" si="18"/>
        <v>1</v>
      </c>
      <c r="J49" s="10">
        <f t="shared" si="19"/>
        <v>-8.7714285714285721E-5</v>
      </c>
      <c r="K49" s="10">
        <f t="shared" si="20"/>
        <v>-6.9142857142857149E-5</v>
      </c>
      <c r="L49" s="10">
        <f t="shared" si="21"/>
        <v>-4.2571428571428579E-5</v>
      </c>
      <c r="M49" s="10">
        <f t="shared" si="22"/>
        <v>-2.4000000000000004E-5</v>
      </c>
      <c r="N49" s="11">
        <f t="shared" si="23"/>
        <v>-223</v>
      </c>
      <c r="O49" s="11">
        <v>-197</v>
      </c>
      <c r="P49" s="13">
        <f t="shared" si="28"/>
        <v>0</v>
      </c>
      <c r="R49" s="11">
        <v>-189</v>
      </c>
      <c r="S49" s="11">
        <f t="shared" si="26"/>
        <v>8</v>
      </c>
      <c r="U49" s="13" t="str">
        <f t="shared" si="27"/>
        <v/>
      </c>
    </row>
    <row r="50" spans="2:21" ht="15" customHeight="1" x14ac:dyDescent="0.35">
      <c r="B50" s="6">
        <v>30</v>
      </c>
      <c r="C50" s="2" t="s">
        <v>20</v>
      </c>
      <c r="D50" s="6" t="str">
        <f t="shared" si="13"/>
        <v>0</v>
      </c>
      <c r="E50" s="6" t="str">
        <f t="shared" si="14"/>
        <v>1</v>
      </c>
      <c r="F50" s="6" t="str">
        <f t="shared" si="15"/>
        <v>1</v>
      </c>
      <c r="G50" s="6" t="str">
        <f t="shared" si="16"/>
        <v>1</v>
      </c>
      <c r="H50" s="6" t="str">
        <f t="shared" si="17"/>
        <v>1</v>
      </c>
      <c r="I50" s="6" t="str">
        <f t="shared" si="18"/>
        <v>0</v>
      </c>
      <c r="J50" s="10">
        <f t="shared" si="19"/>
        <v>-6.9142857142857149E-5</v>
      </c>
      <c r="K50" s="10">
        <f t="shared" si="20"/>
        <v>-6.1142857142857144E-5</v>
      </c>
      <c r="L50" s="10">
        <f t="shared" si="21"/>
        <v>-4.2571428571428579E-5</v>
      </c>
      <c r="M50" s="10">
        <f t="shared" si="22"/>
        <v>-2.4000000000000004E-5</v>
      </c>
      <c r="N50" s="11">
        <f t="shared" si="23"/>
        <v>-197</v>
      </c>
      <c r="O50" s="11">
        <v>-239</v>
      </c>
      <c r="P50" s="13">
        <f t="shared" si="28"/>
        <v>0</v>
      </c>
      <c r="R50" s="11">
        <v>-181</v>
      </c>
      <c r="S50" s="11">
        <f t="shared" si="26"/>
        <v>0</v>
      </c>
      <c r="U50" s="13" t="str">
        <f t="shared" si="27"/>
        <v/>
      </c>
    </row>
    <row r="51" spans="2:21" x14ac:dyDescent="0.35">
      <c r="B51" s="6">
        <v>31</v>
      </c>
      <c r="C51" s="2" t="s">
        <v>16</v>
      </c>
      <c r="D51" s="6" t="str">
        <f t="shared" si="13"/>
        <v>0</v>
      </c>
      <c r="E51" s="6" t="str">
        <f t="shared" si="14"/>
        <v>1</v>
      </c>
      <c r="F51" s="6" t="str">
        <f t="shared" si="15"/>
        <v>1</v>
      </c>
      <c r="G51" s="6" t="str">
        <f t="shared" si="16"/>
        <v>1</v>
      </c>
      <c r="H51" s="6" t="str">
        <f t="shared" si="17"/>
        <v>1</v>
      </c>
      <c r="I51" s="6" t="str">
        <f t="shared" si="18"/>
        <v>1</v>
      </c>
      <c r="J51" s="10">
        <f t="shared" si="19"/>
        <v>-9.771428571428572E-5</v>
      </c>
      <c r="K51" s="10">
        <f t="shared" si="20"/>
        <v>-7.1142857142857143E-5</v>
      </c>
      <c r="L51" s="10">
        <f t="shared" si="21"/>
        <v>-4.457142857142858E-5</v>
      </c>
      <c r="M51" s="10">
        <f t="shared" si="22"/>
        <v>-2.6000000000000005E-5</v>
      </c>
      <c r="N51" s="11">
        <f t="shared" si="23"/>
        <v>-239</v>
      </c>
      <c r="O51" s="11">
        <v>-114</v>
      </c>
      <c r="P51" s="13">
        <f t="shared" si="28"/>
        <v>0</v>
      </c>
      <c r="R51" s="11">
        <v>-181</v>
      </c>
      <c r="S51" s="11">
        <f t="shared" si="26"/>
        <v>8</v>
      </c>
      <c r="U51" s="13" t="str">
        <f t="shared" si="27"/>
        <v/>
      </c>
    </row>
    <row r="52" spans="2:21" x14ac:dyDescent="0.35">
      <c r="B52" s="6">
        <v>32</v>
      </c>
      <c r="C52" s="2" t="s">
        <v>22</v>
      </c>
      <c r="D52" s="6" t="str">
        <f t="shared" ref="D52:D83" si="29">LEFT(RIGHT(DEC2BIN($B52,6),6),1)</f>
        <v>1</v>
      </c>
      <c r="E52" s="6" t="str">
        <f t="shared" ref="E52:E83" si="30">LEFT(RIGHT(DEC2BIN($B52,6),5),1)</f>
        <v>0</v>
      </c>
      <c r="F52" s="6" t="str">
        <f t="shared" ref="F52:F83" si="31">LEFT(RIGHT(DEC2BIN($B52,6),4),1)</f>
        <v>0</v>
      </c>
      <c r="G52" s="6" t="str">
        <f t="shared" ref="G52:G83" si="32">LEFT(RIGHT(DEC2BIN($B52,6),3),1)</f>
        <v>0</v>
      </c>
      <c r="H52" s="6" t="str">
        <f t="shared" ref="H52:H83" si="33">LEFT(RIGHT(DEC2BIN($B52,6),2),1)</f>
        <v>0</v>
      </c>
      <c r="I52" s="6" t="str">
        <f t="shared" ref="I52:I83" si="34">LEFT(RIGHT(DEC2BIN($B52,6),1),1)</f>
        <v>0</v>
      </c>
      <c r="J52" s="10">
        <f t="shared" ref="J52:J83" si="35">(($D52*$E$11)+($E52*$E$12)+($F52*$E$13)+($G52*$E$14)+($H52*$E$15)+($I52*$E$16))</f>
        <v>-2.8571428571428574E-5</v>
      </c>
      <c r="K52" s="10">
        <f t="shared" ref="K52:K83" si="36">(($D52*$F$11)+($E52*$F$12)+($F52*$F$13)+($G52*$F$14)+($H52*$F$15)+($I52*$F$16))</f>
        <v>-2.8571428571428574E-5</v>
      </c>
      <c r="L52" s="10">
        <f t="shared" ref="L52:L83" si="37">(($D52*$G$11)+($E52*$G$12)+($F52*$G$13)+($G52*$G$14)+($H52*$G$15)+($I52*$G$16))</f>
        <v>-2.8571428571428574E-5</v>
      </c>
      <c r="M52" s="10">
        <f t="shared" ref="M52:M83" si="38">(($D52*$H$11)+($E52*$H$12)+($F52*$H$13)+($G52*$H$14)+($H52*$H$15)+($I52*$H$16))</f>
        <v>-2.8571428571428574E-5</v>
      </c>
      <c r="N52" s="11">
        <f t="shared" ref="N52:N83" si="39">ROUND(( J52+K52+L52+M52)*1000000, 0)</f>
        <v>-114</v>
      </c>
      <c r="O52" s="11">
        <v>-157</v>
      </c>
      <c r="P52" s="13">
        <f t="shared" si="28"/>
        <v>0</v>
      </c>
      <c r="R52" s="11">
        <v>-173</v>
      </c>
      <c r="S52" s="11">
        <f t="shared" si="26"/>
        <v>0</v>
      </c>
      <c r="U52" s="13" t="str">
        <f t="shared" si="27"/>
        <v/>
      </c>
    </row>
    <row r="53" spans="2:21" x14ac:dyDescent="0.35">
      <c r="B53" s="6">
        <v>33</v>
      </c>
      <c r="C53" s="2" t="s">
        <v>22</v>
      </c>
      <c r="D53" s="6" t="str">
        <f t="shared" si="29"/>
        <v>1</v>
      </c>
      <c r="E53" s="6" t="str">
        <f t="shared" si="30"/>
        <v>0</v>
      </c>
      <c r="F53" s="6" t="str">
        <f t="shared" si="31"/>
        <v>0</v>
      </c>
      <c r="G53" s="6" t="str">
        <f t="shared" si="32"/>
        <v>0</v>
      </c>
      <c r="H53" s="6" t="str">
        <f t="shared" si="33"/>
        <v>0</v>
      </c>
      <c r="I53" s="6" t="str">
        <f t="shared" si="34"/>
        <v>1</v>
      </c>
      <c r="J53" s="10">
        <f t="shared" si="35"/>
        <v>-5.7142857142857148E-5</v>
      </c>
      <c r="K53" s="10">
        <f t="shared" si="36"/>
        <v>-3.8571428571428577E-5</v>
      </c>
      <c r="L53" s="10">
        <f t="shared" si="37"/>
        <v>-3.0571428571428572E-5</v>
      </c>
      <c r="M53" s="10">
        <f t="shared" si="38"/>
        <v>-3.0571428571428572E-5</v>
      </c>
      <c r="N53" s="11">
        <f t="shared" si="39"/>
        <v>-157</v>
      </c>
      <c r="O53" s="11">
        <v>-130</v>
      </c>
      <c r="P53" s="13">
        <f t="shared" si="28"/>
        <v>0</v>
      </c>
      <c r="R53" s="11">
        <v>-173</v>
      </c>
      <c r="S53" s="11">
        <f t="shared" si="26"/>
        <v>8</v>
      </c>
      <c r="U53" s="13" t="str">
        <f t="shared" si="27"/>
        <v/>
      </c>
    </row>
    <row r="54" spans="2:21" x14ac:dyDescent="0.35">
      <c r="B54" s="6">
        <v>34</v>
      </c>
      <c r="C54" s="2" t="s">
        <v>22</v>
      </c>
      <c r="D54" s="6" t="str">
        <f t="shared" si="29"/>
        <v>1</v>
      </c>
      <c r="E54" s="6" t="str">
        <f t="shared" si="30"/>
        <v>0</v>
      </c>
      <c r="F54" s="6" t="str">
        <f t="shared" si="31"/>
        <v>0</v>
      </c>
      <c r="G54" s="6" t="str">
        <f t="shared" si="32"/>
        <v>0</v>
      </c>
      <c r="H54" s="6" t="str">
        <f t="shared" si="33"/>
        <v>1</v>
      </c>
      <c r="I54" s="6" t="str">
        <f t="shared" si="34"/>
        <v>0</v>
      </c>
      <c r="J54" s="10">
        <f t="shared" si="35"/>
        <v>-3.8571428571428577E-5</v>
      </c>
      <c r="K54" s="10">
        <f t="shared" si="36"/>
        <v>-3.0571428571428572E-5</v>
      </c>
      <c r="L54" s="10">
        <f t="shared" si="37"/>
        <v>-3.0571428571428572E-5</v>
      </c>
      <c r="M54" s="10">
        <f t="shared" si="38"/>
        <v>-3.0571428571428572E-5</v>
      </c>
      <c r="N54" s="11">
        <f t="shared" si="39"/>
        <v>-130</v>
      </c>
      <c r="O54" s="11">
        <v>-122</v>
      </c>
      <c r="P54" s="13">
        <f t="shared" si="28"/>
        <v>0</v>
      </c>
      <c r="R54" s="11">
        <v>-165</v>
      </c>
      <c r="S54" s="11">
        <f t="shared" si="26"/>
        <v>3</v>
      </c>
      <c r="U54" s="13" t="str">
        <f t="shared" si="27"/>
        <v/>
      </c>
    </row>
    <row r="55" spans="2:21" x14ac:dyDescent="0.35">
      <c r="B55" s="6">
        <v>35</v>
      </c>
      <c r="C55" s="2" t="s">
        <v>22</v>
      </c>
      <c r="D55" s="6" t="str">
        <f t="shared" si="29"/>
        <v>1</v>
      </c>
      <c r="E55" s="6" t="str">
        <f t="shared" si="30"/>
        <v>0</v>
      </c>
      <c r="F55" s="6" t="str">
        <f t="shared" si="31"/>
        <v>0</v>
      </c>
      <c r="G55" s="6" t="str">
        <f t="shared" si="32"/>
        <v>0</v>
      </c>
      <c r="H55" s="6" t="str">
        <f t="shared" si="33"/>
        <v>1</v>
      </c>
      <c r="I55" s="6" t="str">
        <f t="shared" si="34"/>
        <v>1</v>
      </c>
      <c r="J55" s="10">
        <f t="shared" si="35"/>
        <v>-6.7142857142857154E-5</v>
      </c>
      <c r="K55" s="10">
        <f t="shared" si="36"/>
        <v>-4.0571428571428571E-5</v>
      </c>
      <c r="L55" s="10">
        <f t="shared" si="37"/>
        <v>-3.2571428571428573E-5</v>
      </c>
      <c r="M55" s="10">
        <f t="shared" si="38"/>
        <v>-3.2571428571428573E-5</v>
      </c>
      <c r="N55" s="11">
        <f t="shared" si="39"/>
        <v>-173</v>
      </c>
      <c r="O55" s="11">
        <v>-165</v>
      </c>
      <c r="P55" s="13">
        <f t="shared" si="28"/>
        <v>0</v>
      </c>
      <c r="R55" s="11">
        <v>-162</v>
      </c>
      <c r="S55" s="11">
        <f t="shared" si="26"/>
        <v>5</v>
      </c>
      <c r="U55" s="13" t="str">
        <f t="shared" si="27"/>
        <v/>
      </c>
    </row>
    <row r="56" spans="2:21" x14ac:dyDescent="0.35">
      <c r="B56" s="6">
        <v>36</v>
      </c>
      <c r="C56" s="2" t="s">
        <v>22</v>
      </c>
      <c r="D56" s="6" t="str">
        <f t="shared" si="29"/>
        <v>1</v>
      </c>
      <c r="E56" s="6" t="str">
        <f t="shared" si="30"/>
        <v>0</v>
      </c>
      <c r="F56" s="6" t="str">
        <f t="shared" si="31"/>
        <v>0</v>
      </c>
      <c r="G56" s="6" t="str">
        <f t="shared" si="32"/>
        <v>1</v>
      </c>
      <c r="H56" s="6" t="str">
        <f t="shared" si="33"/>
        <v>0</v>
      </c>
      <c r="I56" s="6" t="str">
        <f t="shared" si="34"/>
        <v>0</v>
      </c>
      <c r="J56" s="10">
        <f t="shared" si="35"/>
        <v>-3.0571428571428572E-5</v>
      </c>
      <c r="K56" s="10">
        <f t="shared" si="36"/>
        <v>-3.0571428571428572E-5</v>
      </c>
      <c r="L56" s="10">
        <f t="shared" si="37"/>
        <v>-3.0571428571428572E-5</v>
      </c>
      <c r="M56" s="10">
        <f t="shared" si="38"/>
        <v>-3.0571428571428572E-5</v>
      </c>
      <c r="N56" s="11">
        <f t="shared" si="39"/>
        <v>-122</v>
      </c>
      <c r="O56" s="11">
        <v>-191</v>
      </c>
      <c r="P56" s="13">
        <f t="shared" si="28"/>
        <v>0</v>
      </c>
      <c r="R56" s="11">
        <v>-157</v>
      </c>
      <c r="S56" s="11">
        <f t="shared" si="26"/>
        <v>3</v>
      </c>
      <c r="U56" s="13" t="str">
        <f t="shared" si="27"/>
        <v/>
      </c>
    </row>
    <row r="57" spans="2:21" x14ac:dyDescent="0.35">
      <c r="B57" s="6">
        <v>37</v>
      </c>
      <c r="C57" s="2" t="s">
        <v>22</v>
      </c>
      <c r="D57" s="6" t="str">
        <f t="shared" si="29"/>
        <v>1</v>
      </c>
      <c r="E57" s="6" t="str">
        <f t="shared" si="30"/>
        <v>0</v>
      </c>
      <c r="F57" s="6" t="str">
        <f t="shared" si="31"/>
        <v>0</v>
      </c>
      <c r="G57" s="6" t="str">
        <f t="shared" si="32"/>
        <v>1</v>
      </c>
      <c r="H57" s="6" t="str">
        <f t="shared" si="33"/>
        <v>0</v>
      </c>
      <c r="I57" s="6" t="str">
        <f t="shared" si="34"/>
        <v>1</v>
      </c>
      <c r="J57" s="10">
        <f t="shared" si="35"/>
        <v>-5.914285714285715E-5</v>
      </c>
      <c r="K57" s="10">
        <f t="shared" si="36"/>
        <v>-4.0571428571428571E-5</v>
      </c>
      <c r="L57" s="10">
        <f t="shared" si="37"/>
        <v>-3.2571428571428573E-5</v>
      </c>
      <c r="M57" s="10">
        <f t="shared" si="38"/>
        <v>-3.2571428571428573E-5</v>
      </c>
      <c r="N57" s="11">
        <f t="shared" si="39"/>
        <v>-165</v>
      </c>
      <c r="O57" s="11">
        <v>-234</v>
      </c>
      <c r="P57" s="13">
        <f t="shared" si="28"/>
        <v>0</v>
      </c>
      <c r="R57" s="11">
        <v>-154</v>
      </c>
      <c r="S57" s="11">
        <f t="shared" si="26"/>
        <v>8</v>
      </c>
      <c r="U57" s="13" t="str">
        <f t="shared" si="27"/>
        <v/>
      </c>
    </row>
    <row r="58" spans="2:21" x14ac:dyDescent="0.35">
      <c r="B58" s="6">
        <v>38</v>
      </c>
      <c r="C58" s="2" t="s">
        <v>22</v>
      </c>
      <c r="D58" s="6" t="str">
        <f t="shared" si="29"/>
        <v>1</v>
      </c>
      <c r="E58" s="6" t="str">
        <f t="shared" si="30"/>
        <v>0</v>
      </c>
      <c r="F58" s="6" t="str">
        <f t="shared" si="31"/>
        <v>0</v>
      </c>
      <c r="G58" s="6" t="str">
        <f t="shared" si="32"/>
        <v>1</v>
      </c>
      <c r="H58" s="6" t="str">
        <f t="shared" si="33"/>
        <v>1</v>
      </c>
      <c r="I58" s="6" t="str">
        <f t="shared" si="34"/>
        <v>0</v>
      </c>
      <c r="J58" s="10">
        <f t="shared" si="35"/>
        <v>-4.0571428571428571E-5</v>
      </c>
      <c r="K58" s="10">
        <f t="shared" si="36"/>
        <v>-3.2571428571428573E-5</v>
      </c>
      <c r="L58" s="10">
        <f t="shared" si="37"/>
        <v>-3.2571428571428573E-5</v>
      </c>
      <c r="M58" s="10">
        <f t="shared" si="38"/>
        <v>-3.2571428571428573E-5</v>
      </c>
      <c r="N58" s="11">
        <f t="shared" si="39"/>
        <v>-138</v>
      </c>
      <c r="O58" s="11">
        <v>-207</v>
      </c>
      <c r="P58" s="13">
        <f t="shared" si="28"/>
        <v>0</v>
      </c>
      <c r="R58" s="11">
        <v>-146</v>
      </c>
      <c r="S58" s="11">
        <f t="shared" si="26"/>
        <v>2</v>
      </c>
      <c r="U58" s="13" t="str">
        <f t="shared" si="27"/>
        <v/>
      </c>
    </row>
    <row r="59" spans="2:21" x14ac:dyDescent="0.35">
      <c r="B59" s="6">
        <v>39</v>
      </c>
      <c r="C59" s="2" t="s">
        <v>22</v>
      </c>
      <c r="D59" s="6" t="str">
        <f t="shared" si="29"/>
        <v>1</v>
      </c>
      <c r="E59" s="6" t="str">
        <f t="shared" si="30"/>
        <v>0</v>
      </c>
      <c r="F59" s="6" t="str">
        <f t="shared" si="31"/>
        <v>0</v>
      </c>
      <c r="G59" s="6" t="str">
        <f t="shared" si="32"/>
        <v>1</v>
      </c>
      <c r="H59" s="6" t="str">
        <f t="shared" si="33"/>
        <v>1</v>
      </c>
      <c r="I59" s="6" t="str">
        <f t="shared" si="34"/>
        <v>1</v>
      </c>
      <c r="J59" s="10">
        <f t="shared" si="35"/>
        <v>-6.9142857142857149E-5</v>
      </c>
      <c r="K59" s="10">
        <f t="shared" si="36"/>
        <v>-4.2571428571428572E-5</v>
      </c>
      <c r="L59" s="10">
        <f t="shared" si="37"/>
        <v>-3.4571428571428574E-5</v>
      </c>
      <c r="M59" s="10">
        <f t="shared" si="38"/>
        <v>-3.4571428571428574E-5</v>
      </c>
      <c r="N59" s="11">
        <f t="shared" si="39"/>
        <v>-181</v>
      </c>
      <c r="O59" s="11">
        <v>-250</v>
      </c>
      <c r="P59" s="13">
        <f t="shared" si="28"/>
        <v>0</v>
      </c>
      <c r="R59" s="11">
        <v>-144</v>
      </c>
      <c r="S59" s="11">
        <f t="shared" si="26"/>
        <v>6</v>
      </c>
      <c r="U59" s="13" t="str">
        <f t="shared" si="27"/>
        <v/>
      </c>
    </row>
    <row r="60" spans="2:21" x14ac:dyDescent="0.35">
      <c r="B60" s="6">
        <v>40</v>
      </c>
      <c r="C60" s="2" t="s">
        <v>22</v>
      </c>
      <c r="D60" s="6" t="str">
        <f t="shared" si="29"/>
        <v>1</v>
      </c>
      <c r="E60" s="6" t="str">
        <f t="shared" si="30"/>
        <v>0</v>
      </c>
      <c r="F60" s="6" t="str">
        <f t="shared" si="31"/>
        <v>1</v>
      </c>
      <c r="G60" s="6" t="str">
        <f t="shared" si="32"/>
        <v>0</v>
      </c>
      <c r="H60" s="6" t="str">
        <f t="shared" si="33"/>
        <v>0</v>
      </c>
      <c r="I60" s="6" t="str">
        <f t="shared" si="34"/>
        <v>0</v>
      </c>
      <c r="J60" s="10">
        <f t="shared" si="35"/>
        <v>-5.7142857142857148E-5</v>
      </c>
      <c r="K60" s="10">
        <f t="shared" si="36"/>
        <v>-5.7142857142857148E-5</v>
      </c>
      <c r="L60" s="10">
        <f t="shared" si="37"/>
        <v>-3.8571428571428577E-5</v>
      </c>
      <c r="M60" s="10">
        <f t="shared" si="38"/>
        <v>-3.8571428571428577E-5</v>
      </c>
      <c r="N60" s="11">
        <f t="shared" si="39"/>
        <v>-191</v>
      </c>
      <c r="O60" s="11">
        <v>-199</v>
      </c>
      <c r="P60" s="13">
        <f t="shared" si="28"/>
        <v>0</v>
      </c>
      <c r="R60" s="11">
        <v>-138</v>
      </c>
      <c r="S60" s="11">
        <f t="shared" si="26"/>
        <v>0</v>
      </c>
      <c r="U60" s="13" t="str">
        <f t="shared" si="27"/>
        <v/>
      </c>
    </row>
    <row r="61" spans="2:21" x14ac:dyDescent="0.35">
      <c r="B61" s="6">
        <v>41</v>
      </c>
      <c r="C61" s="2" t="s">
        <v>22</v>
      </c>
      <c r="D61" s="6" t="str">
        <f t="shared" si="29"/>
        <v>1</v>
      </c>
      <c r="E61" s="6" t="str">
        <f t="shared" si="30"/>
        <v>0</v>
      </c>
      <c r="F61" s="6" t="str">
        <f t="shared" si="31"/>
        <v>1</v>
      </c>
      <c r="G61" s="6" t="str">
        <f t="shared" si="32"/>
        <v>0</v>
      </c>
      <c r="H61" s="6" t="str">
        <f t="shared" si="33"/>
        <v>0</v>
      </c>
      <c r="I61" s="6" t="str">
        <f t="shared" si="34"/>
        <v>1</v>
      </c>
      <c r="J61" s="10">
        <f t="shared" si="35"/>
        <v>-8.5714285714285726E-5</v>
      </c>
      <c r="K61" s="10">
        <f t="shared" si="36"/>
        <v>-6.7142857142857154E-5</v>
      </c>
      <c r="L61" s="10">
        <f t="shared" si="37"/>
        <v>-4.0571428571428578E-5</v>
      </c>
      <c r="M61" s="10">
        <f t="shared" si="38"/>
        <v>-4.0571428571428578E-5</v>
      </c>
      <c r="N61" s="11">
        <f t="shared" si="39"/>
        <v>-234</v>
      </c>
      <c r="O61" s="11">
        <v>-242</v>
      </c>
      <c r="P61" s="13">
        <f t="shared" si="28"/>
        <v>0</v>
      </c>
      <c r="R61" s="11">
        <v>-138</v>
      </c>
      <c r="S61" s="11">
        <f t="shared" si="26"/>
        <v>2</v>
      </c>
      <c r="U61" s="13" t="str">
        <f t="shared" si="27"/>
        <v/>
      </c>
    </row>
    <row r="62" spans="2:21" x14ac:dyDescent="0.35">
      <c r="B62" s="6">
        <v>42</v>
      </c>
      <c r="C62" s="2" t="s">
        <v>22</v>
      </c>
      <c r="D62" s="6" t="str">
        <f t="shared" si="29"/>
        <v>1</v>
      </c>
      <c r="E62" s="6" t="str">
        <f t="shared" si="30"/>
        <v>0</v>
      </c>
      <c r="F62" s="6" t="str">
        <f t="shared" si="31"/>
        <v>1</v>
      </c>
      <c r="G62" s="6" t="str">
        <f t="shared" si="32"/>
        <v>0</v>
      </c>
      <c r="H62" s="6" t="str">
        <f t="shared" si="33"/>
        <v>1</v>
      </c>
      <c r="I62" s="6" t="str">
        <f t="shared" si="34"/>
        <v>0</v>
      </c>
      <c r="J62" s="10">
        <f t="shared" si="35"/>
        <v>-6.7142857142857154E-5</v>
      </c>
      <c r="K62" s="10">
        <f t="shared" si="36"/>
        <v>-5.914285714285715E-5</v>
      </c>
      <c r="L62" s="10">
        <f t="shared" si="37"/>
        <v>-4.0571428571428578E-5</v>
      </c>
      <c r="M62" s="10">
        <f t="shared" si="38"/>
        <v>-4.0571428571428578E-5</v>
      </c>
      <c r="N62" s="11">
        <f t="shared" si="39"/>
        <v>-207</v>
      </c>
      <c r="O62" s="11">
        <v>-258</v>
      </c>
      <c r="P62" s="13">
        <f t="shared" si="28"/>
        <v>0</v>
      </c>
      <c r="R62" s="11">
        <v>-136</v>
      </c>
      <c r="S62" s="11">
        <f t="shared" si="26"/>
        <v>6</v>
      </c>
      <c r="U62" s="13" t="str">
        <f t="shared" si="27"/>
        <v/>
      </c>
    </row>
    <row r="63" spans="2:21" x14ac:dyDescent="0.35">
      <c r="B63" s="6">
        <v>43</v>
      </c>
      <c r="C63" s="2" t="s">
        <v>22</v>
      </c>
      <c r="D63" s="6" t="str">
        <f t="shared" si="29"/>
        <v>1</v>
      </c>
      <c r="E63" s="6" t="str">
        <f t="shared" si="30"/>
        <v>0</v>
      </c>
      <c r="F63" s="6" t="str">
        <f t="shared" si="31"/>
        <v>1</v>
      </c>
      <c r="G63" s="6" t="str">
        <f t="shared" si="32"/>
        <v>0</v>
      </c>
      <c r="H63" s="6" t="str">
        <f t="shared" si="33"/>
        <v>1</v>
      </c>
      <c r="I63" s="6" t="str">
        <f t="shared" si="34"/>
        <v>1</v>
      </c>
      <c r="J63" s="10">
        <f t="shared" si="35"/>
        <v>-9.5714285714285725E-5</v>
      </c>
      <c r="K63" s="10">
        <f t="shared" si="36"/>
        <v>-6.9142857142857149E-5</v>
      </c>
      <c r="L63" s="10">
        <f t="shared" si="37"/>
        <v>-4.2571428571428579E-5</v>
      </c>
      <c r="M63" s="10">
        <f t="shared" si="38"/>
        <v>-4.2571428571428579E-5</v>
      </c>
      <c r="N63" s="11">
        <f t="shared" si="39"/>
        <v>-250</v>
      </c>
      <c r="O63" s="11">
        <v>-210</v>
      </c>
      <c r="P63" s="13">
        <f t="shared" si="28"/>
        <v>0</v>
      </c>
      <c r="R63" s="11">
        <v>-130</v>
      </c>
      <c r="S63" s="11">
        <f t="shared" si="26"/>
        <v>2</v>
      </c>
      <c r="U63" s="13" t="str">
        <f t="shared" si="27"/>
        <v/>
      </c>
    </row>
    <row r="64" spans="2:21" x14ac:dyDescent="0.35">
      <c r="B64" s="6">
        <v>44</v>
      </c>
      <c r="C64" s="2" t="s">
        <v>22</v>
      </c>
      <c r="D64" s="6" t="str">
        <f t="shared" si="29"/>
        <v>1</v>
      </c>
      <c r="E64" s="6" t="str">
        <f t="shared" si="30"/>
        <v>0</v>
      </c>
      <c r="F64" s="6" t="str">
        <f t="shared" si="31"/>
        <v>1</v>
      </c>
      <c r="G64" s="6" t="str">
        <f t="shared" si="32"/>
        <v>1</v>
      </c>
      <c r="H64" s="6" t="str">
        <f t="shared" si="33"/>
        <v>0</v>
      </c>
      <c r="I64" s="6" t="str">
        <f t="shared" si="34"/>
        <v>0</v>
      </c>
      <c r="J64" s="10">
        <f t="shared" si="35"/>
        <v>-5.914285714285715E-5</v>
      </c>
      <c r="K64" s="10">
        <f t="shared" si="36"/>
        <v>-5.914285714285715E-5</v>
      </c>
      <c r="L64" s="10">
        <f t="shared" si="37"/>
        <v>-4.0571428571428578E-5</v>
      </c>
      <c r="M64" s="10">
        <f t="shared" si="38"/>
        <v>-4.0571428571428578E-5</v>
      </c>
      <c r="N64" s="11">
        <f t="shared" si="39"/>
        <v>-199</v>
      </c>
      <c r="O64" s="11">
        <v>-253</v>
      </c>
      <c r="P64" s="13">
        <f t="shared" si="28"/>
        <v>0</v>
      </c>
      <c r="R64" s="11">
        <v>-128</v>
      </c>
      <c r="S64" s="11">
        <f t="shared" si="26"/>
        <v>6</v>
      </c>
      <c r="U64" s="13" t="str">
        <f t="shared" si="27"/>
        <v/>
      </c>
    </row>
    <row r="65" spans="2:21" x14ac:dyDescent="0.35">
      <c r="B65" s="6">
        <v>45</v>
      </c>
      <c r="C65" s="2" t="s">
        <v>22</v>
      </c>
      <c r="D65" s="6" t="str">
        <f t="shared" si="29"/>
        <v>1</v>
      </c>
      <c r="E65" s="6" t="str">
        <f t="shared" si="30"/>
        <v>0</v>
      </c>
      <c r="F65" s="6" t="str">
        <f t="shared" si="31"/>
        <v>1</v>
      </c>
      <c r="G65" s="6" t="str">
        <f t="shared" si="32"/>
        <v>1</v>
      </c>
      <c r="H65" s="6" t="str">
        <f t="shared" si="33"/>
        <v>0</v>
      </c>
      <c r="I65" s="6" t="str">
        <f t="shared" si="34"/>
        <v>1</v>
      </c>
      <c r="J65" s="10">
        <f t="shared" si="35"/>
        <v>-8.7714285714285721E-5</v>
      </c>
      <c r="K65" s="10">
        <f t="shared" si="36"/>
        <v>-6.9142857142857149E-5</v>
      </c>
      <c r="L65" s="10">
        <f t="shared" si="37"/>
        <v>-4.2571428571428579E-5</v>
      </c>
      <c r="M65" s="10">
        <f t="shared" si="38"/>
        <v>-4.2571428571428579E-5</v>
      </c>
      <c r="N65" s="11">
        <f t="shared" si="39"/>
        <v>-242</v>
      </c>
      <c r="O65" s="11">
        <v>-226</v>
      </c>
      <c r="P65" s="13">
        <f t="shared" si="28"/>
        <v>0</v>
      </c>
      <c r="R65" s="11">
        <v>-122</v>
      </c>
      <c r="S65" s="11">
        <f t="shared" si="26"/>
        <v>2</v>
      </c>
      <c r="U65" s="13" t="str">
        <f t="shared" si="27"/>
        <v/>
      </c>
    </row>
    <row r="66" spans="2:21" x14ac:dyDescent="0.35">
      <c r="B66" s="6">
        <v>46</v>
      </c>
      <c r="C66" s="2" t="s">
        <v>22</v>
      </c>
      <c r="D66" s="6" t="str">
        <f t="shared" si="29"/>
        <v>1</v>
      </c>
      <c r="E66" s="6" t="str">
        <f t="shared" si="30"/>
        <v>0</v>
      </c>
      <c r="F66" s="6" t="str">
        <f t="shared" si="31"/>
        <v>1</v>
      </c>
      <c r="G66" s="6" t="str">
        <f t="shared" si="32"/>
        <v>1</v>
      </c>
      <c r="H66" s="6" t="str">
        <f t="shared" si="33"/>
        <v>1</v>
      </c>
      <c r="I66" s="6" t="str">
        <f t="shared" si="34"/>
        <v>0</v>
      </c>
      <c r="J66" s="10">
        <f t="shared" si="35"/>
        <v>-6.9142857142857149E-5</v>
      </c>
      <c r="K66" s="10">
        <f t="shared" si="36"/>
        <v>-6.1142857142857144E-5</v>
      </c>
      <c r="L66" s="10">
        <f t="shared" si="37"/>
        <v>-4.2571428571428579E-5</v>
      </c>
      <c r="M66" s="10">
        <f t="shared" si="38"/>
        <v>-4.2571428571428579E-5</v>
      </c>
      <c r="N66" s="11">
        <f t="shared" si="39"/>
        <v>-215</v>
      </c>
      <c r="O66" s="11">
        <v>-269</v>
      </c>
      <c r="P66" s="13">
        <f t="shared" si="28"/>
        <v>0</v>
      </c>
      <c r="R66" s="11">
        <v>-120</v>
      </c>
      <c r="S66" s="11">
        <f t="shared" si="26"/>
        <v>0</v>
      </c>
      <c r="U66" s="13" t="str">
        <f t="shared" si="27"/>
        <v/>
      </c>
    </row>
    <row r="67" spans="2:21" x14ac:dyDescent="0.35">
      <c r="B67" s="6">
        <v>47</v>
      </c>
      <c r="C67" s="2" t="s">
        <v>22</v>
      </c>
      <c r="D67" s="6" t="str">
        <f t="shared" si="29"/>
        <v>1</v>
      </c>
      <c r="E67" s="6" t="str">
        <f t="shared" si="30"/>
        <v>0</v>
      </c>
      <c r="F67" s="6" t="str">
        <f t="shared" si="31"/>
        <v>1</v>
      </c>
      <c r="G67" s="6" t="str">
        <f t="shared" si="32"/>
        <v>1</v>
      </c>
      <c r="H67" s="6" t="str">
        <f t="shared" si="33"/>
        <v>1</v>
      </c>
      <c r="I67" s="6" t="str">
        <f t="shared" si="34"/>
        <v>1</v>
      </c>
      <c r="J67" s="10">
        <f t="shared" si="35"/>
        <v>-9.771428571428572E-5</v>
      </c>
      <c r="K67" s="10">
        <f t="shared" si="36"/>
        <v>-7.1142857142857143E-5</v>
      </c>
      <c r="L67" s="10">
        <f t="shared" si="37"/>
        <v>-4.457142857142858E-5</v>
      </c>
      <c r="M67" s="10">
        <f t="shared" si="38"/>
        <v>-4.457142857142858E-5</v>
      </c>
      <c r="N67" s="11">
        <f t="shared" si="39"/>
        <v>-258</v>
      </c>
      <c r="O67" s="11">
        <v>-218</v>
      </c>
      <c r="P67" s="13">
        <f t="shared" si="28"/>
        <v>0</v>
      </c>
      <c r="R67" s="11">
        <v>-120</v>
      </c>
      <c r="S67" s="11">
        <f t="shared" si="26"/>
        <v>6</v>
      </c>
      <c r="U67" s="13" t="str">
        <f t="shared" si="27"/>
        <v/>
      </c>
    </row>
    <row r="68" spans="2:21" x14ac:dyDescent="0.35">
      <c r="B68" s="6">
        <v>48</v>
      </c>
      <c r="C68" s="2" t="s">
        <v>22</v>
      </c>
      <c r="D68" s="6" t="str">
        <f t="shared" si="29"/>
        <v>1</v>
      </c>
      <c r="E68" s="6" t="str">
        <f t="shared" si="30"/>
        <v>1</v>
      </c>
      <c r="F68" s="6" t="str">
        <f t="shared" si="31"/>
        <v>0</v>
      </c>
      <c r="G68" s="6" t="str">
        <f t="shared" si="32"/>
        <v>0</v>
      </c>
      <c r="H68" s="6" t="str">
        <f t="shared" si="33"/>
        <v>0</v>
      </c>
      <c r="I68" s="6" t="str">
        <f t="shared" si="34"/>
        <v>0</v>
      </c>
      <c r="J68" s="10">
        <f t="shared" si="35"/>
        <v>-5.7142857142857148E-5</v>
      </c>
      <c r="K68" s="10">
        <f t="shared" si="36"/>
        <v>-5.7142857142857148E-5</v>
      </c>
      <c r="L68" s="10">
        <f t="shared" si="37"/>
        <v>-5.7142857142857148E-5</v>
      </c>
      <c r="M68" s="10">
        <f t="shared" si="38"/>
        <v>-3.8571428571428577E-5</v>
      </c>
      <c r="N68" s="11">
        <f t="shared" si="39"/>
        <v>-210</v>
      </c>
      <c r="O68" s="11">
        <v>-261</v>
      </c>
      <c r="P68" s="13">
        <f t="shared" si="28"/>
        <v>0</v>
      </c>
      <c r="R68" s="11">
        <v>-114</v>
      </c>
      <c r="S68" s="11">
        <f t="shared" si="26"/>
        <v>2</v>
      </c>
      <c r="U68" s="13" t="str">
        <f t="shared" si="27"/>
        <v/>
      </c>
    </row>
    <row r="69" spans="2:21" x14ac:dyDescent="0.35">
      <c r="B69" s="6">
        <v>49</v>
      </c>
      <c r="C69" s="2" t="s">
        <v>22</v>
      </c>
      <c r="D69" s="6" t="str">
        <f t="shared" si="29"/>
        <v>1</v>
      </c>
      <c r="E69" s="6" t="str">
        <f t="shared" si="30"/>
        <v>1</v>
      </c>
      <c r="F69" s="6" t="str">
        <f t="shared" si="31"/>
        <v>0</v>
      </c>
      <c r="G69" s="6" t="str">
        <f t="shared" si="32"/>
        <v>0</v>
      </c>
      <c r="H69" s="6" t="str">
        <f t="shared" si="33"/>
        <v>0</v>
      </c>
      <c r="I69" s="6" t="str">
        <f t="shared" si="34"/>
        <v>1</v>
      </c>
      <c r="J69" s="10">
        <f t="shared" si="35"/>
        <v>-8.5714285714285726E-5</v>
      </c>
      <c r="K69" s="10">
        <f t="shared" si="36"/>
        <v>-6.7142857142857154E-5</v>
      </c>
      <c r="L69" s="10">
        <f t="shared" si="37"/>
        <v>-5.914285714285715E-5</v>
      </c>
      <c r="M69" s="10">
        <f t="shared" si="38"/>
        <v>-4.0571428571428578E-5</v>
      </c>
      <c r="N69" s="11">
        <f t="shared" si="39"/>
        <v>-253</v>
      </c>
      <c r="O69" s="11">
        <v>-277</v>
      </c>
      <c r="P69" s="13">
        <f t="shared" si="28"/>
        <v>0</v>
      </c>
      <c r="R69" s="11">
        <v>-112</v>
      </c>
      <c r="S69" s="11">
        <f t="shared" si="26"/>
        <v>8</v>
      </c>
      <c r="U69" s="13" t="str">
        <f t="shared" si="27"/>
        <v/>
      </c>
    </row>
    <row r="70" spans="2:21" x14ac:dyDescent="0.35">
      <c r="B70" s="6">
        <v>50</v>
      </c>
      <c r="C70" s="2" t="s">
        <v>22</v>
      </c>
      <c r="D70" s="6" t="str">
        <f t="shared" si="29"/>
        <v>1</v>
      </c>
      <c r="E70" s="6" t="str">
        <f t="shared" si="30"/>
        <v>1</v>
      </c>
      <c r="F70" s="6" t="str">
        <f t="shared" si="31"/>
        <v>0</v>
      </c>
      <c r="G70" s="6" t="str">
        <f t="shared" si="32"/>
        <v>0</v>
      </c>
      <c r="H70" s="6" t="str">
        <f t="shared" si="33"/>
        <v>1</v>
      </c>
      <c r="I70" s="6" t="str">
        <f t="shared" si="34"/>
        <v>0</v>
      </c>
      <c r="J70" s="10">
        <f t="shared" si="35"/>
        <v>-6.7142857142857154E-5</v>
      </c>
      <c r="K70" s="10">
        <f t="shared" si="36"/>
        <v>-5.914285714285715E-5</v>
      </c>
      <c r="L70" s="10">
        <f t="shared" si="37"/>
        <v>-5.914285714285715E-5</v>
      </c>
      <c r="M70" s="10">
        <f t="shared" si="38"/>
        <v>-4.0571428571428578E-5</v>
      </c>
      <c r="N70" s="11">
        <f t="shared" si="39"/>
        <v>-226</v>
      </c>
      <c r="O70" s="11">
        <v>-287</v>
      </c>
      <c r="P70" s="13">
        <f t="shared" si="28"/>
        <v>0</v>
      </c>
      <c r="R70" s="11">
        <v>-104</v>
      </c>
      <c r="S70" s="11">
        <f t="shared" si="26"/>
        <v>3</v>
      </c>
      <c r="U70" s="13" t="str">
        <f t="shared" si="27"/>
        <v/>
      </c>
    </row>
    <row r="71" spans="2:21" x14ac:dyDescent="0.35">
      <c r="B71" s="6">
        <v>51</v>
      </c>
      <c r="C71" s="2" t="s">
        <v>22</v>
      </c>
      <c r="D71" s="6" t="str">
        <f t="shared" si="29"/>
        <v>1</v>
      </c>
      <c r="E71" s="6" t="str">
        <f t="shared" si="30"/>
        <v>1</v>
      </c>
      <c r="F71" s="6" t="str">
        <f t="shared" si="31"/>
        <v>0</v>
      </c>
      <c r="G71" s="6" t="str">
        <f t="shared" si="32"/>
        <v>0</v>
      </c>
      <c r="H71" s="6" t="str">
        <f t="shared" si="33"/>
        <v>1</v>
      </c>
      <c r="I71" s="6" t="str">
        <f t="shared" si="34"/>
        <v>1</v>
      </c>
      <c r="J71" s="10">
        <f t="shared" si="35"/>
        <v>-9.5714285714285725E-5</v>
      </c>
      <c r="K71" s="10">
        <f t="shared" si="36"/>
        <v>-6.9142857142857149E-5</v>
      </c>
      <c r="L71" s="10">
        <f t="shared" si="37"/>
        <v>-6.1142857142857144E-5</v>
      </c>
      <c r="M71" s="10">
        <f t="shared" si="38"/>
        <v>-4.2571428571428579E-5</v>
      </c>
      <c r="N71" s="11">
        <f t="shared" si="39"/>
        <v>-269</v>
      </c>
      <c r="O71" s="11">
        <v>-330</v>
      </c>
      <c r="P71" s="13">
        <f t="shared" si="28"/>
        <v>0</v>
      </c>
      <c r="R71" s="11">
        <v>-101</v>
      </c>
      <c r="S71" s="11">
        <f t="shared" si="26"/>
        <v>5</v>
      </c>
      <c r="U71" s="13" t="str">
        <f t="shared" si="27"/>
        <v/>
      </c>
    </row>
    <row r="72" spans="2:21" x14ac:dyDescent="0.35">
      <c r="B72" s="6">
        <v>52</v>
      </c>
      <c r="C72" s="2" t="s">
        <v>22</v>
      </c>
      <c r="D72" s="6" t="str">
        <f t="shared" si="29"/>
        <v>1</v>
      </c>
      <c r="E72" s="6" t="str">
        <f t="shared" si="30"/>
        <v>1</v>
      </c>
      <c r="F72" s="6" t="str">
        <f t="shared" si="31"/>
        <v>0</v>
      </c>
      <c r="G72" s="6" t="str">
        <f t="shared" si="32"/>
        <v>1</v>
      </c>
      <c r="H72" s="6" t="str">
        <f t="shared" si="33"/>
        <v>0</v>
      </c>
      <c r="I72" s="6" t="str">
        <f t="shared" si="34"/>
        <v>0</v>
      </c>
      <c r="J72" s="10">
        <f t="shared" si="35"/>
        <v>-5.914285714285715E-5</v>
      </c>
      <c r="K72" s="10">
        <f t="shared" si="36"/>
        <v>-5.914285714285715E-5</v>
      </c>
      <c r="L72" s="10">
        <f t="shared" si="37"/>
        <v>-5.914285714285715E-5</v>
      </c>
      <c r="M72" s="10">
        <f t="shared" si="38"/>
        <v>-4.0571428571428578E-5</v>
      </c>
      <c r="N72" s="11">
        <f t="shared" si="39"/>
        <v>-218</v>
      </c>
      <c r="O72" s="11">
        <v>-303</v>
      </c>
      <c r="P72" s="13">
        <f t="shared" si="28"/>
        <v>0</v>
      </c>
      <c r="R72" s="11">
        <v>-96</v>
      </c>
      <c r="S72" s="11">
        <f t="shared" si="26"/>
        <v>3</v>
      </c>
      <c r="U72" s="13" t="str">
        <f t="shared" si="27"/>
        <v/>
      </c>
    </row>
    <row r="73" spans="2:21" x14ac:dyDescent="0.35">
      <c r="B73" s="6">
        <v>53</v>
      </c>
      <c r="C73" s="2" t="s">
        <v>22</v>
      </c>
      <c r="D73" s="6" t="str">
        <f t="shared" si="29"/>
        <v>1</v>
      </c>
      <c r="E73" s="6" t="str">
        <f t="shared" si="30"/>
        <v>1</v>
      </c>
      <c r="F73" s="6" t="str">
        <f t="shared" si="31"/>
        <v>0</v>
      </c>
      <c r="G73" s="6" t="str">
        <f t="shared" si="32"/>
        <v>1</v>
      </c>
      <c r="H73" s="6" t="str">
        <f t="shared" si="33"/>
        <v>0</v>
      </c>
      <c r="I73" s="6" t="str">
        <f t="shared" si="34"/>
        <v>1</v>
      </c>
      <c r="J73" s="10">
        <f t="shared" si="35"/>
        <v>-8.7714285714285721E-5</v>
      </c>
      <c r="K73" s="10">
        <f t="shared" si="36"/>
        <v>-6.9142857142857149E-5</v>
      </c>
      <c r="L73" s="10">
        <f t="shared" si="37"/>
        <v>-6.1142857142857144E-5</v>
      </c>
      <c r="M73" s="10">
        <f t="shared" si="38"/>
        <v>-4.2571428571428579E-5</v>
      </c>
      <c r="N73" s="11">
        <f t="shared" si="39"/>
        <v>-261</v>
      </c>
      <c r="O73" s="11">
        <v>-346</v>
      </c>
      <c r="P73" s="13">
        <f t="shared" si="28"/>
        <v>0</v>
      </c>
      <c r="R73" s="11">
        <v>-93</v>
      </c>
      <c r="S73" s="11">
        <f t="shared" si="26"/>
        <v>8</v>
      </c>
      <c r="U73" s="13" t="str">
        <f t="shared" si="27"/>
        <v/>
      </c>
    </row>
    <row r="74" spans="2:21" x14ac:dyDescent="0.35">
      <c r="B74" s="6">
        <v>54</v>
      </c>
      <c r="C74" s="2" t="s">
        <v>22</v>
      </c>
      <c r="D74" s="6" t="str">
        <f t="shared" si="29"/>
        <v>1</v>
      </c>
      <c r="E74" s="6" t="str">
        <f t="shared" si="30"/>
        <v>1</v>
      </c>
      <c r="F74" s="6" t="str">
        <f t="shared" si="31"/>
        <v>0</v>
      </c>
      <c r="G74" s="6" t="str">
        <f t="shared" si="32"/>
        <v>1</v>
      </c>
      <c r="H74" s="6" t="str">
        <f t="shared" si="33"/>
        <v>1</v>
      </c>
      <c r="I74" s="6" t="str">
        <f t="shared" si="34"/>
        <v>0</v>
      </c>
      <c r="J74" s="10">
        <f t="shared" si="35"/>
        <v>-6.9142857142857149E-5</v>
      </c>
      <c r="K74" s="10">
        <f t="shared" si="36"/>
        <v>-6.1142857142857144E-5</v>
      </c>
      <c r="L74" s="10">
        <f t="shared" si="37"/>
        <v>-6.1142857142857144E-5</v>
      </c>
      <c r="M74" s="10">
        <f t="shared" si="38"/>
        <v>-4.2571428571428579E-5</v>
      </c>
      <c r="N74" s="11">
        <f t="shared" si="39"/>
        <v>-234</v>
      </c>
      <c r="O74" s="11">
        <v>-295</v>
      </c>
      <c r="P74" s="13">
        <f t="shared" si="28"/>
        <v>0</v>
      </c>
      <c r="R74" s="11">
        <v>-85</v>
      </c>
      <c r="S74" s="11">
        <f t="shared" si="26"/>
        <v>8</v>
      </c>
      <c r="U74" s="13" t="str">
        <f t="shared" si="27"/>
        <v/>
      </c>
    </row>
    <row r="75" spans="2:21" x14ac:dyDescent="0.35">
      <c r="B75" s="6">
        <v>55</v>
      </c>
      <c r="C75" s="2" t="s">
        <v>22</v>
      </c>
      <c r="D75" s="6" t="str">
        <f t="shared" si="29"/>
        <v>1</v>
      </c>
      <c r="E75" s="6" t="str">
        <f t="shared" si="30"/>
        <v>1</v>
      </c>
      <c r="F75" s="6" t="str">
        <f t="shared" si="31"/>
        <v>0</v>
      </c>
      <c r="G75" s="6" t="str">
        <f t="shared" si="32"/>
        <v>1</v>
      </c>
      <c r="H75" s="6" t="str">
        <f t="shared" si="33"/>
        <v>1</v>
      </c>
      <c r="I75" s="6" t="str">
        <f t="shared" si="34"/>
        <v>1</v>
      </c>
      <c r="J75" s="10">
        <f t="shared" si="35"/>
        <v>-9.771428571428572E-5</v>
      </c>
      <c r="K75" s="10">
        <f t="shared" si="36"/>
        <v>-7.1142857142857143E-5</v>
      </c>
      <c r="L75" s="10">
        <f t="shared" si="37"/>
        <v>-6.3142857142857138E-5</v>
      </c>
      <c r="M75" s="10">
        <f t="shared" si="38"/>
        <v>-4.457142857142858E-5</v>
      </c>
      <c r="N75" s="11">
        <f t="shared" si="39"/>
        <v>-277</v>
      </c>
      <c r="O75" s="11">
        <v>-338</v>
      </c>
      <c r="P75" s="13">
        <f t="shared" si="28"/>
        <v>0</v>
      </c>
      <c r="R75" s="11">
        <v>-77</v>
      </c>
      <c r="S75" s="11">
        <f t="shared" si="26"/>
        <v>10</v>
      </c>
      <c r="U75" s="13" t="str">
        <f t="shared" si="27"/>
        <v/>
      </c>
    </row>
    <row r="76" spans="2:21" x14ac:dyDescent="0.35">
      <c r="B76" s="6">
        <v>56</v>
      </c>
      <c r="C76" s="2" t="s">
        <v>22</v>
      </c>
      <c r="D76" s="6" t="str">
        <f t="shared" si="29"/>
        <v>1</v>
      </c>
      <c r="E76" s="6" t="str">
        <f t="shared" si="30"/>
        <v>1</v>
      </c>
      <c r="F76" s="6" t="str">
        <f t="shared" si="31"/>
        <v>1</v>
      </c>
      <c r="G76" s="6" t="str">
        <f t="shared" si="32"/>
        <v>0</v>
      </c>
      <c r="H76" s="6" t="str">
        <f t="shared" si="33"/>
        <v>0</v>
      </c>
      <c r="I76" s="6" t="str">
        <f t="shared" si="34"/>
        <v>0</v>
      </c>
      <c r="J76" s="10">
        <f t="shared" si="35"/>
        <v>-8.5714285714285726E-5</v>
      </c>
      <c r="K76" s="10">
        <f t="shared" si="36"/>
        <v>-8.5714285714285726E-5</v>
      </c>
      <c r="L76" s="10">
        <f t="shared" si="37"/>
        <v>-6.7142857142857154E-5</v>
      </c>
      <c r="M76" s="10">
        <f t="shared" si="38"/>
        <v>-4.8571428571428576E-5</v>
      </c>
      <c r="N76" s="11">
        <f t="shared" si="39"/>
        <v>-287</v>
      </c>
      <c r="O76" s="11">
        <v>-311</v>
      </c>
      <c r="P76" s="13">
        <f t="shared" si="28"/>
        <v>0</v>
      </c>
      <c r="R76" s="11">
        <v>-67</v>
      </c>
      <c r="S76" s="11">
        <f t="shared" si="26"/>
        <v>8</v>
      </c>
      <c r="U76" s="13" t="str">
        <f t="shared" si="27"/>
        <v/>
      </c>
    </row>
    <row r="77" spans="2:21" x14ac:dyDescent="0.35">
      <c r="B77" s="6">
        <v>57</v>
      </c>
      <c r="C77" s="2" t="s">
        <v>22</v>
      </c>
      <c r="D77" s="6" t="str">
        <f t="shared" si="29"/>
        <v>1</v>
      </c>
      <c r="E77" s="6" t="str">
        <f t="shared" si="30"/>
        <v>1</v>
      </c>
      <c r="F77" s="6" t="str">
        <f t="shared" si="31"/>
        <v>1</v>
      </c>
      <c r="G77" s="6" t="str">
        <f t="shared" si="32"/>
        <v>0</v>
      </c>
      <c r="H77" s="6" t="str">
        <f t="shared" si="33"/>
        <v>0</v>
      </c>
      <c r="I77" s="6" t="str">
        <f t="shared" si="34"/>
        <v>1</v>
      </c>
      <c r="J77" s="10">
        <f t="shared" si="35"/>
        <v>-1.142857142857143E-4</v>
      </c>
      <c r="K77" s="10">
        <f t="shared" si="36"/>
        <v>-9.5714285714285725E-5</v>
      </c>
      <c r="L77" s="10">
        <f t="shared" si="37"/>
        <v>-6.9142857142857149E-5</v>
      </c>
      <c r="M77" s="10">
        <f t="shared" si="38"/>
        <v>-5.0571428571428577E-5</v>
      </c>
      <c r="N77" s="11">
        <f t="shared" si="39"/>
        <v>-330</v>
      </c>
      <c r="O77" s="11">
        <v>-354</v>
      </c>
      <c r="P77" s="13">
        <f t="shared" si="28"/>
        <v>0</v>
      </c>
      <c r="R77" s="11">
        <v>-59</v>
      </c>
      <c r="S77" s="11">
        <f t="shared" si="26"/>
        <v>8</v>
      </c>
      <c r="U77" s="13" t="str">
        <f t="shared" si="27"/>
        <v/>
      </c>
    </row>
    <row r="78" spans="2:21" x14ac:dyDescent="0.35">
      <c r="B78" s="6">
        <v>58</v>
      </c>
      <c r="C78" s="2" t="s">
        <v>22</v>
      </c>
      <c r="D78" s="6" t="str">
        <f t="shared" si="29"/>
        <v>1</v>
      </c>
      <c r="E78" s="6" t="str">
        <f t="shared" si="30"/>
        <v>1</v>
      </c>
      <c r="F78" s="6" t="str">
        <f t="shared" si="31"/>
        <v>1</v>
      </c>
      <c r="G78" s="6" t="str">
        <f t="shared" si="32"/>
        <v>0</v>
      </c>
      <c r="H78" s="6" t="str">
        <f t="shared" si="33"/>
        <v>1</v>
      </c>
      <c r="I78" s="6" t="str">
        <f t="shared" si="34"/>
        <v>0</v>
      </c>
      <c r="J78" s="10">
        <f t="shared" si="35"/>
        <v>-9.5714285714285725E-5</v>
      </c>
      <c r="K78" s="10">
        <f t="shared" si="36"/>
        <v>-8.7714285714285721E-5</v>
      </c>
      <c r="L78" s="10">
        <f t="shared" si="37"/>
        <v>-6.9142857142857149E-5</v>
      </c>
      <c r="M78" s="10">
        <f t="shared" si="38"/>
        <v>-5.0571428571428577E-5</v>
      </c>
      <c r="N78" s="11">
        <f t="shared" si="39"/>
        <v>-303</v>
      </c>
      <c r="P78" s="13" t="str">
        <f t="shared" si="28"/>
        <v/>
      </c>
      <c r="R78" s="11">
        <v>-51</v>
      </c>
      <c r="S78" s="11">
        <f t="shared" si="26"/>
        <v>8</v>
      </c>
      <c r="U78" s="13" t="str">
        <f t="shared" si="27"/>
        <v/>
      </c>
    </row>
    <row r="79" spans="2:21" x14ac:dyDescent="0.35">
      <c r="B79" s="6">
        <v>59</v>
      </c>
      <c r="C79" s="2" t="s">
        <v>22</v>
      </c>
      <c r="D79" s="6" t="str">
        <f t="shared" si="29"/>
        <v>1</v>
      </c>
      <c r="E79" s="6" t="str">
        <f t="shared" si="30"/>
        <v>1</v>
      </c>
      <c r="F79" s="6" t="str">
        <f t="shared" si="31"/>
        <v>1</v>
      </c>
      <c r="G79" s="6" t="str">
        <f t="shared" si="32"/>
        <v>0</v>
      </c>
      <c r="H79" s="6" t="str">
        <f t="shared" si="33"/>
        <v>1</v>
      </c>
      <c r="I79" s="6" t="str">
        <f t="shared" si="34"/>
        <v>1</v>
      </c>
      <c r="J79" s="10">
        <f t="shared" si="35"/>
        <v>-1.2428571428571431E-4</v>
      </c>
      <c r="K79" s="10">
        <f t="shared" si="36"/>
        <v>-9.771428571428572E-5</v>
      </c>
      <c r="L79" s="10">
        <f t="shared" si="37"/>
        <v>-7.1142857142857143E-5</v>
      </c>
      <c r="M79" s="10">
        <f t="shared" si="38"/>
        <v>-5.2571428571428578E-5</v>
      </c>
      <c r="N79" s="11">
        <f t="shared" si="39"/>
        <v>-346</v>
      </c>
      <c r="P79" s="13">
        <f>IF(ISBLANK(O79), 0, COUNTIF($L$20:$L$83,O79))</f>
        <v>0</v>
      </c>
      <c r="R79" s="11">
        <v>-43</v>
      </c>
      <c r="S79" s="11">
        <f t="shared" si="26"/>
        <v>19</v>
      </c>
      <c r="U79" s="13" t="str">
        <f t="shared" si="27"/>
        <v/>
      </c>
    </row>
    <row r="80" spans="2:21" x14ac:dyDescent="0.35">
      <c r="B80" s="6">
        <v>60</v>
      </c>
      <c r="C80" s="2" t="s">
        <v>22</v>
      </c>
      <c r="D80" s="6" t="str">
        <f t="shared" si="29"/>
        <v>1</v>
      </c>
      <c r="E80" s="6" t="str">
        <f t="shared" si="30"/>
        <v>1</v>
      </c>
      <c r="F80" s="6" t="str">
        <f t="shared" si="31"/>
        <v>1</v>
      </c>
      <c r="G80" s="6" t="str">
        <f t="shared" si="32"/>
        <v>1</v>
      </c>
      <c r="H80" s="6" t="str">
        <f t="shared" si="33"/>
        <v>0</v>
      </c>
      <c r="I80" s="6" t="str">
        <f t="shared" si="34"/>
        <v>0</v>
      </c>
      <c r="J80" s="10">
        <f t="shared" si="35"/>
        <v>-8.7714285714285721E-5</v>
      </c>
      <c r="K80" s="10">
        <f t="shared" si="36"/>
        <v>-8.7714285714285721E-5</v>
      </c>
      <c r="L80" s="10">
        <f t="shared" si="37"/>
        <v>-6.9142857142857149E-5</v>
      </c>
      <c r="M80" s="10">
        <f t="shared" si="38"/>
        <v>-5.0571428571428577E-5</v>
      </c>
      <c r="N80" s="11">
        <f t="shared" si="39"/>
        <v>-295</v>
      </c>
      <c r="P80" s="13">
        <f t="shared" ref="P80:P83" si="40">IF(ISBLANK(O80), 0, COUNTIF($L$20:$L$83,O80))</f>
        <v>0</v>
      </c>
      <c r="R80" s="11">
        <v>-24</v>
      </c>
      <c r="S80" s="11">
        <f t="shared" si="26"/>
        <v>8</v>
      </c>
      <c r="U80" s="13" t="str">
        <f t="shared" si="27"/>
        <v/>
      </c>
    </row>
    <row r="81" spans="2:21" x14ac:dyDescent="0.35">
      <c r="B81" s="6">
        <v>61</v>
      </c>
      <c r="C81" s="2" t="s">
        <v>22</v>
      </c>
      <c r="D81" s="6" t="str">
        <f t="shared" si="29"/>
        <v>1</v>
      </c>
      <c r="E81" s="6" t="str">
        <f t="shared" si="30"/>
        <v>1</v>
      </c>
      <c r="F81" s="6" t="str">
        <f t="shared" si="31"/>
        <v>1</v>
      </c>
      <c r="G81" s="6" t="str">
        <f t="shared" si="32"/>
        <v>1</v>
      </c>
      <c r="H81" s="6" t="str">
        <f t="shared" si="33"/>
        <v>0</v>
      </c>
      <c r="I81" s="6" t="str">
        <f t="shared" si="34"/>
        <v>1</v>
      </c>
      <c r="J81" s="10">
        <f t="shared" si="35"/>
        <v>-1.1628571428571429E-4</v>
      </c>
      <c r="K81" s="10">
        <f t="shared" si="36"/>
        <v>-9.771428571428572E-5</v>
      </c>
      <c r="L81" s="10">
        <f t="shared" si="37"/>
        <v>-7.1142857142857143E-5</v>
      </c>
      <c r="M81" s="10">
        <f t="shared" si="38"/>
        <v>-5.2571428571428578E-5</v>
      </c>
      <c r="N81" s="11">
        <f t="shared" si="39"/>
        <v>-338</v>
      </c>
      <c r="P81" s="13">
        <f t="shared" si="40"/>
        <v>0</v>
      </c>
      <c r="R81" s="11">
        <v>-16</v>
      </c>
      <c r="S81" s="11">
        <f t="shared" si="26"/>
        <v>8</v>
      </c>
      <c r="U81" s="13" t="str">
        <f t="shared" si="27"/>
        <v/>
      </c>
    </row>
    <row r="82" spans="2:21" x14ac:dyDescent="0.35">
      <c r="B82" s="6">
        <v>62</v>
      </c>
      <c r="C82" s="2" t="s">
        <v>22</v>
      </c>
      <c r="D82" s="6" t="str">
        <f t="shared" si="29"/>
        <v>1</v>
      </c>
      <c r="E82" s="6" t="str">
        <f t="shared" si="30"/>
        <v>1</v>
      </c>
      <c r="F82" s="6" t="str">
        <f t="shared" si="31"/>
        <v>1</v>
      </c>
      <c r="G82" s="6" t="str">
        <f t="shared" si="32"/>
        <v>1</v>
      </c>
      <c r="H82" s="6" t="str">
        <f t="shared" si="33"/>
        <v>1</v>
      </c>
      <c r="I82" s="6" t="str">
        <f t="shared" si="34"/>
        <v>0</v>
      </c>
      <c r="J82" s="10">
        <f t="shared" si="35"/>
        <v>-9.771428571428572E-5</v>
      </c>
      <c r="K82" s="10">
        <f t="shared" si="36"/>
        <v>-8.9714285714285715E-5</v>
      </c>
      <c r="L82" s="10">
        <f t="shared" si="37"/>
        <v>-7.1142857142857143E-5</v>
      </c>
      <c r="M82" s="10">
        <f t="shared" si="38"/>
        <v>-5.2571428571428578E-5</v>
      </c>
      <c r="N82" s="11">
        <f t="shared" si="39"/>
        <v>-311</v>
      </c>
      <c r="P82" s="13">
        <f t="shared" si="40"/>
        <v>0</v>
      </c>
      <c r="R82" s="11">
        <v>-8</v>
      </c>
      <c r="S82" s="11">
        <f t="shared" si="26"/>
        <v>8</v>
      </c>
      <c r="U82" s="13" t="str">
        <f t="shared" si="27"/>
        <v/>
      </c>
    </row>
    <row r="83" spans="2:21" x14ac:dyDescent="0.35">
      <c r="B83" s="6">
        <v>63</v>
      </c>
      <c r="C83" s="2" t="s">
        <v>22</v>
      </c>
      <c r="D83" s="6" t="str">
        <f t="shared" si="29"/>
        <v>1</v>
      </c>
      <c r="E83" s="6" t="str">
        <f t="shared" si="30"/>
        <v>1</v>
      </c>
      <c r="F83" s="6" t="str">
        <f t="shared" si="31"/>
        <v>1</v>
      </c>
      <c r="G83" s="6" t="str">
        <f t="shared" si="32"/>
        <v>1</v>
      </c>
      <c r="H83" s="6" t="str">
        <f t="shared" si="33"/>
        <v>1</v>
      </c>
      <c r="I83" s="6" t="str">
        <f t="shared" si="34"/>
        <v>1</v>
      </c>
      <c r="J83" s="10">
        <f t="shared" si="35"/>
        <v>-1.262857142857143E-4</v>
      </c>
      <c r="K83" s="10">
        <f t="shared" si="36"/>
        <v>-9.9714285714285714E-5</v>
      </c>
      <c r="L83" s="10">
        <f t="shared" si="37"/>
        <v>-7.3142857142857138E-5</v>
      </c>
      <c r="M83" s="10">
        <f t="shared" si="38"/>
        <v>-5.4571428571428579E-5</v>
      </c>
      <c r="N83" s="11">
        <f t="shared" si="39"/>
        <v>-354</v>
      </c>
      <c r="P83" s="13">
        <f t="shared" si="40"/>
        <v>0</v>
      </c>
      <c r="R83" s="11">
        <v>0</v>
      </c>
      <c r="S83" s="11" t="str">
        <f t="shared" si="26"/>
        <v/>
      </c>
      <c r="U83" s="13" t="str">
        <f t="shared" si="27"/>
        <v/>
      </c>
    </row>
  </sheetData>
  <phoneticPr fontId="5" type="noConversion"/>
  <conditionalFormatting sqref="N20:N83">
    <cfRule type="duplicateValues" dxfId="19" priority="1"/>
  </conditionalFormatting>
  <hyperlinks>
    <hyperlink ref="F10" r:id="rId1" display="R@" xr:uid="{D47408D0-7617-4A24-A6AD-A735E9817F48}"/>
    <hyperlink ref="G10" r:id="rId2" display="R@" xr:uid="{EFC351B9-5D61-450F-A1E4-C566D38A8D77}"/>
    <hyperlink ref="H2" r:id="rId3" display="R@" xr:uid="{70484A3C-5488-44A8-A20C-A9B17F6FD90F}"/>
    <hyperlink ref="H10" r:id="rId4" display="R@" xr:uid="{82D9E9AF-D165-4F26-A801-203FC61E3ED7}"/>
    <hyperlink ref="F2" r:id="rId5" display="R@" xr:uid="{759AEAB6-7AB5-414A-BB0F-EB8F4A0B7E33}"/>
    <hyperlink ref="G2" r:id="rId6" display="R@" xr:uid="{62B02B75-60A9-4E4D-A2DA-64EB46627DEB}"/>
    <hyperlink ref="AD11" r:id="rId7" display="R@" xr:uid="{BC024B9E-D782-49B0-9F49-EC2CE35D18C6}"/>
    <hyperlink ref="AE11" r:id="rId8" display="R@" xr:uid="{CB2A215B-B2B4-4D60-831C-A98984729325}"/>
    <hyperlink ref="AF3" r:id="rId9" display="R@" xr:uid="{19500F9A-6C88-4ECA-86BF-999D2E37A8D0}"/>
    <hyperlink ref="AF11" r:id="rId10" display="R@" xr:uid="{75B16074-2B9F-49A6-AA16-A42492D8A81B}"/>
    <hyperlink ref="AD3" r:id="rId11" display="R@" xr:uid="{41A5FCE9-C574-4A5C-94DB-5E0451E2E85A}"/>
    <hyperlink ref="AE3" r:id="rId12" display="R@" xr:uid="{84858E16-84D2-4FE6-A7A1-89BD818538FD}"/>
  </hyperlinks>
  <pageMargins left="0.7" right="0.7" top="0.75" bottom="0.75" header="0.3" footer="0.3"/>
  <drawing r:id="rId13"/>
  <tableParts count="1">
    <tablePart r:id="rId1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75B61-AD37-4569-ADF3-055E0599CCBB}">
  <dimension ref="A2:AH83"/>
  <sheetViews>
    <sheetView topLeftCell="B1" workbookViewId="0">
      <selection activeCell="C13" sqref="C13"/>
    </sheetView>
  </sheetViews>
  <sheetFormatPr defaultRowHeight="14.5" x14ac:dyDescent="0.35"/>
  <cols>
    <col min="2" max="2" width="6.7265625" style="6" bestFit="1" customWidth="1"/>
    <col min="3" max="3" width="19.1796875" style="2" bestFit="1" customWidth="1"/>
    <col min="4" max="4" width="12.1796875" customWidth="1"/>
    <col min="5" max="9" width="10" bestFit="1" customWidth="1"/>
    <col min="10" max="12" width="10" style="10" bestFit="1" customWidth="1"/>
    <col min="13" max="14" width="10" style="10" customWidth="1"/>
    <col min="15" max="15" width="10" style="11" bestFit="1" customWidth="1"/>
    <col min="16" max="16" width="14.7265625" style="11" bestFit="1" customWidth="1"/>
    <col min="17" max="17" width="9.54296875" style="13" bestFit="1" customWidth="1"/>
    <col min="19" max="19" width="7.26953125" style="11" bestFit="1" customWidth="1"/>
    <col min="20" max="20" width="10.81640625" style="11" customWidth="1"/>
    <col min="21" max="21" width="9.1796875" style="11"/>
    <col min="30" max="30" width="10" bestFit="1" customWidth="1"/>
    <col min="31" max="31" width="10.453125" customWidth="1"/>
    <col min="32" max="32" width="11.1796875" customWidth="1"/>
    <col min="33" max="33" width="11.453125" customWidth="1"/>
    <col min="34" max="34" width="11.54296875" customWidth="1"/>
  </cols>
  <sheetData>
    <row r="2" spans="1:34" x14ac:dyDescent="0.35">
      <c r="E2" s="4" t="s">
        <v>10</v>
      </c>
      <c r="F2" s="5" t="s">
        <v>11</v>
      </c>
      <c r="G2" s="5" t="s">
        <v>13</v>
      </c>
      <c r="H2" s="5" t="s">
        <v>25</v>
      </c>
      <c r="I2" s="5" t="s">
        <v>27</v>
      </c>
    </row>
    <row r="3" spans="1:34" x14ac:dyDescent="0.35">
      <c r="E3">
        <v>7</v>
      </c>
      <c r="F3">
        <v>7</v>
      </c>
      <c r="G3">
        <v>7</v>
      </c>
      <c r="H3">
        <v>7</v>
      </c>
      <c r="I3">
        <v>7</v>
      </c>
      <c r="AD3" s="4" t="s">
        <v>10</v>
      </c>
      <c r="AE3" s="5" t="s">
        <v>11</v>
      </c>
      <c r="AF3" s="5" t="s">
        <v>13</v>
      </c>
      <c r="AG3" s="5" t="s">
        <v>25</v>
      </c>
    </row>
    <row r="4" spans="1:34" x14ac:dyDescent="0.35">
      <c r="A4">
        <v>7</v>
      </c>
      <c r="B4">
        <v>7</v>
      </c>
      <c r="C4">
        <v>20</v>
      </c>
      <c r="D4">
        <v>20</v>
      </c>
      <c r="E4">
        <v>7</v>
      </c>
      <c r="F4">
        <v>7</v>
      </c>
      <c r="G4">
        <v>7</v>
      </c>
      <c r="H4">
        <v>100</v>
      </c>
      <c r="I4">
        <v>100</v>
      </c>
      <c r="AD4">
        <v>20</v>
      </c>
      <c r="AE4">
        <v>20</v>
      </c>
      <c r="AF4">
        <v>7</v>
      </c>
      <c r="AG4">
        <v>100</v>
      </c>
    </row>
    <row r="5" spans="1:34" x14ac:dyDescent="0.35">
      <c r="A5">
        <v>20</v>
      </c>
      <c r="B5">
        <v>7</v>
      </c>
      <c r="C5">
        <v>100</v>
      </c>
      <c r="D5">
        <v>100</v>
      </c>
      <c r="E5">
        <v>7</v>
      </c>
      <c r="F5">
        <v>7</v>
      </c>
      <c r="G5">
        <v>100</v>
      </c>
      <c r="H5">
        <v>100</v>
      </c>
      <c r="I5">
        <v>100</v>
      </c>
      <c r="AD5">
        <v>20</v>
      </c>
      <c r="AE5">
        <v>7</v>
      </c>
      <c r="AF5">
        <v>100</v>
      </c>
      <c r="AG5">
        <v>100</v>
      </c>
    </row>
    <row r="6" spans="1:34" x14ac:dyDescent="0.35">
      <c r="A6">
        <v>7</v>
      </c>
      <c r="B6">
        <v>7</v>
      </c>
      <c r="C6">
        <v>20</v>
      </c>
      <c r="D6">
        <v>20</v>
      </c>
      <c r="E6">
        <v>100</v>
      </c>
      <c r="F6">
        <v>100</v>
      </c>
      <c r="G6">
        <v>100</v>
      </c>
      <c r="H6">
        <v>100</v>
      </c>
      <c r="I6">
        <v>100</v>
      </c>
      <c r="AD6">
        <v>20</v>
      </c>
      <c r="AE6">
        <v>100</v>
      </c>
      <c r="AF6">
        <v>100</v>
      </c>
      <c r="AG6">
        <v>100</v>
      </c>
    </row>
    <row r="7" spans="1:34" x14ac:dyDescent="0.35">
      <c r="E7">
        <v>20</v>
      </c>
      <c r="F7">
        <v>100</v>
      </c>
      <c r="G7">
        <v>100</v>
      </c>
      <c r="H7">
        <v>100</v>
      </c>
      <c r="I7">
        <v>100</v>
      </c>
      <c r="AD7">
        <v>100</v>
      </c>
      <c r="AE7">
        <v>100</v>
      </c>
      <c r="AF7">
        <v>100</v>
      </c>
      <c r="AG7">
        <v>100</v>
      </c>
    </row>
    <row r="8" spans="1:34" x14ac:dyDescent="0.35">
      <c r="E8">
        <v>20</v>
      </c>
      <c r="F8">
        <v>20</v>
      </c>
      <c r="G8">
        <v>100</v>
      </c>
      <c r="H8">
        <v>100</v>
      </c>
      <c r="I8">
        <v>100</v>
      </c>
      <c r="AD8">
        <v>7</v>
      </c>
      <c r="AE8">
        <v>7</v>
      </c>
      <c r="AF8">
        <v>20</v>
      </c>
      <c r="AG8">
        <v>20</v>
      </c>
    </row>
    <row r="9" spans="1:34" x14ac:dyDescent="0.35">
      <c r="AD9">
        <v>7</v>
      </c>
      <c r="AE9">
        <v>7</v>
      </c>
      <c r="AF9">
        <v>7</v>
      </c>
      <c r="AG9">
        <v>7</v>
      </c>
    </row>
    <row r="10" spans="1:34" x14ac:dyDescent="0.35">
      <c r="E10" s="16" t="s">
        <v>10</v>
      </c>
      <c r="F10" s="9" t="s">
        <v>11</v>
      </c>
      <c r="G10" s="9" t="s">
        <v>13</v>
      </c>
      <c r="H10" s="9" t="s">
        <v>25</v>
      </c>
      <c r="I10" s="9" t="s">
        <v>27</v>
      </c>
      <c r="J10"/>
    </row>
    <row r="11" spans="1:34" x14ac:dyDescent="0.35">
      <c r="E11" s="10">
        <f t="shared" ref="E11:I12" si="0">-0.2/(E3*1000)</f>
        <v>-2.8571428571428574E-5</v>
      </c>
      <c r="F11" s="10">
        <f t="shared" si="0"/>
        <v>-2.8571428571428574E-5</v>
      </c>
      <c r="G11" s="10">
        <f t="shared" si="0"/>
        <v>-2.8571428571428574E-5</v>
      </c>
      <c r="H11" s="10">
        <f t="shared" si="0"/>
        <v>-2.8571428571428574E-5</v>
      </c>
      <c r="I11" s="10">
        <f t="shared" si="0"/>
        <v>-2.8571428571428574E-5</v>
      </c>
      <c r="J11" s="11">
        <f xml:space="preserve"> SUM(E11:I11)*1000000</f>
        <v>-142.85714285714286</v>
      </c>
      <c r="AD11" s="16" t="s">
        <v>10</v>
      </c>
      <c r="AE11" s="9" t="s">
        <v>11</v>
      </c>
      <c r="AF11" s="9" t="s">
        <v>13</v>
      </c>
      <c r="AG11" s="9" t="s">
        <v>25</v>
      </c>
    </row>
    <row r="12" spans="1:34" x14ac:dyDescent="0.35">
      <c r="E12" s="10">
        <f t="shared" si="0"/>
        <v>-2.8571428571428574E-5</v>
      </c>
      <c r="F12" s="10">
        <f t="shared" si="0"/>
        <v>-2.8571428571428574E-5</v>
      </c>
      <c r="G12" s="10">
        <f t="shared" si="0"/>
        <v>-2.8571428571428574E-5</v>
      </c>
      <c r="H12" s="10">
        <f t="shared" si="0"/>
        <v>-1.9999999999999999E-6</v>
      </c>
      <c r="I12" s="10">
        <f t="shared" si="0"/>
        <v>-1.9999999999999999E-6</v>
      </c>
      <c r="J12" s="11">
        <f t="shared" ref="J12:J16" si="1" xml:space="preserve"> SUM(E12:I12)*1000000</f>
        <v>-89.714285714285708</v>
      </c>
      <c r="AD12" s="10">
        <f t="shared" ref="AD12:AG17" si="2">-0.2/(AD4*1000)</f>
        <v>-1.0000000000000001E-5</v>
      </c>
      <c r="AE12" s="10">
        <f t="shared" si="2"/>
        <v>-1.0000000000000001E-5</v>
      </c>
      <c r="AF12" s="10">
        <f t="shared" si="2"/>
        <v>-2.8571428571428574E-5</v>
      </c>
      <c r="AG12" s="10">
        <f t="shared" si="2"/>
        <v>-1.9999999999999999E-6</v>
      </c>
      <c r="AH12" s="11">
        <f xml:space="preserve"> SUM(AD12:AG12)*1000000</f>
        <v>-50.571428571428577</v>
      </c>
    </row>
    <row r="13" spans="1:34" x14ac:dyDescent="0.35">
      <c r="E13" s="10">
        <f>-0.2/(E5*1000)</f>
        <v>-2.8571428571428574E-5</v>
      </c>
      <c r="F13" s="10">
        <f>-0.2/(F5*1000)</f>
        <v>-2.8571428571428574E-5</v>
      </c>
      <c r="G13" s="10">
        <f t="shared" ref="G13:H14" si="3">-0.2/(G5*1000)</f>
        <v>-1.9999999999999999E-6</v>
      </c>
      <c r="H13" s="10">
        <f t="shared" si="3"/>
        <v>-1.9999999999999999E-6</v>
      </c>
      <c r="I13" s="10">
        <f t="shared" ref="I13" si="4">-0.2/(I5*1000)</f>
        <v>-1.9999999999999999E-6</v>
      </c>
      <c r="J13" s="11">
        <f t="shared" si="1"/>
        <v>-63.142857142857139</v>
      </c>
      <c r="AD13" s="10">
        <f t="shared" si="2"/>
        <v>-1.0000000000000001E-5</v>
      </c>
      <c r="AE13" s="10">
        <f t="shared" si="2"/>
        <v>-2.8571428571428574E-5</v>
      </c>
      <c r="AF13" s="10">
        <f t="shared" si="2"/>
        <v>-1.9999999999999999E-6</v>
      </c>
      <c r="AG13" s="10">
        <f t="shared" si="2"/>
        <v>-1.9999999999999999E-6</v>
      </c>
      <c r="AH13" s="11">
        <f t="shared" ref="AH13:AH17" si="5" xml:space="preserve"> SUM(AD13:AG13)*1000000</f>
        <v>-42.571428571428577</v>
      </c>
    </row>
    <row r="14" spans="1:34" x14ac:dyDescent="0.35">
      <c r="E14" s="10">
        <f t="shared" ref="E14:G15" si="6">-0.2/(E6*1000)</f>
        <v>-1.9999999999999999E-6</v>
      </c>
      <c r="F14" s="10">
        <f t="shared" si="6"/>
        <v>-1.9999999999999999E-6</v>
      </c>
      <c r="G14" s="10">
        <f t="shared" si="6"/>
        <v>-1.9999999999999999E-6</v>
      </c>
      <c r="H14" s="10">
        <f t="shared" si="3"/>
        <v>-1.9999999999999999E-6</v>
      </c>
      <c r="I14" s="10">
        <f t="shared" ref="I14" si="7">-0.2/(I6*1000)</f>
        <v>-1.9999999999999999E-6</v>
      </c>
      <c r="J14" s="11">
        <f t="shared" si="1"/>
        <v>-10</v>
      </c>
      <c r="AD14" s="10">
        <f t="shared" si="2"/>
        <v>-1.0000000000000001E-5</v>
      </c>
      <c r="AE14" s="10">
        <f t="shared" si="2"/>
        <v>-1.9999999999999999E-6</v>
      </c>
      <c r="AF14" s="10">
        <f t="shared" si="2"/>
        <v>-1.9999999999999999E-6</v>
      </c>
      <c r="AG14" s="10">
        <f t="shared" si="2"/>
        <v>-1.9999999999999999E-6</v>
      </c>
      <c r="AH14" s="11">
        <f t="shared" si="5"/>
        <v>-16</v>
      </c>
    </row>
    <row r="15" spans="1:34" x14ac:dyDescent="0.35">
      <c r="E15" s="10">
        <f>-0.2/(E7*1000)</f>
        <v>-1.0000000000000001E-5</v>
      </c>
      <c r="F15" s="10">
        <f t="shared" si="6"/>
        <v>-1.9999999999999999E-6</v>
      </c>
      <c r="G15" s="10">
        <f t="shared" si="6"/>
        <v>-1.9999999999999999E-6</v>
      </c>
      <c r="H15" s="10">
        <f>-0.2/(H7*1000)</f>
        <v>-1.9999999999999999E-6</v>
      </c>
      <c r="I15" s="10">
        <f>-0.2/(I7*1000)</f>
        <v>-1.9999999999999999E-6</v>
      </c>
      <c r="J15" s="11">
        <f t="shared" si="1"/>
        <v>-18</v>
      </c>
      <c r="AD15" s="10">
        <f t="shared" si="2"/>
        <v>-1.9999999999999999E-6</v>
      </c>
      <c r="AE15" s="10">
        <f t="shared" si="2"/>
        <v>-1.9999999999999999E-6</v>
      </c>
      <c r="AF15" s="10">
        <f t="shared" si="2"/>
        <v>-1.9999999999999999E-6</v>
      </c>
      <c r="AG15" s="10">
        <f t="shared" si="2"/>
        <v>-1.9999999999999999E-6</v>
      </c>
      <c r="AH15" s="11">
        <f t="shared" si="5"/>
        <v>-8</v>
      </c>
    </row>
    <row r="16" spans="1:34" x14ac:dyDescent="0.35">
      <c r="E16" s="10">
        <f t="shared" ref="E16:G16" si="8">-0.2/(E8*1000)</f>
        <v>-1.0000000000000001E-5</v>
      </c>
      <c r="F16" s="10">
        <f t="shared" si="8"/>
        <v>-1.0000000000000001E-5</v>
      </c>
      <c r="G16" s="10">
        <f t="shared" si="8"/>
        <v>-1.9999999999999999E-6</v>
      </c>
      <c r="H16" s="10">
        <f>-0.2/(H8*1000)</f>
        <v>-1.9999999999999999E-6</v>
      </c>
      <c r="I16" s="10">
        <f>-0.2/(I8*1000)</f>
        <v>-1.9999999999999999E-6</v>
      </c>
      <c r="J16" s="11">
        <f t="shared" si="1"/>
        <v>-26.000000000000004</v>
      </c>
      <c r="AD16" s="10">
        <f t="shared" si="2"/>
        <v>-2.8571428571428574E-5</v>
      </c>
      <c r="AE16" s="10">
        <f t="shared" si="2"/>
        <v>-2.8571428571428574E-5</v>
      </c>
      <c r="AF16" s="10">
        <f t="shared" si="2"/>
        <v>-1.0000000000000001E-5</v>
      </c>
      <c r="AG16" s="10">
        <f t="shared" si="2"/>
        <v>-1.0000000000000001E-5</v>
      </c>
      <c r="AH16" s="11">
        <f t="shared" si="5"/>
        <v>-77.142857142857153</v>
      </c>
    </row>
    <row r="17" spans="2:34" x14ac:dyDescent="0.35">
      <c r="AD17" s="10">
        <f t="shared" si="2"/>
        <v>-2.8571428571428574E-5</v>
      </c>
      <c r="AE17" s="10">
        <f t="shared" si="2"/>
        <v>-2.8571428571428574E-5</v>
      </c>
      <c r="AF17" s="10">
        <f t="shared" si="2"/>
        <v>-2.8571428571428574E-5</v>
      </c>
      <c r="AG17" s="10">
        <f t="shared" si="2"/>
        <v>-2.8571428571428574E-5</v>
      </c>
      <c r="AH17" s="11">
        <f t="shared" si="5"/>
        <v>-114.28571428571429</v>
      </c>
    </row>
    <row r="19" spans="2:34" s="2" customFormat="1" x14ac:dyDescent="0.35">
      <c r="B19" s="3" t="s">
        <v>6</v>
      </c>
      <c r="C19" s="4" t="s">
        <v>23</v>
      </c>
      <c r="D19" s="3" t="s">
        <v>5</v>
      </c>
      <c r="E19" s="3" t="s">
        <v>0</v>
      </c>
      <c r="F19" s="3" t="s">
        <v>1</v>
      </c>
      <c r="G19" s="3" t="s">
        <v>2</v>
      </c>
      <c r="H19" s="3" t="s">
        <v>3</v>
      </c>
      <c r="I19" s="3" t="s">
        <v>4</v>
      </c>
      <c r="J19" s="8" t="s">
        <v>7</v>
      </c>
      <c r="K19" s="8" t="s">
        <v>8</v>
      </c>
      <c r="L19" s="8" t="s">
        <v>12</v>
      </c>
      <c r="M19" s="8" t="s">
        <v>26</v>
      </c>
      <c r="N19" s="8" t="s">
        <v>29</v>
      </c>
      <c r="O19" s="12" t="s">
        <v>9</v>
      </c>
      <c r="P19" s="12" t="s">
        <v>14</v>
      </c>
      <c r="Q19" s="14" t="s">
        <v>15</v>
      </c>
      <c r="S19" s="12"/>
      <c r="T19" s="12"/>
      <c r="U19" s="12" t="s">
        <v>24</v>
      </c>
      <c r="V19" s="14" t="s">
        <v>15</v>
      </c>
    </row>
    <row r="20" spans="2:34" x14ac:dyDescent="0.35">
      <c r="B20" s="6">
        <v>0</v>
      </c>
      <c r="C20" s="2" t="s">
        <v>16</v>
      </c>
      <c r="D20" s="6" t="str">
        <f t="shared" ref="D20:D51" si="9">LEFT(RIGHT(DEC2BIN($B20,6),6),1)</f>
        <v>0</v>
      </c>
      <c r="E20" s="6" t="str">
        <f t="shared" ref="E20:E51" si="10">LEFT(RIGHT(DEC2BIN($B20,6),5),1)</f>
        <v>0</v>
      </c>
      <c r="F20" s="6" t="str">
        <f t="shared" ref="F20:F51" si="11">LEFT(RIGHT(DEC2BIN($B20,6),4),1)</f>
        <v>0</v>
      </c>
      <c r="G20" s="6" t="str">
        <f t="shared" ref="G20:G51" si="12">LEFT(RIGHT(DEC2BIN($B20,6),3),1)</f>
        <v>0</v>
      </c>
      <c r="H20" s="6" t="str">
        <f t="shared" ref="H20:H51" si="13">LEFT(RIGHT(DEC2BIN($B20,6),2),1)</f>
        <v>0</v>
      </c>
      <c r="I20" s="6" t="str">
        <f t="shared" ref="I20:I51" si="14">LEFT(RIGHT(DEC2BIN($B20,6),1),1)</f>
        <v>0</v>
      </c>
      <c r="J20" s="10">
        <f t="shared" ref="J20:J51" si="15">(($D20*$E$11)+($E20*$E$12)+($F20*$E$13)+($G20*$E$14)+($H20*$E$15)+($I20*$E$16))</f>
        <v>0</v>
      </c>
      <c r="K20" s="10">
        <f t="shared" ref="K20:K51" si="16">(($D20*$F$11)+($E20*$F$12)+($F20*$F$13)+($G20*$F$14)+($H20*$F$15)+($I20*$F$16))</f>
        <v>0</v>
      </c>
      <c r="L20" s="10">
        <f t="shared" ref="L20:L51" si="17">(($D20*$G$11)+($E20*$G$12)+($F20*$G$13)+($G20*$G$14)+($H20*$G$15)+($I20*$G$16))</f>
        <v>0</v>
      </c>
      <c r="M20" s="10">
        <f t="shared" ref="M20:M51" si="18">(($D20*$H$11)+($E20*$H$12)+($F20*$H$13)+($G20*$H$14)+($H20*$H$15)+($I20*$H$16))</f>
        <v>0</v>
      </c>
      <c r="N20" s="10">
        <f t="shared" ref="N20:N51" si="19">(($D20*$I$11)+($E20*$I$12)+($F20*$I$13)+($G20*$I$14)+($H20*$I$15)+($I20*$I$16))</f>
        <v>0</v>
      </c>
      <c r="O20" s="11">
        <f>ROUND(( J20+K20+L20+M20+Table327[[#This Row],[I5]])*1000000, 0)</f>
        <v>0</v>
      </c>
      <c r="P20" s="11" cm="1">
        <f t="array" ref="P20:P79" xml:space="preserve"> _xlfn.UNIQUE(O20:O83)</f>
        <v>0</v>
      </c>
      <c r="Q20" s="13">
        <f>IF(ISBLANK(P20), "", COUNTIF($O$20:$O$83,P20))</f>
        <v>1</v>
      </c>
      <c r="S20" s="11" cm="1">
        <f t="array" ref="S20:S83">_xlfn._xlws.SORT(Table327[I-diff])</f>
        <v>-350</v>
      </c>
      <c r="T20" s="11">
        <f>IF(ISBLANK(S21),"",S21-S20)</f>
        <v>10</v>
      </c>
      <c r="U20" s="11" cm="1">
        <f t="array" ref="U20:U28">_xlfn.UNIQUE(T20:T83)</f>
        <v>10</v>
      </c>
      <c r="V20" s="13">
        <f t="shared" ref="V20:V24" si="20">IF(OR(ISBLANK(U20), U20 = ""),"",COUNTIF($T$20:$T$83,U20))</f>
        <v>6</v>
      </c>
    </row>
    <row r="21" spans="2:34" x14ac:dyDescent="0.35">
      <c r="B21" s="6">
        <v>1</v>
      </c>
      <c r="C21" s="2" t="s">
        <v>16</v>
      </c>
      <c r="D21" s="6" t="str">
        <f t="shared" si="9"/>
        <v>0</v>
      </c>
      <c r="E21" s="6" t="str">
        <f t="shared" si="10"/>
        <v>0</v>
      </c>
      <c r="F21" s="6" t="str">
        <f t="shared" si="11"/>
        <v>0</v>
      </c>
      <c r="G21" s="6" t="str">
        <f t="shared" si="12"/>
        <v>0</v>
      </c>
      <c r="H21" s="6" t="str">
        <f t="shared" si="13"/>
        <v>0</v>
      </c>
      <c r="I21" s="6" t="str">
        <f t="shared" si="14"/>
        <v>1</v>
      </c>
      <c r="J21" s="10">
        <f t="shared" si="15"/>
        <v>-1.0000000000000001E-5</v>
      </c>
      <c r="K21" s="10">
        <f t="shared" si="16"/>
        <v>-1.0000000000000001E-5</v>
      </c>
      <c r="L21" s="10">
        <f t="shared" si="17"/>
        <v>-1.9999999999999999E-6</v>
      </c>
      <c r="M21" s="10">
        <f t="shared" si="18"/>
        <v>-1.9999999999999999E-6</v>
      </c>
      <c r="N21" s="10">
        <f t="shared" si="19"/>
        <v>-1.9999999999999999E-6</v>
      </c>
      <c r="O21" s="11">
        <f>ROUND(( J21+K21+L21+M21+Table327[[#This Row],[I5]])*1000000, 0)</f>
        <v>-26</v>
      </c>
      <c r="P21" s="11">
        <v>-26</v>
      </c>
      <c r="Q21" s="13">
        <f t="shared" ref="Q21:Q41" si="21">IF(ISBLANK(P21), "", COUNTIF($O$20:$O$83,P21))</f>
        <v>1</v>
      </c>
      <c r="S21" s="11">
        <v>-340</v>
      </c>
      <c r="T21" s="11">
        <f>IF(ISBLANK(S22),"",S22-S21)</f>
        <v>8</v>
      </c>
      <c r="U21" s="11">
        <v>8</v>
      </c>
      <c r="V21" s="13">
        <f t="shared" si="20"/>
        <v>23</v>
      </c>
    </row>
    <row r="22" spans="2:34" x14ac:dyDescent="0.35">
      <c r="B22" s="6">
        <v>2</v>
      </c>
      <c r="C22" s="2" t="s">
        <v>17</v>
      </c>
      <c r="D22" s="6" t="str">
        <f t="shared" si="9"/>
        <v>0</v>
      </c>
      <c r="E22" s="6" t="str">
        <f t="shared" si="10"/>
        <v>0</v>
      </c>
      <c r="F22" s="6" t="str">
        <f t="shared" si="11"/>
        <v>0</v>
      </c>
      <c r="G22" s="6" t="str">
        <f t="shared" si="12"/>
        <v>0</v>
      </c>
      <c r="H22" s="6" t="str">
        <f t="shared" si="13"/>
        <v>1</v>
      </c>
      <c r="I22" s="6" t="str">
        <f t="shared" si="14"/>
        <v>0</v>
      </c>
      <c r="J22" s="10">
        <f t="shared" si="15"/>
        <v>-1.0000000000000001E-5</v>
      </c>
      <c r="K22" s="10">
        <f t="shared" si="16"/>
        <v>-1.9999999999999999E-6</v>
      </c>
      <c r="L22" s="10">
        <f t="shared" si="17"/>
        <v>-1.9999999999999999E-6</v>
      </c>
      <c r="M22" s="10">
        <f t="shared" si="18"/>
        <v>-1.9999999999999999E-6</v>
      </c>
      <c r="N22" s="10">
        <f t="shared" si="19"/>
        <v>-1.9999999999999999E-6</v>
      </c>
      <c r="O22" s="11">
        <f>ROUND(( J22+K22+L22+M22+Table327[[#This Row],[I5]])*1000000, 0)</f>
        <v>-18</v>
      </c>
      <c r="P22" s="11">
        <v>-18</v>
      </c>
      <c r="Q22" s="13">
        <f t="shared" si="21"/>
        <v>1</v>
      </c>
      <c r="S22" s="11">
        <v>-332</v>
      </c>
      <c r="T22" s="11">
        <f>IF(ISBLANK(S23),"",S23-S22)</f>
        <v>8</v>
      </c>
      <c r="U22" s="11">
        <v>2</v>
      </c>
      <c r="V22" s="13">
        <f t="shared" si="20"/>
        <v>6</v>
      </c>
    </row>
    <row r="23" spans="2:34" x14ac:dyDescent="0.35">
      <c r="B23" s="6">
        <v>3</v>
      </c>
      <c r="C23" s="2" t="s">
        <v>16</v>
      </c>
      <c r="D23" s="6" t="str">
        <f t="shared" si="9"/>
        <v>0</v>
      </c>
      <c r="E23" s="6" t="str">
        <f t="shared" si="10"/>
        <v>0</v>
      </c>
      <c r="F23" s="6" t="str">
        <f t="shared" si="11"/>
        <v>0</v>
      </c>
      <c r="G23" s="6" t="str">
        <f t="shared" si="12"/>
        <v>0</v>
      </c>
      <c r="H23" s="6" t="str">
        <f t="shared" si="13"/>
        <v>1</v>
      </c>
      <c r="I23" s="6" t="str">
        <f t="shared" si="14"/>
        <v>1</v>
      </c>
      <c r="J23" s="10">
        <f t="shared" si="15"/>
        <v>-2.0000000000000002E-5</v>
      </c>
      <c r="K23" s="10">
        <f t="shared" si="16"/>
        <v>-1.2E-5</v>
      </c>
      <c r="L23" s="10">
        <f t="shared" si="17"/>
        <v>-3.9999999999999998E-6</v>
      </c>
      <c r="M23" s="10">
        <f t="shared" si="18"/>
        <v>-3.9999999999999998E-6</v>
      </c>
      <c r="N23" s="10">
        <f t="shared" si="19"/>
        <v>-3.9999999999999998E-6</v>
      </c>
      <c r="O23" s="11">
        <f>ROUND(( J23+K23+L23+M23+Table327[[#This Row],[I5]])*1000000, 0)</f>
        <v>-44</v>
      </c>
      <c r="P23" s="11">
        <v>-44</v>
      </c>
      <c r="Q23" s="13">
        <f t="shared" si="21"/>
        <v>1</v>
      </c>
      <c r="S23" s="11">
        <v>-324</v>
      </c>
      <c r="T23" s="11">
        <f t="shared" ref="T23:T83" si="22">IF(ISBLANK(S24),"",S24-S23)</f>
        <v>2</v>
      </c>
      <c r="U23" s="11">
        <v>9</v>
      </c>
      <c r="V23" s="13">
        <f t="shared" si="20"/>
        <v>6</v>
      </c>
    </row>
    <row r="24" spans="2:34" x14ac:dyDescent="0.35">
      <c r="B24" s="6">
        <v>4</v>
      </c>
      <c r="C24" s="2" t="s">
        <v>18</v>
      </c>
      <c r="D24" s="6" t="str">
        <f t="shared" si="9"/>
        <v>0</v>
      </c>
      <c r="E24" s="6" t="str">
        <f t="shared" si="10"/>
        <v>0</v>
      </c>
      <c r="F24" s="6" t="str">
        <f t="shared" si="11"/>
        <v>0</v>
      </c>
      <c r="G24" s="6" t="str">
        <f t="shared" si="12"/>
        <v>1</v>
      </c>
      <c r="H24" s="6" t="str">
        <f t="shared" si="13"/>
        <v>0</v>
      </c>
      <c r="I24" s="6" t="str">
        <f t="shared" si="14"/>
        <v>0</v>
      </c>
      <c r="J24" s="10">
        <f t="shared" si="15"/>
        <v>-1.9999999999999999E-6</v>
      </c>
      <c r="K24" s="10">
        <f t="shared" si="16"/>
        <v>-1.9999999999999999E-6</v>
      </c>
      <c r="L24" s="10">
        <f t="shared" si="17"/>
        <v>-1.9999999999999999E-6</v>
      </c>
      <c r="M24" s="10">
        <f t="shared" si="18"/>
        <v>-1.9999999999999999E-6</v>
      </c>
      <c r="N24" s="10">
        <f t="shared" si="19"/>
        <v>-1.9999999999999999E-6</v>
      </c>
      <c r="O24" s="11">
        <f>ROUND(( J24+K24+L24+M24+Table327[[#This Row],[I5]])*1000000, 0)</f>
        <v>-10</v>
      </c>
      <c r="P24" s="11">
        <v>-10</v>
      </c>
      <c r="Q24" s="13">
        <f t="shared" si="21"/>
        <v>1</v>
      </c>
      <c r="S24" s="11">
        <v>-322</v>
      </c>
      <c r="T24" s="11">
        <f t="shared" si="22"/>
        <v>8</v>
      </c>
      <c r="U24" s="11">
        <v>1</v>
      </c>
      <c r="V24" s="13">
        <f t="shared" si="20"/>
        <v>14</v>
      </c>
    </row>
    <row r="25" spans="2:34" x14ac:dyDescent="0.35">
      <c r="B25" s="6">
        <v>5</v>
      </c>
      <c r="C25" s="2" t="s">
        <v>20</v>
      </c>
      <c r="D25" s="6" t="str">
        <f t="shared" si="9"/>
        <v>0</v>
      </c>
      <c r="E25" s="6" t="str">
        <f t="shared" si="10"/>
        <v>0</v>
      </c>
      <c r="F25" s="6" t="str">
        <f t="shared" si="11"/>
        <v>0</v>
      </c>
      <c r="G25" s="6" t="str">
        <f t="shared" si="12"/>
        <v>1</v>
      </c>
      <c r="H25" s="6" t="str">
        <f t="shared" si="13"/>
        <v>0</v>
      </c>
      <c r="I25" s="6" t="str">
        <f t="shared" si="14"/>
        <v>1</v>
      </c>
      <c r="J25" s="10">
        <f t="shared" si="15"/>
        <v>-1.2E-5</v>
      </c>
      <c r="K25" s="10">
        <f t="shared" si="16"/>
        <v>-1.2E-5</v>
      </c>
      <c r="L25" s="10">
        <f t="shared" si="17"/>
        <v>-3.9999999999999998E-6</v>
      </c>
      <c r="M25" s="10">
        <f t="shared" si="18"/>
        <v>-3.9999999999999998E-6</v>
      </c>
      <c r="N25" s="10">
        <f t="shared" si="19"/>
        <v>-3.9999999999999998E-6</v>
      </c>
      <c r="O25" s="11">
        <f>ROUND(( J25+K25+L25+M25+Table327[[#This Row],[I5]])*1000000, 0)</f>
        <v>-36</v>
      </c>
      <c r="P25" s="11">
        <v>-36</v>
      </c>
      <c r="Q25" s="13">
        <f t="shared" si="21"/>
        <v>1</v>
      </c>
      <c r="S25" s="11">
        <v>-314</v>
      </c>
      <c r="T25" s="11">
        <f t="shared" si="22"/>
        <v>8</v>
      </c>
      <c r="U25" s="11">
        <v>7</v>
      </c>
      <c r="V25" s="13">
        <f>IF(OR(ISBLANK(U25), U25 = ""),"",COUNTIF($T$20:$T$83,U25))</f>
        <v>2</v>
      </c>
    </row>
    <row r="26" spans="2:34" x14ac:dyDescent="0.35">
      <c r="B26" s="6">
        <v>6</v>
      </c>
      <c r="C26" s="2" t="s">
        <v>17</v>
      </c>
      <c r="D26" s="6" t="str">
        <f t="shared" si="9"/>
        <v>0</v>
      </c>
      <c r="E26" s="6" t="str">
        <f t="shared" si="10"/>
        <v>0</v>
      </c>
      <c r="F26" s="6" t="str">
        <f t="shared" si="11"/>
        <v>0</v>
      </c>
      <c r="G26" s="6" t="str">
        <f t="shared" si="12"/>
        <v>1</v>
      </c>
      <c r="H26" s="6" t="str">
        <f t="shared" si="13"/>
        <v>1</v>
      </c>
      <c r="I26" s="6" t="str">
        <f t="shared" si="14"/>
        <v>0</v>
      </c>
      <c r="J26" s="10">
        <f t="shared" si="15"/>
        <v>-1.2E-5</v>
      </c>
      <c r="K26" s="10">
        <f t="shared" si="16"/>
        <v>-3.9999999999999998E-6</v>
      </c>
      <c r="L26" s="10">
        <f t="shared" si="17"/>
        <v>-3.9999999999999998E-6</v>
      </c>
      <c r="M26" s="10">
        <f t="shared" si="18"/>
        <v>-3.9999999999999998E-6</v>
      </c>
      <c r="N26" s="10">
        <f t="shared" si="19"/>
        <v>-3.9999999999999998E-6</v>
      </c>
      <c r="O26" s="11">
        <f>ROUND(( J26+K26+L26+M26+Table327[[#This Row],[I5]])*1000000, 0)</f>
        <v>-28</v>
      </c>
      <c r="P26" s="11">
        <v>-28</v>
      </c>
      <c r="Q26" s="13">
        <f t="shared" si="21"/>
        <v>1</v>
      </c>
      <c r="S26" s="11">
        <v>-306</v>
      </c>
      <c r="T26" s="11">
        <f t="shared" si="22"/>
        <v>10</v>
      </c>
      <c r="U26" s="11">
        <v>0</v>
      </c>
      <c r="V26" s="13">
        <f t="shared" ref="V26:V83" si="23">IF(OR(ISBLANK(U26), U26 = ""),"",COUNTIF($T$20:$T$83,U26))</f>
        <v>4</v>
      </c>
    </row>
    <row r="27" spans="2:34" x14ac:dyDescent="0.35">
      <c r="B27" s="6">
        <v>7</v>
      </c>
      <c r="C27" s="2" t="s">
        <v>16</v>
      </c>
      <c r="D27" s="6" t="str">
        <f t="shared" si="9"/>
        <v>0</v>
      </c>
      <c r="E27" s="6" t="str">
        <f t="shared" si="10"/>
        <v>0</v>
      </c>
      <c r="F27" s="6" t="str">
        <f t="shared" si="11"/>
        <v>0</v>
      </c>
      <c r="G27" s="6" t="str">
        <f t="shared" si="12"/>
        <v>1</v>
      </c>
      <c r="H27" s="6" t="str">
        <f t="shared" si="13"/>
        <v>1</v>
      </c>
      <c r="I27" s="6" t="str">
        <f t="shared" si="14"/>
        <v>1</v>
      </c>
      <c r="J27" s="10">
        <f t="shared" si="15"/>
        <v>-2.1999999999999999E-5</v>
      </c>
      <c r="K27" s="10">
        <f t="shared" si="16"/>
        <v>-1.4000000000000001E-5</v>
      </c>
      <c r="L27" s="10">
        <f t="shared" si="17"/>
        <v>-6.0000000000000002E-6</v>
      </c>
      <c r="M27" s="10">
        <f t="shared" si="18"/>
        <v>-6.0000000000000002E-6</v>
      </c>
      <c r="N27" s="10">
        <f t="shared" si="19"/>
        <v>-6.0000000000000002E-6</v>
      </c>
      <c r="O27" s="11">
        <f>ROUND(( J27+K27+L27+M27+Table327[[#This Row],[I5]])*1000000, 0)</f>
        <v>-54</v>
      </c>
      <c r="P27" s="11">
        <v>-54</v>
      </c>
      <c r="Q27" s="13">
        <f t="shared" si="21"/>
        <v>1</v>
      </c>
      <c r="S27" s="11">
        <v>-296</v>
      </c>
      <c r="T27" s="11">
        <f t="shared" si="22"/>
        <v>9</v>
      </c>
      <c r="U27" s="11">
        <v>6</v>
      </c>
      <c r="V27" s="13">
        <f t="shared" si="23"/>
        <v>2</v>
      </c>
    </row>
    <row r="28" spans="2:34" x14ac:dyDescent="0.35">
      <c r="B28" s="6">
        <v>8</v>
      </c>
      <c r="C28" s="2" t="s">
        <v>19</v>
      </c>
      <c r="D28" s="6" t="str">
        <f t="shared" si="9"/>
        <v>0</v>
      </c>
      <c r="E28" s="6" t="str">
        <f t="shared" si="10"/>
        <v>0</v>
      </c>
      <c r="F28" s="6" t="str">
        <f t="shared" si="11"/>
        <v>1</v>
      </c>
      <c r="G28" s="6" t="str">
        <f t="shared" si="12"/>
        <v>0</v>
      </c>
      <c r="H28" s="6" t="str">
        <f t="shared" si="13"/>
        <v>0</v>
      </c>
      <c r="I28" s="6" t="str">
        <f t="shared" si="14"/>
        <v>0</v>
      </c>
      <c r="J28" s="10">
        <f t="shared" si="15"/>
        <v>-2.8571428571428574E-5</v>
      </c>
      <c r="K28" s="10">
        <f t="shared" si="16"/>
        <v>-2.8571428571428574E-5</v>
      </c>
      <c r="L28" s="10">
        <f t="shared" si="17"/>
        <v>-1.9999999999999999E-6</v>
      </c>
      <c r="M28" s="10">
        <f t="shared" si="18"/>
        <v>-1.9999999999999999E-6</v>
      </c>
      <c r="N28" s="10">
        <f t="shared" si="19"/>
        <v>-1.9999999999999999E-6</v>
      </c>
      <c r="O28" s="11">
        <f>ROUND(( J28+K28+L28+M28+Table327[[#This Row],[I5]])*1000000, 0)</f>
        <v>-63</v>
      </c>
      <c r="P28" s="11">
        <v>-63</v>
      </c>
      <c r="Q28" s="13">
        <f t="shared" si="21"/>
        <v>1</v>
      </c>
      <c r="S28" s="11">
        <v>-287</v>
      </c>
      <c r="T28" s="11">
        <f t="shared" si="22"/>
        <v>10</v>
      </c>
      <c r="U28" s="11" t="str">
        <v/>
      </c>
      <c r="V28" s="13" t="str">
        <f t="shared" si="23"/>
        <v/>
      </c>
    </row>
    <row r="29" spans="2:34" ht="15" customHeight="1" x14ac:dyDescent="0.35">
      <c r="B29" s="6">
        <v>9</v>
      </c>
      <c r="C29" s="2" t="s">
        <v>20</v>
      </c>
      <c r="D29" s="6" t="str">
        <f t="shared" si="9"/>
        <v>0</v>
      </c>
      <c r="E29" s="6" t="str">
        <f t="shared" si="10"/>
        <v>0</v>
      </c>
      <c r="F29" s="6" t="str">
        <f t="shared" si="11"/>
        <v>1</v>
      </c>
      <c r="G29" s="6" t="str">
        <f t="shared" si="12"/>
        <v>0</v>
      </c>
      <c r="H29" s="6" t="str">
        <f t="shared" si="13"/>
        <v>0</v>
      </c>
      <c r="I29" s="6" t="str">
        <f t="shared" si="14"/>
        <v>1</v>
      </c>
      <c r="J29" s="10">
        <f t="shared" si="15"/>
        <v>-3.8571428571428577E-5</v>
      </c>
      <c r="K29" s="10">
        <f t="shared" si="16"/>
        <v>-3.8571428571428577E-5</v>
      </c>
      <c r="L29" s="10">
        <f t="shared" si="17"/>
        <v>-3.9999999999999998E-6</v>
      </c>
      <c r="M29" s="10">
        <f t="shared" si="18"/>
        <v>-3.9999999999999998E-6</v>
      </c>
      <c r="N29" s="10">
        <f t="shared" si="19"/>
        <v>-3.9999999999999998E-6</v>
      </c>
      <c r="O29" s="11">
        <f>ROUND(( J29+K29+L29+M29+Table327[[#This Row],[I5]])*1000000, 0)</f>
        <v>-89</v>
      </c>
      <c r="P29" s="11">
        <v>-89</v>
      </c>
      <c r="Q29" s="13">
        <f t="shared" si="21"/>
        <v>1</v>
      </c>
      <c r="S29" s="11">
        <v>-277</v>
      </c>
      <c r="T29" s="11">
        <f t="shared" si="22"/>
        <v>8</v>
      </c>
      <c r="V29" s="13" t="str">
        <f t="shared" si="23"/>
        <v/>
      </c>
    </row>
    <row r="30" spans="2:34" ht="15" customHeight="1" x14ac:dyDescent="0.35">
      <c r="B30" s="6">
        <v>10</v>
      </c>
      <c r="C30" s="2" t="s">
        <v>20</v>
      </c>
      <c r="D30" s="6" t="str">
        <f t="shared" si="9"/>
        <v>0</v>
      </c>
      <c r="E30" s="6" t="str">
        <f t="shared" si="10"/>
        <v>0</v>
      </c>
      <c r="F30" s="6" t="str">
        <f t="shared" si="11"/>
        <v>1</v>
      </c>
      <c r="G30" s="6" t="str">
        <f t="shared" si="12"/>
        <v>0</v>
      </c>
      <c r="H30" s="6" t="str">
        <f t="shared" si="13"/>
        <v>1</v>
      </c>
      <c r="I30" s="6" t="str">
        <f t="shared" si="14"/>
        <v>0</v>
      </c>
      <c r="J30" s="10">
        <f t="shared" si="15"/>
        <v>-3.8571428571428577E-5</v>
      </c>
      <c r="K30" s="10">
        <f t="shared" si="16"/>
        <v>-3.0571428571428572E-5</v>
      </c>
      <c r="L30" s="10">
        <f t="shared" si="17"/>
        <v>-3.9999999999999998E-6</v>
      </c>
      <c r="M30" s="10">
        <f t="shared" si="18"/>
        <v>-3.9999999999999998E-6</v>
      </c>
      <c r="N30" s="10">
        <f t="shared" si="19"/>
        <v>-3.9999999999999998E-6</v>
      </c>
      <c r="O30" s="11">
        <f>ROUND(( J30+K30+L30+M30+Table327[[#This Row],[I5]])*1000000, 0)</f>
        <v>-81</v>
      </c>
      <c r="P30" s="11">
        <v>-81</v>
      </c>
      <c r="Q30" s="13">
        <f t="shared" si="21"/>
        <v>1</v>
      </c>
      <c r="S30" s="11">
        <v>-269</v>
      </c>
      <c r="T30" s="11">
        <f t="shared" si="22"/>
        <v>8</v>
      </c>
      <c r="V30" s="13" t="str">
        <f t="shared" si="23"/>
        <v/>
      </c>
    </row>
    <row r="31" spans="2:34" ht="15" customHeight="1" x14ac:dyDescent="0.35">
      <c r="B31" s="6">
        <v>11</v>
      </c>
      <c r="C31" s="2" t="s">
        <v>20</v>
      </c>
      <c r="D31" s="6" t="str">
        <f t="shared" si="9"/>
        <v>0</v>
      </c>
      <c r="E31" s="6" t="str">
        <f t="shared" si="10"/>
        <v>0</v>
      </c>
      <c r="F31" s="6" t="str">
        <f t="shared" si="11"/>
        <v>1</v>
      </c>
      <c r="G31" s="6" t="str">
        <f t="shared" si="12"/>
        <v>0</v>
      </c>
      <c r="H31" s="6" t="str">
        <f t="shared" si="13"/>
        <v>1</v>
      </c>
      <c r="I31" s="6" t="str">
        <f t="shared" si="14"/>
        <v>1</v>
      </c>
      <c r="J31" s="10">
        <f t="shared" si="15"/>
        <v>-4.8571428571428576E-5</v>
      </c>
      <c r="K31" s="10">
        <f t="shared" si="16"/>
        <v>-4.0571428571428571E-5</v>
      </c>
      <c r="L31" s="10">
        <f t="shared" si="17"/>
        <v>-6.0000000000000002E-6</v>
      </c>
      <c r="M31" s="10">
        <f t="shared" si="18"/>
        <v>-6.0000000000000002E-6</v>
      </c>
      <c r="N31" s="10">
        <f t="shared" si="19"/>
        <v>-6.0000000000000002E-6</v>
      </c>
      <c r="O31" s="11">
        <f>ROUND(( J31+K31+L31+M31+Table327[[#This Row],[I5]])*1000000, 0)</f>
        <v>-107</v>
      </c>
      <c r="P31" s="11">
        <v>-107</v>
      </c>
      <c r="Q31" s="13">
        <f t="shared" si="21"/>
        <v>1</v>
      </c>
      <c r="S31" s="11">
        <v>-261</v>
      </c>
      <c r="T31" s="11">
        <f t="shared" si="22"/>
        <v>1</v>
      </c>
      <c r="V31" s="13" t="str">
        <f t="shared" si="23"/>
        <v/>
      </c>
    </row>
    <row r="32" spans="2:34" x14ac:dyDescent="0.35">
      <c r="B32" s="6">
        <v>12</v>
      </c>
      <c r="C32" s="2" t="s">
        <v>19</v>
      </c>
      <c r="D32" s="6" t="str">
        <f t="shared" si="9"/>
        <v>0</v>
      </c>
      <c r="E32" s="6" t="str">
        <f t="shared" si="10"/>
        <v>0</v>
      </c>
      <c r="F32" s="6" t="str">
        <f t="shared" si="11"/>
        <v>1</v>
      </c>
      <c r="G32" s="6" t="str">
        <f t="shared" si="12"/>
        <v>1</v>
      </c>
      <c r="H32" s="6" t="str">
        <f t="shared" si="13"/>
        <v>0</v>
      </c>
      <c r="I32" s="6" t="str">
        <f t="shared" si="14"/>
        <v>0</v>
      </c>
      <c r="J32" s="10">
        <f t="shared" si="15"/>
        <v>-3.0571428571428572E-5</v>
      </c>
      <c r="K32" s="10">
        <f t="shared" si="16"/>
        <v>-3.0571428571428572E-5</v>
      </c>
      <c r="L32" s="10">
        <f t="shared" si="17"/>
        <v>-3.9999999999999998E-6</v>
      </c>
      <c r="M32" s="10">
        <f t="shared" si="18"/>
        <v>-3.9999999999999998E-6</v>
      </c>
      <c r="N32" s="10">
        <f t="shared" si="19"/>
        <v>-3.9999999999999998E-6</v>
      </c>
      <c r="O32" s="11">
        <f>ROUND(( J32+K32+L32+M32+Table327[[#This Row],[I5]])*1000000, 0)</f>
        <v>-73</v>
      </c>
      <c r="P32" s="11">
        <v>-73</v>
      </c>
      <c r="Q32" s="13">
        <f t="shared" si="21"/>
        <v>1</v>
      </c>
      <c r="S32" s="11">
        <v>-260</v>
      </c>
      <c r="T32" s="11">
        <f t="shared" si="22"/>
        <v>1</v>
      </c>
      <c r="V32" s="13" t="str">
        <f t="shared" si="23"/>
        <v/>
      </c>
    </row>
    <row r="33" spans="2:22" ht="15" customHeight="1" x14ac:dyDescent="0.35">
      <c r="B33" s="6">
        <v>13</v>
      </c>
      <c r="C33" s="2" t="s">
        <v>20</v>
      </c>
      <c r="D33" s="6" t="str">
        <f t="shared" si="9"/>
        <v>0</v>
      </c>
      <c r="E33" s="6" t="str">
        <f t="shared" si="10"/>
        <v>0</v>
      </c>
      <c r="F33" s="6" t="str">
        <f t="shared" si="11"/>
        <v>1</v>
      </c>
      <c r="G33" s="6" t="str">
        <f t="shared" si="12"/>
        <v>1</v>
      </c>
      <c r="H33" s="6" t="str">
        <f t="shared" si="13"/>
        <v>0</v>
      </c>
      <c r="I33" s="6" t="str">
        <f t="shared" si="14"/>
        <v>1</v>
      </c>
      <c r="J33" s="10">
        <f t="shared" si="15"/>
        <v>-4.0571428571428571E-5</v>
      </c>
      <c r="K33" s="10">
        <f t="shared" si="16"/>
        <v>-4.0571428571428571E-5</v>
      </c>
      <c r="L33" s="10">
        <f t="shared" si="17"/>
        <v>-6.0000000000000002E-6</v>
      </c>
      <c r="M33" s="10">
        <f t="shared" si="18"/>
        <v>-6.0000000000000002E-6</v>
      </c>
      <c r="N33" s="10">
        <f t="shared" si="19"/>
        <v>-6.0000000000000002E-6</v>
      </c>
      <c r="O33" s="11">
        <f>ROUND(( J33+K33+L33+M33+Table327[[#This Row],[I5]])*1000000, 0)</f>
        <v>-99</v>
      </c>
      <c r="P33" s="11">
        <v>-99</v>
      </c>
      <c r="Q33" s="13">
        <f t="shared" si="21"/>
        <v>1</v>
      </c>
      <c r="S33" s="11">
        <v>-259</v>
      </c>
      <c r="T33" s="11">
        <f t="shared" si="22"/>
        <v>8</v>
      </c>
      <c r="V33" s="13" t="str">
        <f t="shared" si="23"/>
        <v/>
      </c>
    </row>
    <row r="34" spans="2:22" x14ac:dyDescent="0.35">
      <c r="B34" s="6">
        <v>14</v>
      </c>
      <c r="C34" s="2" t="s">
        <v>20</v>
      </c>
      <c r="D34" s="6" t="str">
        <f t="shared" si="9"/>
        <v>0</v>
      </c>
      <c r="E34" s="6" t="str">
        <f t="shared" si="10"/>
        <v>0</v>
      </c>
      <c r="F34" s="6" t="str">
        <f t="shared" si="11"/>
        <v>1</v>
      </c>
      <c r="G34" s="6" t="str">
        <f t="shared" si="12"/>
        <v>1</v>
      </c>
      <c r="H34" s="6" t="str">
        <f t="shared" si="13"/>
        <v>1</v>
      </c>
      <c r="I34" s="6" t="str">
        <f t="shared" si="14"/>
        <v>0</v>
      </c>
      <c r="J34" s="10">
        <f t="shared" si="15"/>
        <v>-4.0571428571428571E-5</v>
      </c>
      <c r="K34" s="10">
        <f t="shared" si="16"/>
        <v>-3.2571428571428573E-5</v>
      </c>
      <c r="L34" s="10">
        <f t="shared" si="17"/>
        <v>-6.0000000000000002E-6</v>
      </c>
      <c r="M34" s="10">
        <f t="shared" si="18"/>
        <v>-6.0000000000000002E-6</v>
      </c>
      <c r="N34" s="10">
        <f t="shared" si="19"/>
        <v>-6.0000000000000002E-6</v>
      </c>
      <c r="O34" s="11">
        <f>ROUND(( J34+K34+L34+M34+Table327[[#This Row],[I5]])*1000000, 0)</f>
        <v>-91</v>
      </c>
      <c r="P34" s="11">
        <v>-91</v>
      </c>
      <c r="Q34" s="13">
        <f t="shared" si="21"/>
        <v>1</v>
      </c>
      <c r="S34" s="11">
        <v>-251</v>
      </c>
      <c r="T34" s="11">
        <f t="shared" si="22"/>
        <v>1</v>
      </c>
      <c r="V34" s="13" t="str">
        <f t="shared" si="23"/>
        <v/>
      </c>
    </row>
    <row r="35" spans="2:22" x14ac:dyDescent="0.35">
      <c r="B35" s="6">
        <v>15</v>
      </c>
      <c r="C35" s="2" t="s">
        <v>20</v>
      </c>
      <c r="D35" s="6" t="str">
        <f t="shared" si="9"/>
        <v>0</v>
      </c>
      <c r="E35" s="6" t="str">
        <f t="shared" si="10"/>
        <v>0</v>
      </c>
      <c r="F35" s="6" t="str">
        <f t="shared" si="11"/>
        <v>1</v>
      </c>
      <c r="G35" s="6" t="str">
        <f t="shared" si="12"/>
        <v>1</v>
      </c>
      <c r="H35" s="6" t="str">
        <f t="shared" si="13"/>
        <v>1</v>
      </c>
      <c r="I35" s="6" t="str">
        <f t="shared" si="14"/>
        <v>1</v>
      </c>
      <c r="J35" s="10">
        <f t="shared" si="15"/>
        <v>-5.057142857142857E-5</v>
      </c>
      <c r="K35" s="10">
        <f t="shared" si="16"/>
        <v>-4.2571428571428572E-5</v>
      </c>
      <c r="L35" s="10">
        <f t="shared" si="17"/>
        <v>-7.9999999999999996E-6</v>
      </c>
      <c r="M35" s="10">
        <f t="shared" si="18"/>
        <v>-7.9999999999999996E-6</v>
      </c>
      <c r="N35" s="10">
        <f t="shared" si="19"/>
        <v>-7.9999999999999996E-6</v>
      </c>
      <c r="O35" s="11">
        <f>ROUND(( J35+K35+L35+M35+Table327[[#This Row],[I5]])*1000000, 0)</f>
        <v>-117</v>
      </c>
      <c r="P35" s="11">
        <v>-117</v>
      </c>
      <c r="Q35" s="13">
        <f t="shared" si="21"/>
        <v>1</v>
      </c>
      <c r="S35" s="11">
        <v>-250</v>
      </c>
      <c r="T35" s="11">
        <f t="shared" si="22"/>
        <v>7</v>
      </c>
      <c r="V35" s="13" t="str">
        <f t="shared" si="23"/>
        <v/>
      </c>
    </row>
    <row r="36" spans="2:22" x14ac:dyDescent="0.35">
      <c r="B36" s="6">
        <v>16</v>
      </c>
      <c r="C36" s="2" t="s">
        <v>21</v>
      </c>
      <c r="D36" s="6" t="str">
        <f t="shared" si="9"/>
        <v>0</v>
      </c>
      <c r="E36" s="6" t="str">
        <f t="shared" si="10"/>
        <v>1</v>
      </c>
      <c r="F36" s="6" t="str">
        <f t="shared" si="11"/>
        <v>0</v>
      </c>
      <c r="G36" s="6" t="str">
        <f t="shared" si="12"/>
        <v>0</v>
      </c>
      <c r="H36" s="6" t="str">
        <f t="shared" si="13"/>
        <v>0</v>
      </c>
      <c r="I36" s="6" t="str">
        <f t="shared" si="14"/>
        <v>0</v>
      </c>
      <c r="J36" s="10">
        <f t="shared" si="15"/>
        <v>-2.8571428571428574E-5</v>
      </c>
      <c r="K36" s="10">
        <f t="shared" si="16"/>
        <v>-2.8571428571428574E-5</v>
      </c>
      <c r="L36" s="10">
        <f t="shared" si="17"/>
        <v>-2.8571428571428574E-5</v>
      </c>
      <c r="M36" s="10">
        <f t="shared" si="18"/>
        <v>-1.9999999999999999E-6</v>
      </c>
      <c r="N36" s="10">
        <f t="shared" si="19"/>
        <v>-1.9999999999999999E-6</v>
      </c>
      <c r="O36" s="11">
        <f>ROUND(( J36+K36+L36+M36+Table327[[#This Row],[I5]])*1000000, 0)</f>
        <v>-90</v>
      </c>
      <c r="P36" s="11">
        <v>-90</v>
      </c>
      <c r="Q36" s="13">
        <f t="shared" si="21"/>
        <v>1</v>
      </c>
      <c r="S36" s="11">
        <v>-243</v>
      </c>
      <c r="T36" s="11">
        <f t="shared" si="22"/>
        <v>1</v>
      </c>
      <c r="V36" s="13" t="str">
        <f t="shared" si="23"/>
        <v/>
      </c>
    </row>
    <row r="37" spans="2:22" ht="15" customHeight="1" x14ac:dyDescent="0.35">
      <c r="B37" s="6">
        <v>17</v>
      </c>
      <c r="C37" s="2" t="s">
        <v>20</v>
      </c>
      <c r="D37" s="6" t="str">
        <f t="shared" si="9"/>
        <v>0</v>
      </c>
      <c r="E37" s="6" t="str">
        <f t="shared" si="10"/>
        <v>1</v>
      </c>
      <c r="F37" s="6" t="str">
        <f t="shared" si="11"/>
        <v>0</v>
      </c>
      <c r="G37" s="6" t="str">
        <f t="shared" si="12"/>
        <v>0</v>
      </c>
      <c r="H37" s="6" t="str">
        <f t="shared" si="13"/>
        <v>0</v>
      </c>
      <c r="I37" s="6" t="str">
        <f t="shared" si="14"/>
        <v>1</v>
      </c>
      <c r="J37" s="10">
        <f t="shared" si="15"/>
        <v>-3.8571428571428577E-5</v>
      </c>
      <c r="K37" s="10">
        <f t="shared" si="16"/>
        <v>-3.8571428571428577E-5</v>
      </c>
      <c r="L37" s="10">
        <f t="shared" si="17"/>
        <v>-3.0571428571428572E-5</v>
      </c>
      <c r="M37" s="10">
        <f t="shared" si="18"/>
        <v>-3.9999999999999998E-6</v>
      </c>
      <c r="N37" s="10">
        <f t="shared" si="19"/>
        <v>-3.9999999999999998E-6</v>
      </c>
      <c r="O37" s="11">
        <f>ROUND(( J37+K37+L37+M37+Table327[[#This Row],[I5]])*1000000, 0)</f>
        <v>-116</v>
      </c>
      <c r="P37" s="11">
        <v>-116</v>
      </c>
      <c r="Q37" s="13">
        <f t="shared" si="21"/>
        <v>1</v>
      </c>
      <c r="S37" s="11">
        <v>-242</v>
      </c>
      <c r="T37" s="11">
        <f t="shared" si="22"/>
        <v>8</v>
      </c>
      <c r="V37" s="13" t="str">
        <f t="shared" si="23"/>
        <v/>
      </c>
    </row>
    <row r="38" spans="2:22" ht="15" customHeight="1" x14ac:dyDescent="0.35">
      <c r="B38" s="6">
        <v>18</v>
      </c>
      <c r="C38" s="2" t="s">
        <v>20</v>
      </c>
      <c r="D38" s="6" t="str">
        <f t="shared" si="9"/>
        <v>0</v>
      </c>
      <c r="E38" s="6" t="str">
        <f t="shared" si="10"/>
        <v>1</v>
      </c>
      <c r="F38" s="6" t="str">
        <f t="shared" si="11"/>
        <v>0</v>
      </c>
      <c r="G38" s="6" t="str">
        <f t="shared" si="12"/>
        <v>0</v>
      </c>
      <c r="H38" s="6" t="str">
        <f t="shared" si="13"/>
        <v>1</v>
      </c>
      <c r="I38" s="6" t="str">
        <f t="shared" si="14"/>
        <v>0</v>
      </c>
      <c r="J38" s="10">
        <f t="shared" si="15"/>
        <v>-3.8571428571428577E-5</v>
      </c>
      <c r="K38" s="10">
        <f t="shared" si="16"/>
        <v>-3.0571428571428572E-5</v>
      </c>
      <c r="L38" s="10">
        <f t="shared" si="17"/>
        <v>-3.0571428571428572E-5</v>
      </c>
      <c r="M38" s="10">
        <f t="shared" si="18"/>
        <v>-3.9999999999999998E-6</v>
      </c>
      <c r="N38" s="10">
        <f t="shared" si="19"/>
        <v>-3.9999999999999998E-6</v>
      </c>
      <c r="O38" s="11">
        <f>ROUND(( J38+K38+L38+M38+Table327[[#This Row],[I5]])*1000000, 0)</f>
        <v>-108</v>
      </c>
      <c r="P38" s="11">
        <v>-108</v>
      </c>
      <c r="Q38" s="13">
        <f t="shared" si="21"/>
        <v>1</v>
      </c>
      <c r="S38" s="11">
        <v>-234</v>
      </c>
      <c r="T38" s="11">
        <f t="shared" si="22"/>
        <v>1</v>
      </c>
      <c r="V38" s="13" t="str">
        <f t="shared" si="23"/>
        <v/>
      </c>
    </row>
    <row r="39" spans="2:22" ht="15" customHeight="1" x14ac:dyDescent="0.35">
      <c r="B39" s="6">
        <v>19</v>
      </c>
      <c r="C39" s="2" t="s">
        <v>20</v>
      </c>
      <c r="D39" s="6" t="str">
        <f t="shared" si="9"/>
        <v>0</v>
      </c>
      <c r="E39" s="6" t="str">
        <f t="shared" si="10"/>
        <v>1</v>
      </c>
      <c r="F39" s="6" t="str">
        <f t="shared" si="11"/>
        <v>0</v>
      </c>
      <c r="G39" s="6" t="str">
        <f t="shared" si="12"/>
        <v>0</v>
      </c>
      <c r="H39" s="6" t="str">
        <f t="shared" si="13"/>
        <v>1</v>
      </c>
      <c r="I39" s="6" t="str">
        <f t="shared" si="14"/>
        <v>1</v>
      </c>
      <c r="J39" s="10">
        <f t="shared" si="15"/>
        <v>-4.8571428571428576E-5</v>
      </c>
      <c r="K39" s="10">
        <f t="shared" si="16"/>
        <v>-4.0571428571428571E-5</v>
      </c>
      <c r="L39" s="10">
        <f t="shared" si="17"/>
        <v>-3.2571428571428573E-5</v>
      </c>
      <c r="M39" s="10">
        <f t="shared" si="18"/>
        <v>-6.0000000000000002E-6</v>
      </c>
      <c r="N39" s="10">
        <f t="shared" si="19"/>
        <v>-6.0000000000000002E-6</v>
      </c>
      <c r="O39" s="11">
        <f>ROUND(( J39+K39+L39+M39+Table327[[#This Row],[I5]])*1000000, 0)</f>
        <v>-134</v>
      </c>
      <c r="P39" s="11">
        <v>-134</v>
      </c>
      <c r="Q39" s="13">
        <f t="shared" si="21"/>
        <v>1</v>
      </c>
      <c r="S39" s="11">
        <v>-233</v>
      </c>
      <c r="T39" s="11">
        <f t="shared" si="22"/>
        <v>1</v>
      </c>
      <c r="V39" s="13" t="str">
        <f t="shared" si="23"/>
        <v/>
      </c>
    </row>
    <row r="40" spans="2:22" ht="15" customHeight="1" x14ac:dyDescent="0.35">
      <c r="B40" s="6">
        <v>20</v>
      </c>
      <c r="C40" s="2" t="s">
        <v>20</v>
      </c>
      <c r="D40" s="6" t="str">
        <f t="shared" si="9"/>
        <v>0</v>
      </c>
      <c r="E40" s="6" t="str">
        <f t="shared" si="10"/>
        <v>1</v>
      </c>
      <c r="F40" s="6" t="str">
        <f t="shared" si="11"/>
        <v>0</v>
      </c>
      <c r="G40" s="6" t="str">
        <f t="shared" si="12"/>
        <v>1</v>
      </c>
      <c r="H40" s="6" t="str">
        <f t="shared" si="13"/>
        <v>0</v>
      </c>
      <c r="I40" s="6" t="str">
        <f t="shared" si="14"/>
        <v>0</v>
      </c>
      <c r="J40" s="10">
        <f t="shared" si="15"/>
        <v>-3.0571428571428572E-5</v>
      </c>
      <c r="K40" s="10">
        <f t="shared" si="16"/>
        <v>-3.0571428571428572E-5</v>
      </c>
      <c r="L40" s="10">
        <f t="shared" si="17"/>
        <v>-3.0571428571428572E-5</v>
      </c>
      <c r="M40" s="10">
        <f t="shared" si="18"/>
        <v>-3.9999999999999998E-6</v>
      </c>
      <c r="N40" s="10">
        <f t="shared" si="19"/>
        <v>-3.9999999999999998E-6</v>
      </c>
      <c r="O40" s="11">
        <f>ROUND(( J40+K40+L40+M40+Table327[[#This Row],[I5]])*1000000, 0)</f>
        <v>-100</v>
      </c>
      <c r="P40" s="11">
        <v>-100</v>
      </c>
      <c r="Q40" s="13">
        <f t="shared" si="21"/>
        <v>1</v>
      </c>
      <c r="S40" s="11">
        <v>-232</v>
      </c>
      <c r="T40" s="11">
        <f t="shared" si="22"/>
        <v>8</v>
      </c>
      <c r="V40" s="13" t="str">
        <f t="shared" si="23"/>
        <v/>
      </c>
    </row>
    <row r="41" spans="2:22" ht="15" customHeight="1" x14ac:dyDescent="0.35">
      <c r="B41" s="6">
        <v>21</v>
      </c>
      <c r="C41" s="2" t="s">
        <v>20</v>
      </c>
      <c r="D41" s="6" t="str">
        <f t="shared" si="9"/>
        <v>0</v>
      </c>
      <c r="E41" s="6" t="str">
        <f t="shared" si="10"/>
        <v>1</v>
      </c>
      <c r="F41" s="6" t="str">
        <f t="shared" si="11"/>
        <v>0</v>
      </c>
      <c r="G41" s="6" t="str">
        <f t="shared" si="12"/>
        <v>1</v>
      </c>
      <c r="H41" s="6" t="str">
        <f t="shared" si="13"/>
        <v>0</v>
      </c>
      <c r="I41" s="6" t="str">
        <f t="shared" si="14"/>
        <v>1</v>
      </c>
      <c r="J41" s="10">
        <f t="shared" si="15"/>
        <v>-4.0571428571428571E-5</v>
      </c>
      <c r="K41" s="10">
        <f t="shared" si="16"/>
        <v>-4.0571428571428571E-5</v>
      </c>
      <c r="L41" s="10">
        <f t="shared" si="17"/>
        <v>-3.2571428571428573E-5</v>
      </c>
      <c r="M41" s="10">
        <f t="shared" si="18"/>
        <v>-6.0000000000000002E-6</v>
      </c>
      <c r="N41" s="10">
        <f t="shared" si="19"/>
        <v>-6.0000000000000002E-6</v>
      </c>
      <c r="O41" s="11">
        <f>ROUND(( J41+K41+L41+M41+Table327[[#This Row],[I5]])*1000000, 0)</f>
        <v>-126</v>
      </c>
      <c r="P41" s="11">
        <v>-126</v>
      </c>
      <c r="Q41" s="13">
        <f t="shared" si="21"/>
        <v>1</v>
      </c>
      <c r="S41" s="11">
        <v>-224</v>
      </c>
      <c r="T41" s="11">
        <f t="shared" si="22"/>
        <v>8</v>
      </c>
      <c r="V41" s="13" t="str">
        <f t="shared" si="23"/>
        <v/>
      </c>
    </row>
    <row r="42" spans="2:22" ht="15" customHeight="1" x14ac:dyDescent="0.35">
      <c r="B42" s="6">
        <v>22</v>
      </c>
      <c r="C42" s="2" t="s">
        <v>20</v>
      </c>
      <c r="D42" s="6" t="str">
        <f t="shared" si="9"/>
        <v>0</v>
      </c>
      <c r="E42" s="6" t="str">
        <f t="shared" si="10"/>
        <v>1</v>
      </c>
      <c r="F42" s="6" t="str">
        <f t="shared" si="11"/>
        <v>0</v>
      </c>
      <c r="G42" s="6" t="str">
        <f t="shared" si="12"/>
        <v>1</v>
      </c>
      <c r="H42" s="6" t="str">
        <f t="shared" si="13"/>
        <v>1</v>
      </c>
      <c r="I42" s="6" t="str">
        <f t="shared" si="14"/>
        <v>0</v>
      </c>
      <c r="J42" s="10">
        <f t="shared" si="15"/>
        <v>-4.0571428571428571E-5</v>
      </c>
      <c r="K42" s="10">
        <f t="shared" si="16"/>
        <v>-3.2571428571428573E-5</v>
      </c>
      <c r="L42" s="10">
        <f t="shared" si="17"/>
        <v>-3.2571428571428573E-5</v>
      </c>
      <c r="M42" s="10">
        <f t="shared" si="18"/>
        <v>-6.0000000000000002E-6</v>
      </c>
      <c r="N42" s="10">
        <f t="shared" si="19"/>
        <v>-6.0000000000000002E-6</v>
      </c>
      <c r="O42" s="11">
        <f>ROUND(( J42+K42+L42+M42+Table327[[#This Row],[I5]])*1000000, 0)</f>
        <v>-118</v>
      </c>
      <c r="P42" s="11">
        <v>-118</v>
      </c>
      <c r="Q42" s="13">
        <f t="shared" ref="Q42:Q78" si="24">IF(ISBLANK(P42), "", COUNTIF($L$20:$L$83,P42))</f>
        <v>0</v>
      </c>
      <c r="S42" s="11">
        <v>-216</v>
      </c>
      <c r="T42" s="11">
        <f t="shared" si="22"/>
        <v>9</v>
      </c>
      <c r="V42" s="13" t="str">
        <f t="shared" si="23"/>
        <v/>
      </c>
    </row>
    <row r="43" spans="2:22" ht="15" customHeight="1" x14ac:dyDescent="0.35">
      <c r="B43" s="6">
        <v>23</v>
      </c>
      <c r="C43" s="2" t="s">
        <v>20</v>
      </c>
      <c r="D43" s="6" t="str">
        <f t="shared" si="9"/>
        <v>0</v>
      </c>
      <c r="E43" s="6" t="str">
        <f t="shared" si="10"/>
        <v>1</v>
      </c>
      <c r="F43" s="6" t="str">
        <f t="shared" si="11"/>
        <v>0</v>
      </c>
      <c r="G43" s="6" t="str">
        <f t="shared" si="12"/>
        <v>1</v>
      </c>
      <c r="H43" s="6" t="str">
        <f t="shared" si="13"/>
        <v>1</v>
      </c>
      <c r="I43" s="6" t="str">
        <f t="shared" si="14"/>
        <v>1</v>
      </c>
      <c r="J43" s="10">
        <f t="shared" si="15"/>
        <v>-5.057142857142857E-5</v>
      </c>
      <c r="K43" s="10">
        <f t="shared" si="16"/>
        <v>-4.2571428571428572E-5</v>
      </c>
      <c r="L43" s="10">
        <f t="shared" si="17"/>
        <v>-3.4571428571428574E-5</v>
      </c>
      <c r="M43" s="10">
        <f t="shared" si="18"/>
        <v>-7.9999999999999996E-6</v>
      </c>
      <c r="N43" s="10">
        <f t="shared" si="19"/>
        <v>-7.9999999999999996E-6</v>
      </c>
      <c r="O43" s="11">
        <f>ROUND(( J43+K43+L43+M43+Table327[[#This Row],[I5]])*1000000, 0)</f>
        <v>-144</v>
      </c>
      <c r="P43" s="11">
        <v>-144</v>
      </c>
      <c r="Q43" s="13">
        <f t="shared" si="24"/>
        <v>0</v>
      </c>
      <c r="S43" s="11">
        <v>-207</v>
      </c>
      <c r="T43" s="11">
        <f t="shared" si="22"/>
        <v>1</v>
      </c>
      <c r="V43" s="13" t="str">
        <f t="shared" si="23"/>
        <v/>
      </c>
    </row>
    <row r="44" spans="2:22" x14ac:dyDescent="0.35">
      <c r="B44" s="6">
        <v>24</v>
      </c>
      <c r="C44" s="2" t="s">
        <v>21</v>
      </c>
      <c r="D44" s="6" t="str">
        <f t="shared" si="9"/>
        <v>0</v>
      </c>
      <c r="E44" s="6" t="str">
        <f t="shared" si="10"/>
        <v>1</v>
      </c>
      <c r="F44" s="6" t="str">
        <f t="shared" si="11"/>
        <v>1</v>
      </c>
      <c r="G44" s="6" t="str">
        <f t="shared" si="12"/>
        <v>0</v>
      </c>
      <c r="H44" s="6" t="str">
        <f t="shared" si="13"/>
        <v>0</v>
      </c>
      <c r="I44" s="6" t="str">
        <f t="shared" si="14"/>
        <v>0</v>
      </c>
      <c r="J44" s="10">
        <f t="shared" si="15"/>
        <v>-5.7142857142857148E-5</v>
      </c>
      <c r="K44" s="10">
        <f t="shared" si="16"/>
        <v>-5.7142857142857148E-5</v>
      </c>
      <c r="L44" s="10">
        <f t="shared" si="17"/>
        <v>-3.0571428571428572E-5</v>
      </c>
      <c r="M44" s="10">
        <f t="shared" si="18"/>
        <v>-3.9999999999999998E-6</v>
      </c>
      <c r="N44" s="10">
        <f t="shared" si="19"/>
        <v>-3.9999999999999998E-6</v>
      </c>
      <c r="O44" s="11">
        <f>ROUND(( J44+K44+L44+M44+Table327[[#This Row],[I5]])*1000000, 0)</f>
        <v>-153</v>
      </c>
      <c r="P44" s="11">
        <v>-153</v>
      </c>
      <c r="Q44" s="13">
        <f t="shared" si="24"/>
        <v>0</v>
      </c>
      <c r="S44" s="11">
        <v>-206</v>
      </c>
      <c r="T44" s="11">
        <f t="shared" si="22"/>
        <v>9</v>
      </c>
      <c r="V44" s="13" t="str">
        <f t="shared" si="23"/>
        <v/>
      </c>
    </row>
    <row r="45" spans="2:22" ht="15" customHeight="1" x14ac:dyDescent="0.35">
      <c r="B45" s="6">
        <v>25</v>
      </c>
      <c r="C45" s="2" t="s">
        <v>20</v>
      </c>
      <c r="D45" s="6" t="str">
        <f t="shared" si="9"/>
        <v>0</v>
      </c>
      <c r="E45" s="6" t="str">
        <f t="shared" si="10"/>
        <v>1</v>
      </c>
      <c r="F45" s="6" t="str">
        <f t="shared" si="11"/>
        <v>1</v>
      </c>
      <c r="G45" s="6" t="str">
        <f t="shared" si="12"/>
        <v>0</v>
      </c>
      <c r="H45" s="6" t="str">
        <f t="shared" si="13"/>
        <v>0</v>
      </c>
      <c r="I45" s="6" t="str">
        <f t="shared" si="14"/>
        <v>1</v>
      </c>
      <c r="J45" s="10">
        <f t="shared" si="15"/>
        <v>-6.7142857142857154E-5</v>
      </c>
      <c r="K45" s="10">
        <f t="shared" si="16"/>
        <v>-6.7142857142857154E-5</v>
      </c>
      <c r="L45" s="10">
        <f t="shared" si="17"/>
        <v>-3.2571428571428573E-5</v>
      </c>
      <c r="M45" s="10">
        <f t="shared" si="18"/>
        <v>-6.0000000000000002E-6</v>
      </c>
      <c r="N45" s="10">
        <f t="shared" si="19"/>
        <v>-6.0000000000000002E-6</v>
      </c>
      <c r="O45" s="11">
        <f>ROUND(( J45+K45+L45+M45+Table327[[#This Row],[I5]])*1000000, 0)</f>
        <v>-179</v>
      </c>
      <c r="P45" s="11">
        <v>-179</v>
      </c>
      <c r="Q45" s="13">
        <f t="shared" si="24"/>
        <v>0</v>
      </c>
      <c r="S45" s="11">
        <v>-197</v>
      </c>
      <c r="T45" s="11">
        <f t="shared" si="22"/>
        <v>0</v>
      </c>
      <c r="V45" s="13" t="str">
        <f t="shared" si="23"/>
        <v/>
      </c>
    </row>
    <row r="46" spans="2:22" ht="15" customHeight="1" x14ac:dyDescent="0.35">
      <c r="B46" s="6">
        <v>26</v>
      </c>
      <c r="C46" s="2" t="s">
        <v>20</v>
      </c>
      <c r="D46" s="6" t="str">
        <f t="shared" si="9"/>
        <v>0</v>
      </c>
      <c r="E46" s="6" t="str">
        <f t="shared" si="10"/>
        <v>1</v>
      </c>
      <c r="F46" s="6" t="str">
        <f t="shared" si="11"/>
        <v>1</v>
      </c>
      <c r="G46" s="6" t="str">
        <f t="shared" si="12"/>
        <v>0</v>
      </c>
      <c r="H46" s="6" t="str">
        <f t="shared" si="13"/>
        <v>1</v>
      </c>
      <c r="I46" s="6" t="str">
        <f t="shared" si="14"/>
        <v>0</v>
      </c>
      <c r="J46" s="10">
        <f t="shared" si="15"/>
        <v>-6.7142857142857154E-5</v>
      </c>
      <c r="K46" s="10">
        <f t="shared" si="16"/>
        <v>-5.914285714285715E-5</v>
      </c>
      <c r="L46" s="10">
        <f t="shared" si="17"/>
        <v>-3.2571428571428573E-5</v>
      </c>
      <c r="M46" s="10">
        <f t="shared" si="18"/>
        <v>-6.0000000000000002E-6</v>
      </c>
      <c r="N46" s="10">
        <f t="shared" si="19"/>
        <v>-6.0000000000000002E-6</v>
      </c>
      <c r="O46" s="11">
        <f>ROUND(( J46+K46+L46+M46+Table327[[#This Row],[I5]])*1000000, 0)</f>
        <v>-171</v>
      </c>
      <c r="P46" s="11">
        <v>-171</v>
      </c>
      <c r="Q46" s="13">
        <f t="shared" si="24"/>
        <v>0</v>
      </c>
      <c r="S46" s="11">
        <v>-197</v>
      </c>
      <c r="T46" s="11">
        <f t="shared" si="22"/>
        <v>8</v>
      </c>
      <c r="V46" s="13" t="str">
        <f t="shared" si="23"/>
        <v/>
      </c>
    </row>
    <row r="47" spans="2:22" ht="15" customHeight="1" x14ac:dyDescent="0.35">
      <c r="B47" s="6">
        <v>27</v>
      </c>
      <c r="C47" s="2" t="s">
        <v>20</v>
      </c>
      <c r="D47" s="6" t="str">
        <f t="shared" si="9"/>
        <v>0</v>
      </c>
      <c r="E47" s="6" t="str">
        <f t="shared" si="10"/>
        <v>1</v>
      </c>
      <c r="F47" s="6" t="str">
        <f t="shared" si="11"/>
        <v>1</v>
      </c>
      <c r="G47" s="6" t="str">
        <f t="shared" si="12"/>
        <v>0</v>
      </c>
      <c r="H47" s="6" t="str">
        <f t="shared" si="13"/>
        <v>1</v>
      </c>
      <c r="I47" s="6" t="str">
        <f t="shared" si="14"/>
        <v>1</v>
      </c>
      <c r="J47" s="10">
        <f t="shared" si="15"/>
        <v>-7.7142857142857154E-5</v>
      </c>
      <c r="K47" s="10">
        <f t="shared" si="16"/>
        <v>-6.9142857142857149E-5</v>
      </c>
      <c r="L47" s="10">
        <f t="shared" si="17"/>
        <v>-3.4571428571428574E-5</v>
      </c>
      <c r="M47" s="10">
        <f t="shared" si="18"/>
        <v>-7.9999999999999996E-6</v>
      </c>
      <c r="N47" s="10">
        <f t="shared" si="19"/>
        <v>-7.9999999999999996E-6</v>
      </c>
      <c r="O47" s="11">
        <f>ROUND(( J47+K47+L47+M47+Table327[[#This Row],[I5]])*1000000, 0)</f>
        <v>-197</v>
      </c>
      <c r="P47" s="11">
        <v>-197</v>
      </c>
      <c r="Q47" s="13">
        <f t="shared" si="24"/>
        <v>0</v>
      </c>
      <c r="S47" s="11">
        <v>-189</v>
      </c>
      <c r="T47" s="11">
        <f t="shared" si="22"/>
        <v>2</v>
      </c>
      <c r="V47" s="13" t="str">
        <f t="shared" si="23"/>
        <v/>
      </c>
    </row>
    <row r="48" spans="2:22" x14ac:dyDescent="0.35">
      <c r="B48" s="6">
        <v>28</v>
      </c>
      <c r="C48" s="2" t="s">
        <v>21</v>
      </c>
      <c r="D48" s="6" t="str">
        <f t="shared" si="9"/>
        <v>0</v>
      </c>
      <c r="E48" s="6" t="str">
        <f t="shared" si="10"/>
        <v>1</v>
      </c>
      <c r="F48" s="6" t="str">
        <f t="shared" si="11"/>
        <v>1</v>
      </c>
      <c r="G48" s="6" t="str">
        <f t="shared" si="12"/>
        <v>1</v>
      </c>
      <c r="H48" s="6" t="str">
        <f t="shared" si="13"/>
        <v>0</v>
      </c>
      <c r="I48" s="6" t="str">
        <f t="shared" si="14"/>
        <v>0</v>
      </c>
      <c r="J48" s="10">
        <f t="shared" si="15"/>
        <v>-5.914285714285715E-5</v>
      </c>
      <c r="K48" s="10">
        <f t="shared" si="16"/>
        <v>-5.914285714285715E-5</v>
      </c>
      <c r="L48" s="10">
        <f t="shared" si="17"/>
        <v>-3.2571428571428573E-5</v>
      </c>
      <c r="M48" s="10">
        <f t="shared" si="18"/>
        <v>-6.0000000000000002E-6</v>
      </c>
      <c r="N48" s="10">
        <f t="shared" si="19"/>
        <v>-6.0000000000000002E-6</v>
      </c>
      <c r="O48" s="11">
        <f>ROUND(( J48+K48+L48+M48+Table327[[#This Row],[I5]])*1000000, 0)</f>
        <v>-163</v>
      </c>
      <c r="P48" s="11">
        <v>-163</v>
      </c>
      <c r="Q48" s="13">
        <f t="shared" si="24"/>
        <v>0</v>
      </c>
      <c r="S48" s="11">
        <v>-187</v>
      </c>
      <c r="T48" s="11">
        <f t="shared" si="22"/>
        <v>6</v>
      </c>
      <c r="V48" s="13" t="str">
        <f t="shared" si="23"/>
        <v/>
      </c>
    </row>
    <row r="49" spans="2:22" ht="15" customHeight="1" x14ac:dyDescent="0.35">
      <c r="B49" s="6">
        <v>29</v>
      </c>
      <c r="C49" s="2" t="s">
        <v>20</v>
      </c>
      <c r="D49" s="6" t="str">
        <f t="shared" si="9"/>
        <v>0</v>
      </c>
      <c r="E49" s="6" t="str">
        <f t="shared" si="10"/>
        <v>1</v>
      </c>
      <c r="F49" s="6" t="str">
        <f t="shared" si="11"/>
        <v>1</v>
      </c>
      <c r="G49" s="6" t="str">
        <f t="shared" si="12"/>
        <v>1</v>
      </c>
      <c r="H49" s="6" t="str">
        <f t="shared" si="13"/>
        <v>0</v>
      </c>
      <c r="I49" s="6" t="str">
        <f t="shared" si="14"/>
        <v>1</v>
      </c>
      <c r="J49" s="10">
        <f t="shared" si="15"/>
        <v>-6.9142857142857149E-5</v>
      </c>
      <c r="K49" s="10">
        <f t="shared" si="16"/>
        <v>-6.9142857142857149E-5</v>
      </c>
      <c r="L49" s="10">
        <f t="shared" si="17"/>
        <v>-3.4571428571428574E-5</v>
      </c>
      <c r="M49" s="10">
        <f t="shared" si="18"/>
        <v>-7.9999999999999996E-6</v>
      </c>
      <c r="N49" s="10">
        <f t="shared" si="19"/>
        <v>-7.9999999999999996E-6</v>
      </c>
      <c r="O49" s="11">
        <f>ROUND(( J49+K49+L49+M49+Table327[[#This Row],[I5]])*1000000, 0)</f>
        <v>-189</v>
      </c>
      <c r="P49" s="11">
        <v>-189</v>
      </c>
      <c r="Q49" s="13">
        <f t="shared" si="24"/>
        <v>0</v>
      </c>
      <c r="S49" s="11">
        <v>-181</v>
      </c>
      <c r="T49" s="11">
        <f t="shared" si="22"/>
        <v>2</v>
      </c>
      <c r="V49" s="13" t="str">
        <f t="shared" si="23"/>
        <v/>
      </c>
    </row>
    <row r="50" spans="2:22" ht="15" customHeight="1" x14ac:dyDescent="0.35">
      <c r="B50" s="6">
        <v>30</v>
      </c>
      <c r="C50" s="2" t="s">
        <v>20</v>
      </c>
      <c r="D50" s="6" t="str">
        <f t="shared" si="9"/>
        <v>0</v>
      </c>
      <c r="E50" s="6" t="str">
        <f t="shared" si="10"/>
        <v>1</v>
      </c>
      <c r="F50" s="6" t="str">
        <f t="shared" si="11"/>
        <v>1</v>
      </c>
      <c r="G50" s="6" t="str">
        <f t="shared" si="12"/>
        <v>1</v>
      </c>
      <c r="H50" s="6" t="str">
        <f t="shared" si="13"/>
        <v>1</v>
      </c>
      <c r="I50" s="6" t="str">
        <f t="shared" si="14"/>
        <v>0</v>
      </c>
      <c r="J50" s="10">
        <f t="shared" si="15"/>
        <v>-6.9142857142857149E-5</v>
      </c>
      <c r="K50" s="10">
        <f t="shared" si="16"/>
        <v>-6.1142857142857144E-5</v>
      </c>
      <c r="L50" s="10">
        <f t="shared" si="17"/>
        <v>-3.4571428571428574E-5</v>
      </c>
      <c r="M50" s="10">
        <f t="shared" si="18"/>
        <v>-7.9999999999999996E-6</v>
      </c>
      <c r="N50" s="10">
        <f t="shared" si="19"/>
        <v>-7.9999999999999996E-6</v>
      </c>
      <c r="O50" s="11">
        <f>ROUND(( J50+K50+L50+M50+Table327[[#This Row],[I5]])*1000000, 0)</f>
        <v>-181</v>
      </c>
      <c r="P50" s="11">
        <v>-181</v>
      </c>
      <c r="Q50" s="13">
        <f t="shared" si="24"/>
        <v>0</v>
      </c>
      <c r="S50" s="11">
        <v>-179</v>
      </c>
      <c r="T50" s="11">
        <f t="shared" si="22"/>
        <v>0</v>
      </c>
      <c r="V50" s="13" t="str">
        <f t="shared" si="23"/>
        <v/>
      </c>
    </row>
    <row r="51" spans="2:22" x14ac:dyDescent="0.35">
      <c r="B51" s="6">
        <v>31</v>
      </c>
      <c r="C51" s="2" t="s">
        <v>16</v>
      </c>
      <c r="D51" s="6" t="str">
        <f t="shared" si="9"/>
        <v>0</v>
      </c>
      <c r="E51" s="6" t="str">
        <f t="shared" si="10"/>
        <v>1</v>
      </c>
      <c r="F51" s="6" t="str">
        <f t="shared" si="11"/>
        <v>1</v>
      </c>
      <c r="G51" s="6" t="str">
        <f t="shared" si="12"/>
        <v>1</v>
      </c>
      <c r="H51" s="6" t="str">
        <f t="shared" si="13"/>
        <v>1</v>
      </c>
      <c r="I51" s="6" t="str">
        <f t="shared" si="14"/>
        <v>1</v>
      </c>
      <c r="J51" s="10">
        <f t="shared" si="15"/>
        <v>-7.9142857142857148E-5</v>
      </c>
      <c r="K51" s="10">
        <f t="shared" si="16"/>
        <v>-7.1142857142857143E-5</v>
      </c>
      <c r="L51" s="10">
        <f t="shared" si="17"/>
        <v>-3.6571428571428576E-5</v>
      </c>
      <c r="M51" s="10">
        <f t="shared" si="18"/>
        <v>-9.9999999999999991E-6</v>
      </c>
      <c r="N51" s="10">
        <f t="shared" si="19"/>
        <v>-9.9999999999999991E-6</v>
      </c>
      <c r="O51" s="11">
        <f>ROUND(( J51+K51+L51+M51+Table327[[#This Row],[I5]])*1000000, 0)</f>
        <v>-207</v>
      </c>
      <c r="P51" s="11">
        <v>-207</v>
      </c>
      <c r="Q51" s="13">
        <f t="shared" si="24"/>
        <v>0</v>
      </c>
      <c r="S51" s="11">
        <v>-179</v>
      </c>
      <c r="T51" s="11">
        <f t="shared" si="22"/>
        <v>8</v>
      </c>
      <c r="V51" s="13" t="str">
        <f t="shared" si="23"/>
        <v/>
      </c>
    </row>
    <row r="52" spans="2:22" x14ac:dyDescent="0.35">
      <c r="B52" s="6">
        <v>32</v>
      </c>
      <c r="C52" s="2" t="s">
        <v>22</v>
      </c>
      <c r="D52" s="6" t="str">
        <f t="shared" ref="D52:D83" si="25">LEFT(RIGHT(DEC2BIN($B52,6),6),1)</f>
        <v>1</v>
      </c>
      <c r="E52" s="6" t="str">
        <f t="shared" ref="E52:E83" si="26">LEFT(RIGHT(DEC2BIN($B52,6),5),1)</f>
        <v>0</v>
      </c>
      <c r="F52" s="6" t="str">
        <f t="shared" ref="F52:F83" si="27">LEFT(RIGHT(DEC2BIN($B52,6),4),1)</f>
        <v>0</v>
      </c>
      <c r="G52" s="6" t="str">
        <f t="shared" ref="G52:G83" si="28">LEFT(RIGHT(DEC2BIN($B52,6),3),1)</f>
        <v>0</v>
      </c>
      <c r="H52" s="6" t="str">
        <f t="shared" ref="H52:H83" si="29">LEFT(RIGHT(DEC2BIN($B52,6),2),1)</f>
        <v>0</v>
      </c>
      <c r="I52" s="6" t="str">
        <f t="shared" ref="I52:I83" si="30">LEFT(RIGHT(DEC2BIN($B52,6),1),1)</f>
        <v>0</v>
      </c>
      <c r="J52" s="17">
        <f t="shared" ref="J52:J83" si="31">(($D52*$E$11)+($E52*$E$12)+($F52*$E$13)+($G52*$E$14)+($H52*$E$15)+($I52*$E$16))</f>
        <v>-2.8571428571428574E-5</v>
      </c>
      <c r="K52" s="17">
        <f t="shared" ref="K52:K83" si="32">(($D52*$F$11)+($E52*$F$12)+($F52*$F$13)+($G52*$F$14)+($H52*$F$15)+($I52*$F$16))</f>
        <v>-2.8571428571428574E-5</v>
      </c>
      <c r="L52" s="17">
        <f t="shared" ref="L52:L83" si="33">(($D52*$G$11)+($E52*$G$12)+($F52*$G$13)+($G52*$G$14)+($H52*$G$15)+($I52*$G$16))</f>
        <v>-2.8571428571428574E-5</v>
      </c>
      <c r="M52" s="17">
        <f t="shared" ref="M52:M83" si="34">(($D52*$H$11)+($E52*$H$12)+($F52*$H$13)+($G52*$H$14)+($H52*$H$15)+($I52*$H$16))</f>
        <v>-2.8571428571428574E-5</v>
      </c>
      <c r="N52" s="17">
        <f t="shared" ref="N52:N83" si="35">(($D52*$I$11)+($E52*$I$12)+($F52*$I$13)+($G52*$I$14)+($H52*$I$15)+($I52*$I$16))</f>
        <v>-2.8571428571428574E-5</v>
      </c>
      <c r="O52" s="11">
        <f>ROUND(( J52+K52+L52+M52+Table327[[#This Row],[I5]])*1000000, 0)</f>
        <v>-143</v>
      </c>
      <c r="P52" s="11">
        <v>-143</v>
      </c>
      <c r="Q52" s="13">
        <f t="shared" si="24"/>
        <v>0</v>
      </c>
      <c r="S52" s="11">
        <v>-171</v>
      </c>
      <c r="T52" s="11">
        <f t="shared" si="22"/>
        <v>0</v>
      </c>
      <c r="V52" s="13" t="str">
        <f t="shared" si="23"/>
        <v/>
      </c>
    </row>
    <row r="53" spans="2:22" x14ac:dyDescent="0.35">
      <c r="B53" s="6">
        <v>33</v>
      </c>
      <c r="C53" s="2" t="s">
        <v>22</v>
      </c>
      <c r="D53" s="6" t="str">
        <f t="shared" si="25"/>
        <v>1</v>
      </c>
      <c r="E53" s="6" t="str">
        <f t="shared" si="26"/>
        <v>0</v>
      </c>
      <c r="F53" s="6" t="str">
        <f t="shared" si="27"/>
        <v>0</v>
      </c>
      <c r="G53" s="6" t="str">
        <f t="shared" si="28"/>
        <v>0</v>
      </c>
      <c r="H53" s="6" t="str">
        <f t="shared" si="29"/>
        <v>0</v>
      </c>
      <c r="I53" s="6" t="str">
        <f t="shared" si="30"/>
        <v>1</v>
      </c>
      <c r="J53" s="10">
        <f t="shared" si="31"/>
        <v>-3.8571428571428577E-5</v>
      </c>
      <c r="K53" s="10">
        <f t="shared" si="32"/>
        <v>-3.8571428571428577E-5</v>
      </c>
      <c r="L53" s="10">
        <f t="shared" si="33"/>
        <v>-3.0571428571428572E-5</v>
      </c>
      <c r="M53" s="10">
        <f t="shared" si="34"/>
        <v>-3.0571428571428572E-5</v>
      </c>
      <c r="N53" s="10">
        <f t="shared" si="35"/>
        <v>-3.0571428571428572E-5</v>
      </c>
      <c r="O53" s="11">
        <f>ROUND(( J53+K53+L53+M53+Table327[[#This Row],[I5]])*1000000, 0)</f>
        <v>-169</v>
      </c>
      <c r="P53" s="11">
        <v>-169</v>
      </c>
      <c r="Q53" s="13">
        <f t="shared" si="24"/>
        <v>0</v>
      </c>
      <c r="S53" s="11">
        <v>-171</v>
      </c>
      <c r="T53" s="11">
        <f t="shared" si="22"/>
        <v>2</v>
      </c>
      <c r="V53" s="13" t="str">
        <f t="shared" si="23"/>
        <v/>
      </c>
    </row>
    <row r="54" spans="2:22" x14ac:dyDescent="0.35">
      <c r="B54" s="6">
        <v>34</v>
      </c>
      <c r="C54" s="2" t="s">
        <v>22</v>
      </c>
      <c r="D54" s="6" t="str">
        <f t="shared" si="25"/>
        <v>1</v>
      </c>
      <c r="E54" s="6" t="str">
        <f t="shared" si="26"/>
        <v>0</v>
      </c>
      <c r="F54" s="6" t="str">
        <f t="shared" si="27"/>
        <v>0</v>
      </c>
      <c r="G54" s="6" t="str">
        <f t="shared" si="28"/>
        <v>0</v>
      </c>
      <c r="H54" s="6" t="str">
        <f t="shared" si="29"/>
        <v>1</v>
      </c>
      <c r="I54" s="6" t="str">
        <f t="shared" si="30"/>
        <v>0</v>
      </c>
      <c r="J54" s="10">
        <f t="shared" si="31"/>
        <v>-3.8571428571428577E-5</v>
      </c>
      <c r="K54" s="10">
        <f t="shared" si="32"/>
        <v>-3.0571428571428572E-5</v>
      </c>
      <c r="L54" s="10">
        <f t="shared" si="33"/>
        <v>-3.0571428571428572E-5</v>
      </c>
      <c r="M54" s="10">
        <f t="shared" si="34"/>
        <v>-3.0571428571428572E-5</v>
      </c>
      <c r="N54" s="10">
        <f t="shared" si="35"/>
        <v>-3.0571428571428572E-5</v>
      </c>
      <c r="O54" s="11">
        <f>ROUND(( J54+K54+L54+M54+Table327[[#This Row],[I5]])*1000000, 0)</f>
        <v>-161</v>
      </c>
      <c r="P54" s="11">
        <v>-161</v>
      </c>
      <c r="Q54" s="13">
        <f t="shared" si="24"/>
        <v>0</v>
      </c>
      <c r="S54" s="11">
        <v>-169</v>
      </c>
      <c r="T54" s="11">
        <f t="shared" si="22"/>
        <v>6</v>
      </c>
      <c r="V54" s="13" t="str">
        <f t="shared" si="23"/>
        <v/>
      </c>
    </row>
    <row r="55" spans="2:22" x14ac:dyDescent="0.35">
      <c r="B55" s="6">
        <v>35</v>
      </c>
      <c r="C55" s="2" t="s">
        <v>22</v>
      </c>
      <c r="D55" s="6" t="str">
        <f t="shared" si="25"/>
        <v>1</v>
      </c>
      <c r="E55" s="6" t="str">
        <f t="shared" si="26"/>
        <v>0</v>
      </c>
      <c r="F55" s="6" t="str">
        <f t="shared" si="27"/>
        <v>0</v>
      </c>
      <c r="G55" s="6" t="str">
        <f t="shared" si="28"/>
        <v>0</v>
      </c>
      <c r="H55" s="6" t="str">
        <f t="shared" si="29"/>
        <v>1</v>
      </c>
      <c r="I55" s="6" t="str">
        <f t="shared" si="30"/>
        <v>1</v>
      </c>
      <c r="J55" s="10">
        <f t="shared" si="31"/>
        <v>-4.8571428571428576E-5</v>
      </c>
      <c r="K55" s="10">
        <f t="shared" si="32"/>
        <v>-4.0571428571428571E-5</v>
      </c>
      <c r="L55" s="10">
        <f t="shared" si="33"/>
        <v>-3.2571428571428573E-5</v>
      </c>
      <c r="M55" s="10">
        <f t="shared" si="34"/>
        <v>-3.2571428571428573E-5</v>
      </c>
      <c r="N55" s="10">
        <f t="shared" si="35"/>
        <v>-3.2571428571428573E-5</v>
      </c>
      <c r="O55" s="11">
        <f>ROUND(( J55+K55+L55+M55+Table327[[#This Row],[I5]])*1000000, 0)</f>
        <v>-187</v>
      </c>
      <c r="P55" s="11">
        <v>-187</v>
      </c>
      <c r="Q55" s="13">
        <f t="shared" si="24"/>
        <v>0</v>
      </c>
      <c r="S55" s="11">
        <v>-163</v>
      </c>
      <c r="T55" s="11">
        <f t="shared" si="22"/>
        <v>2</v>
      </c>
      <c r="V55" s="13" t="str">
        <f t="shared" si="23"/>
        <v/>
      </c>
    </row>
    <row r="56" spans="2:22" x14ac:dyDescent="0.35">
      <c r="B56" s="6">
        <v>36</v>
      </c>
      <c r="C56" s="2" t="s">
        <v>22</v>
      </c>
      <c r="D56" s="6" t="str">
        <f t="shared" si="25"/>
        <v>1</v>
      </c>
      <c r="E56" s="6" t="str">
        <f t="shared" si="26"/>
        <v>0</v>
      </c>
      <c r="F56" s="6" t="str">
        <f t="shared" si="27"/>
        <v>0</v>
      </c>
      <c r="G56" s="6" t="str">
        <f t="shared" si="28"/>
        <v>1</v>
      </c>
      <c r="H56" s="6" t="str">
        <f t="shared" si="29"/>
        <v>0</v>
      </c>
      <c r="I56" s="6" t="str">
        <f t="shared" si="30"/>
        <v>0</v>
      </c>
      <c r="J56" s="10">
        <f t="shared" si="31"/>
        <v>-3.0571428571428572E-5</v>
      </c>
      <c r="K56" s="10">
        <f t="shared" si="32"/>
        <v>-3.0571428571428572E-5</v>
      </c>
      <c r="L56" s="10">
        <f t="shared" si="33"/>
        <v>-3.0571428571428572E-5</v>
      </c>
      <c r="M56" s="10">
        <f t="shared" si="34"/>
        <v>-3.0571428571428572E-5</v>
      </c>
      <c r="N56" s="10">
        <f t="shared" si="35"/>
        <v>-3.0571428571428572E-5</v>
      </c>
      <c r="O56" s="11">
        <f>ROUND(( J56+K56+L56+M56+Table327[[#This Row],[I5]])*1000000, 0)</f>
        <v>-153</v>
      </c>
      <c r="P56" s="11">
        <v>-206</v>
      </c>
      <c r="Q56" s="13">
        <f t="shared" si="24"/>
        <v>0</v>
      </c>
      <c r="S56" s="11">
        <v>-161</v>
      </c>
      <c r="T56" s="11">
        <f t="shared" si="22"/>
        <v>8</v>
      </c>
      <c r="V56" s="13" t="str">
        <f t="shared" si="23"/>
        <v/>
      </c>
    </row>
    <row r="57" spans="2:22" x14ac:dyDescent="0.35">
      <c r="B57" s="6">
        <v>37</v>
      </c>
      <c r="C57" s="2" t="s">
        <v>22</v>
      </c>
      <c r="D57" s="6" t="str">
        <f t="shared" si="25"/>
        <v>1</v>
      </c>
      <c r="E57" s="6" t="str">
        <f t="shared" si="26"/>
        <v>0</v>
      </c>
      <c r="F57" s="6" t="str">
        <f t="shared" si="27"/>
        <v>0</v>
      </c>
      <c r="G57" s="6" t="str">
        <f t="shared" si="28"/>
        <v>1</v>
      </c>
      <c r="H57" s="6" t="str">
        <f t="shared" si="29"/>
        <v>0</v>
      </c>
      <c r="I57" s="6" t="str">
        <f t="shared" si="30"/>
        <v>1</v>
      </c>
      <c r="J57" s="10">
        <f t="shared" si="31"/>
        <v>-4.0571428571428571E-5</v>
      </c>
      <c r="K57" s="10">
        <f t="shared" si="32"/>
        <v>-4.0571428571428571E-5</v>
      </c>
      <c r="L57" s="10">
        <f t="shared" si="33"/>
        <v>-3.2571428571428573E-5</v>
      </c>
      <c r="M57" s="10">
        <f t="shared" si="34"/>
        <v>-3.2571428571428573E-5</v>
      </c>
      <c r="N57" s="10">
        <f t="shared" si="35"/>
        <v>-3.2571428571428573E-5</v>
      </c>
      <c r="O57" s="11">
        <f>ROUND(( J57+K57+L57+M57+Table327[[#This Row],[I5]])*1000000, 0)</f>
        <v>-179</v>
      </c>
      <c r="P57" s="11">
        <v>-232</v>
      </c>
      <c r="Q57" s="13">
        <f t="shared" si="24"/>
        <v>0</v>
      </c>
      <c r="S57" s="11">
        <v>-153</v>
      </c>
      <c r="T57" s="11">
        <f t="shared" si="22"/>
        <v>0</v>
      </c>
      <c r="V57" s="13" t="str">
        <f t="shared" si="23"/>
        <v/>
      </c>
    </row>
    <row r="58" spans="2:22" x14ac:dyDescent="0.35">
      <c r="B58" s="6">
        <v>38</v>
      </c>
      <c r="C58" s="2" t="s">
        <v>22</v>
      </c>
      <c r="D58" s="6" t="str">
        <f t="shared" si="25"/>
        <v>1</v>
      </c>
      <c r="E58" s="6" t="str">
        <f t="shared" si="26"/>
        <v>0</v>
      </c>
      <c r="F58" s="6" t="str">
        <f t="shared" si="27"/>
        <v>0</v>
      </c>
      <c r="G58" s="6" t="str">
        <f t="shared" si="28"/>
        <v>1</v>
      </c>
      <c r="H58" s="6" t="str">
        <f t="shared" si="29"/>
        <v>1</v>
      </c>
      <c r="I58" s="6" t="str">
        <f t="shared" si="30"/>
        <v>0</v>
      </c>
      <c r="J58" s="10">
        <f t="shared" si="31"/>
        <v>-4.0571428571428571E-5</v>
      </c>
      <c r="K58" s="10">
        <f t="shared" si="32"/>
        <v>-3.2571428571428573E-5</v>
      </c>
      <c r="L58" s="10">
        <f t="shared" si="33"/>
        <v>-3.2571428571428573E-5</v>
      </c>
      <c r="M58" s="10">
        <f t="shared" si="34"/>
        <v>-3.2571428571428573E-5</v>
      </c>
      <c r="N58" s="10">
        <f t="shared" si="35"/>
        <v>-3.2571428571428573E-5</v>
      </c>
      <c r="O58" s="11">
        <f>ROUND(( J58+K58+L58+M58+Table327[[#This Row],[I5]])*1000000, 0)</f>
        <v>-171</v>
      </c>
      <c r="P58" s="11">
        <v>-224</v>
      </c>
      <c r="Q58" s="13">
        <f t="shared" si="24"/>
        <v>0</v>
      </c>
      <c r="S58" s="11">
        <v>-153</v>
      </c>
      <c r="T58" s="11">
        <f t="shared" si="22"/>
        <v>9</v>
      </c>
      <c r="V58" s="13" t="str">
        <f t="shared" si="23"/>
        <v/>
      </c>
    </row>
    <row r="59" spans="2:22" x14ac:dyDescent="0.35">
      <c r="B59" s="6">
        <v>39</v>
      </c>
      <c r="C59" s="2" t="s">
        <v>22</v>
      </c>
      <c r="D59" s="6" t="str">
        <f t="shared" si="25"/>
        <v>1</v>
      </c>
      <c r="E59" s="6" t="str">
        <f t="shared" si="26"/>
        <v>0</v>
      </c>
      <c r="F59" s="6" t="str">
        <f t="shared" si="27"/>
        <v>0</v>
      </c>
      <c r="G59" s="6" t="str">
        <f t="shared" si="28"/>
        <v>1</v>
      </c>
      <c r="H59" s="6" t="str">
        <f t="shared" si="29"/>
        <v>1</v>
      </c>
      <c r="I59" s="6" t="str">
        <f t="shared" si="30"/>
        <v>1</v>
      </c>
      <c r="J59" s="10">
        <f t="shared" si="31"/>
        <v>-5.057142857142857E-5</v>
      </c>
      <c r="K59" s="10">
        <f t="shared" si="32"/>
        <v>-4.2571428571428572E-5</v>
      </c>
      <c r="L59" s="10">
        <f t="shared" si="33"/>
        <v>-3.4571428571428574E-5</v>
      </c>
      <c r="M59" s="10">
        <f t="shared" si="34"/>
        <v>-3.4571428571428574E-5</v>
      </c>
      <c r="N59" s="10">
        <f t="shared" si="35"/>
        <v>-3.4571428571428574E-5</v>
      </c>
      <c r="O59" s="11">
        <f>ROUND(( J59+K59+L59+M59+Table327[[#This Row],[I5]])*1000000, 0)</f>
        <v>-197</v>
      </c>
      <c r="P59" s="11">
        <v>-250</v>
      </c>
      <c r="Q59" s="13">
        <f t="shared" si="24"/>
        <v>0</v>
      </c>
      <c r="S59" s="11">
        <v>-144</v>
      </c>
      <c r="T59" s="11">
        <f t="shared" si="22"/>
        <v>1</v>
      </c>
      <c r="V59" s="13" t="str">
        <f t="shared" si="23"/>
        <v/>
      </c>
    </row>
    <row r="60" spans="2:22" x14ac:dyDescent="0.35">
      <c r="B60" s="6">
        <v>40</v>
      </c>
      <c r="C60" s="2" t="s">
        <v>22</v>
      </c>
      <c r="D60" s="6" t="str">
        <f t="shared" si="25"/>
        <v>1</v>
      </c>
      <c r="E60" s="6" t="str">
        <f t="shared" si="26"/>
        <v>0</v>
      </c>
      <c r="F60" s="6" t="str">
        <f t="shared" si="27"/>
        <v>1</v>
      </c>
      <c r="G60" s="6" t="str">
        <f t="shared" si="28"/>
        <v>0</v>
      </c>
      <c r="H60" s="6" t="str">
        <f t="shared" si="29"/>
        <v>0</v>
      </c>
      <c r="I60" s="6" t="str">
        <f t="shared" si="30"/>
        <v>0</v>
      </c>
      <c r="J60" s="10">
        <f t="shared" si="31"/>
        <v>-5.7142857142857148E-5</v>
      </c>
      <c r="K60" s="10">
        <f t="shared" si="32"/>
        <v>-5.7142857142857148E-5</v>
      </c>
      <c r="L60" s="10">
        <f t="shared" si="33"/>
        <v>-3.0571428571428572E-5</v>
      </c>
      <c r="M60" s="10">
        <f t="shared" si="34"/>
        <v>-3.0571428571428572E-5</v>
      </c>
      <c r="N60" s="10">
        <f t="shared" si="35"/>
        <v>-3.0571428571428572E-5</v>
      </c>
      <c r="O60" s="11">
        <f>ROUND(( J60+K60+L60+M60+Table327[[#This Row],[I5]])*1000000, 0)</f>
        <v>-206</v>
      </c>
      <c r="P60" s="11">
        <v>-216</v>
      </c>
      <c r="Q60" s="13">
        <f t="shared" si="24"/>
        <v>0</v>
      </c>
      <c r="S60" s="11">
        <v>-143</v>
      </c>
      <c r="T60" s="11">
        <f t="shared" si="22"/>
        <v>9</v>
      </c>
      <c r="V60" s="13" t="str">
        <f t="shared" si="23"/>
        <v/>
      </c>
    </row>
    <row r="61" spans="2:22" x14ac:dyDescent="0.35">
      <c r="B61" s="6">
        <v>41</v>
      </c>
      <c r="C61" s="2" t="s">
        <v>22</v>
      </c>
      <c r="D61" s="6" t="str">
        <f t="shared" si="25"/>
        <v>1</v>
      </c>
      <c r="E61" s="6" t="str">
        <f t="shared" si="26"/>
        <v>0</v>
      </c>
      <c r="F61" s="6" t="str">
        <f t="shared" si="27"/>
        <v>1</v>
      </c>
      <c r="G61" s="6" t="str">
        <f t="shared" si="28"/>
        <v>0</v>
      </c>
      <c r="H61" s="6" t="str">
        <f t="shared" si="29"/>
        <v>0</v>
      </c>
      <c r="I61" s="6" t="str">
        <f t="shared" si="30"/>
        <v>1</v>
      </c>
      <c r="J61" s="10">
        <f t="shared" si="31"/>
        <v>-6.7142857142857154E-5</v>
      </c>
      <c r="K61" s="10">
        <f t="shared" si="32"/>
        <v>-6.7142857142857154E-5</v>
      </c>
      <c r="L61" s="10">
        <f t="shared" si="33"/>
        <v>-3.2571428571428573E-5</v>
      </c>
      <c r="M61" s="10">
        <f t="shared" si="34"/>
        <v>-3.2571428571428573E-5</v>
      </c>
      <c r="N61" s="10">
        <f t="shared" si="35"/>
        <v>-3.2571428571428573E-5</v>
      </c>
      <c r="O61" s="11">
        <f>ROUND(( J61+K61+L61+M61+Table327[[#This Row],[I5]])*1000000, 0)</f>
        <v>-232</v>
      </c>
      <c r="P61" s="11">
        <v>-242</v>
      </c>
      <c r="Q61" s="13">
        <f t="shared" si="24"/>
        <v>0</v>
      </c>
      <c r="S61" s="11">
        <v>-134</v>
      </c>
      <c r="T61" s="11">
        <f t="shared" si="22"/>
        <v>8</v>
      </c>
      <c r="V61" s="13" t="str">
        <f t="shared" si="23"/>
        <v/>
      </c>
    </row>
    <row r="62" spans="2:22" x14ac:dyDescent="0.35">
      <c r="B62" s="6">
        <v>42</v>
      </c>
      <c r="C62" s="2" t="s">
        <v>22</v>
      </c>
      <c r="D62" s="6" t="str">
        <f t="shared" si="25"/>
        <v>1</v>
      </c>
      <c r="E62" s="6" t="str">
        <f t="shared" si="26"/>
        <v>0</v>
      </c>
      <c r="F62" s="6" t="str">
        <f t="shared" si="27"/>
        <v>1</v>
      </c>
      <c r="G62" s="6" t="str">
        <f t="shared" si="28"/>
        <v>0</v>
      </c>
      <c r="H62" s="6" t="str">
        <f t="shared" si="29"/>
        <v>1</v>
      </c>
      <c r="I62" s="6" t="str">
        <f t="shared" si="30"/>
        <v>0</v>
      </c>
      <c r="J62" s="10">
        <f t="shared" si="31"/>
        <v>-6.7142857142857154E-5</v>
      </c>
      <c r="K62" s="10">
        <f t="shared" si="32"/>
        <v>-5.914285714285715E-5</v>
      </c>
      <c r="L62" s="10">
        <f t="shared" si="33"/>
        <v>-3.2571428571428573E-5</v>
      </c>
      <c r="M62" s="10">
        <f t="shared" si="34"/>
        <v>-3.2571428571428573E-5</v>
      </c>
      <c r="N62" s="10">
        <f t="shared" si="35"/>
        <v>-3.2571428571428573E-5</v>
      </c>
      <c r="O62" s="11">
        <f>ROUND(( J62+K62+L62+M62+Table327[[#This Row],[I5]])*1000000, 0)</f>
        <v>-224</v>
      </c>
      <c r="P62" s="11">
        <v>-234</v>
      </c>
      <c r="Q62" s="13">
        <f t="shared" si="24"/>
        <v>0</v>
      </c>
      <c r="S62" s="11">
        <v>-126</v>
      </c>
      <c r="T62" s="11">
        <f t="shared" si="22"/>
        <v>8</v>
      </c>
      <c r="V62" s="13" t="str">
        <f t="shared" si="23"/>
        <v/>
      </c>
    </row>
    <row r="63" spans="2:22" x14ac:dyDescent="0.35">
      <c r="B63" s="6">
        <v>43</v>
      </c>
      <c r="C63" s="2" t="s">
        <v>22</v>
      </c>
      <c r="D63" s="6" t="str">
        <f t="shared" si="25"/>
        <v>1</v>
      </c>
      <c r="E63" s="6" t="str">
        <f t="shared" si="26"/>
        <v>0</v>
      </c>
      <c r="F63" s="6" t="str">
        <f t="shared" si="27"/>
        <v>1</v>
      </c>
      <c r="G63" s="6" t="str">
        <f t="shared" si="28"/>
        <v>0</v>
      </c>
      <c r="H63" s="6" t="str">
        <f t="shared" si="29"/>
        <v>1</v>
      </c>
      <c r="I63" s="6" t="str">
        <f t="shared" si="30"/>
        <v>1</v>
      </c>
      <c r="J63" s="10">
        <f t="shared" si="31"/>
        <v>-7.7142857142857154E-5</v>
      </c>
      <c r="K63" s="10">
        <f t="shared" si="32"/>
        <v>-6.9142857142857149E-5</v>
      </c>
      <c r="L63" s="10">
        <f t="shared" si="33"/>
        <v>-3.4571428571428574E-5</v>
      </c>
      <c r="M63" s="10">
        <f t="shared" si="34"/>
        <v>-3.4571428571428574E-5</v>
      </c>
      <c r="N63" s="10">
        <f t="shared" si="35"/>
        <v>-3.4571428571428574E-5</v>
      </c>
      <c r="O63" s="11">
        <f>ROUND(( J63+K63+L63+M63+Table327[[#This Row],[I5]])*1000000, 0)</f>
        <v>-250</v>
      </c>
      <c r="P63" s="11">
        <v>-260</v>
      </c>
      <c r="Q63" s="13">
        <f t="shared" si="24"/>
        <v>0</v>
      </c>
      <c r="S63" s="11">
        <v>-118</v>
      </c>
      <c r="T63" s="11">
        <f t="shared" si="22"/>
        <v>1</v>
      </c>
      <c r="V63" s="13" t="str">
        <f t="shared" si="23"/>
        <v/>
      </c>
    </row>
    <row r="64" spans="2:22" x14ac:dyDescent="0.35">
      <c r="B64" s="6">
        <v>44</v>
      </c>
      <c r="C64" s="2" t="s">
        <v>22</v>
      </c>
      <c r="D64" s="6" t="str">
        <f t="shared" si="25"/>
        <v>1</v>
      </c>
      <c r="E64" s="6" t="str">
        <f t="shared" si="26"/>
        <v>0</v>
      </c>
      <c r="F64" s="6" t="str">
        <f t="shared" si="27"/>
        <v>1</v>
      </c>
      <c r="G64" s="6" t="str">
        <f t="shared" si="28"/>
        <v>1</v>
      </c>
      <c r="H64" s="6" t="str">
        <f t="shared" si="29"/>
        <v>0</v>
      </c>
      <c r="I64" s="6" t="str">
        <f t="shared" si="30"/>
        <v>0</v>
      </c>
      <c r="J64" s="10">
        <f t="shared" si="31"/>
        <v>-5.914285714285715E-5</v>
      </c>
      <c r="K64" s="10">
        <f t="shared" si="32"/>
        <v>-5.914285714285715E-5</v>
      </c>
      <c r="L64" s="10">
        <f t="shared" si="33"/>
        <v>-3.2571428571428573E-5</v>
      </c>
      <c r="M64" s="10">
        <f t="shared" si="34"/>
        <v>-3.2571428571428573E-5</v>
      </c>
      <c r="N64" s="10">
        <f t="shared" si="35"/>
        <v>-3.2571428571428573E-5</v>
      </c>
      <c r="O64" s="11">
        <f>ROUND(( J64+K64+L64+M64+Table327[[#This Row],[I5]])*1000000, 0)</f>
        <v>-216</v>
      </c>
      <c r="P64" s="11">
        <v>-233</v>
      </c>
      <c r="Q64" s="13">
        <f t="shared" si="24"/>
        <v>0</v>
      </c>
      <c r="S64" s="11">
        <v>-117</v>
      </c>
      <c r="T64" s="11">
        <f t="shared" si="22"/>
        <v>1</v>
      </c>
      <c r="V64" s="13" t="str">
        <f t="shared" si="23"/>
        <v/>
      </c>
    </row>
    <row r="65" spans="2:22" x14ac:dyDescent="0.35">
      <c r="B65" s="6">
        <v>45</v>
      </c>
      <c r="C65" s="2" t="s">
        <v>22</v>
      </c>
      <c r="D65" s="6" t="str">
        <f t="shared" si="25"/>
        <v>1</v>
      </c>
      <c r="E65" s="6" t="str">
        <f t="shared" si="26"/>
        <v>0</v>
      </c>
      <c r="F65" s="6" t="str">
        <f t="shared" si="27"/>
        <v>1</v>
      </c>
      <c r="G65" s="6" t="str">
        <f t="shared" si="28"/>
        <v>1</v>
      </c>
      <c r="H65" s="6" t="str">
        <f t="shared" si="29"/>
        <v>0</v>
      </c>
      <c r="I65" s="6" t="str">
        <f t="shared" si="30"/>
        <v>1</v>
      </c>
      <c r="J65" s="10">
        <f t="shared" si="31"/>
        <v>-6.9142857142857149E-5</v>
      </c>
      <c r="K65" s="10">
        <f t="shared" si="32"/>
        <v>-6.9142857142857149E-5</v>
      </c>
      <c r="L65" s="10">
        <f t="shared" si="33"/>
        <v>-3.4571428571428574E-5</v>
      </c>
      <c r="M65" s="10">
        <f t="shared" si="34"/>
        <v>-3.4571428571428574E-5</v>
      </c>
      <c r="N65" s="10">
        <f t="shared" si="35"/>
        <v>-3.4571428571428574E-5</v>
      </c>
      <c r="O65" s="11">
        <f>ROUND(( J65+K65+L65+M65+Table327[[#This Row],[I5]])*1000000, 0)</f>
        <v>-242</v>
      </c>
      <c r="P65" s="11">
        <v>-259</v>
      </c>
      <c r="Q65" s="13">
        <f t="shared" si="24"/>
        <v>0</v>
      </c>
      <c r="S65" s="11">
        <v>-116</v>
      </c>
      <c r="T65" s="11">
        <f t="shared" si="22"/>
        <v>8</v>
      </c>
      <c r="V65" s="13" t="str">
        <f t="shared" si="23"/>
        <v/>
      </c>
    </row>
    <row r="66" spans="2:22" x14ac:dyDescent="0.35">
      <c r="B66" s="6">
        <v>46</v>
      </c>
      <c r="C66" s="2" t="s">
        <v>22</v>
      </c>
      <c r="D66" s="6" t="str">
        <f t="shared" si="25"/>
        <v>1</v>
      </c>
      <c r="E66" s="6" t="str">
        <f t="shared" si="26"/>
        <v>0</v>
      </c>
      <c r="F66" s="6" t="str">
        <f t="shared" si="27"/>
        <v>1</v>
      </c>
      <c r="G66" s="6" t="str">
        <f t="shared" si="28"/>
        <v>1</v>
      </c>
      <c r="H66" s="6" t="str">
        <f t="shared" si="29"/>
        <v>1</v>
      </c>
      <c r="I66" s="6" t="str">
        <f t="shared" si="30"/>
        <v>0</v>
      </c>
      <c r="J66" s="10">
        <f t="shared" si="31"/>
        <v>-6.9142857142857149E-5</v>
      </c>
      <c r="K66" s="10">
        <f t="shared" si="32"/>
        <v>-6.1142857142857144E-5</v>
      </c>
      <c r="L66" s="10">
        <f t="shared" si="33"/>
        <v>-3.4571428571428574E-5</v>
      </c>
      <c r="M66" s="10">
        <f t="shared" si="34"/>
        <v>-3.4571428571428574E-5</v>
      </c>
      <c r="N66" s="10">
        <f t="shared" si="35"/>
        <v>-3.4571428571428574E-5</v>
      </c>
      <c r="O66" s="11">
        <f>ROUND(( J66+K66+L66+M66+Table327[[#This Row],[I5]])*1000000, 0)</f>
        <v>-234</v>
      </c>
      <c r="P66" s="11">
        <v>-251</v>
      </c>
      <c r="Q66" s="13">
        <f t="shared" si="24"/>
        <v>0</v>
      </c>
      <c r="S66" s="11">
        <v>-108</v>
      </c>
      <c r="T66" s="11">
        <f t="shared" si="22"/>
        <v>1</v>
      </c>
      <c r="V66" s="13" t="str">
        <f t="shared" si="23"/>
        <v/>
      </c>
    </row>
    <row r="67" spans="2:22" x14ac:dyDescent="0.35">
      <c r="B67" s="6">
        <v>47</v>
      </c>
      <c r="C67" s="2" t="s">
        <v>22</v>
      </c>
      <c r="D67" s="6" t="str">
        <f t="shared" si="25"/>
        <v>1</v>
      </c>
      <c r="E67" s="6" t="str">
        <f t="shared" si="26"/>
        <v>0</v>
      </c>
      <c r="F67" s="6" t="str">
        <f t="shared" si="27"/>
        <v>1</v>
      </c>
      <c r="G67" s="6" t="str">
        <f t="shared" si="28"/>
        <v>1</v>
      </c>
      <c r="H67" s="6" t="str">
        <f t="shared" si="29"/>
        <v>1</v>
      </c>
      <c r="I67" s="6" t="str">
        <f t="shared" si="30"/>
        <v>1</v>
      </c>
      <c r="J67" s="10">
        <f t="shared" si="31"/>
        <v>-7.9142857142857148E-5</v>
      </c>
      <c r="K67" s="10">
        <f t="shared" si="32"/>
        <v>-7.1142857142857143E-5</v>
      </c>
      <c r="L67" s="10">
        <f t="shared" si="33"/>
        <v>-3.6571428571428576E-5</v>
      </c>
      <c r="M67" s="10">
        <f t="shared" si="34"/>
        <v>-3.6571428571428576E-5</v>
      </c>
      <c r="N67" s="10">
        <f t="shared" si="35"/>
        <v>-3.6571428571428576E-5</v>
      </c>
      <c r="O67" s="11">
        <f>ROUND(( J67+K67+L67+M67+Table327[[#This Row],[I5]])*1000000, 0)</f>
        <v>-260</v>
      </c>
      <c r="P67" s="11">
        <v>-277</v>
      </c>
      <c r="Q67" s="13">
        <f t="shared" si="24"/>
        <v>0</v>
      </c>
      <c r="S67" s="11">
        <v>-107</v>
      </c>
      <c r="T67" s="11">
        <f t="shared" si="22"/>
        <v>7</v>
      </c>
      <c r="V67" s="13" t="str">
        <f t="shared" si="23"/>
        <v/>
      </c>
    </row>
    <row r="68" spans="2:22" x14ac:dyDescent="0.35">
      <c r="B68" s="6">
        <v>48</v>
      </c>
      <c r="C68" s="2" t="s">
        <v>22</v>
      </c>
      <c r="D68" s="6" t="str">
        <f t="shared" si="25"/>
        <v>1</v>
      </c>
      <c r="E68" s="6" t="str">
        <f t="shared" si="26"/>
        <v>1</v>
      </c>
      <c r="F68" s="6" t="str">
        <f t="shared" si="27"/>
        <v>0</v>
      </c>
      <c r="G68" s="6" t="str">
        <f t="shared" si="28"/>
        <v>0</v>
      </c>
      <c r="H68" s="6" t="str">
        <f t="shared" si="29"/>
        <v>0</v>
      </c>
      <c r="I68" s="6" t="str">
        <f t="shared" si="30"/>
        <v>0</v>
      </c>
      <c r="J68" s="10">
        <f t="shared" si="31"/>
        <v>-5.7142857142857148E-5</v>
      </c>
      <c r="K68" s="10">
        <f t="shared" si="32"/>
        <v>-5.7142857142857148E-5</v>
      </c>
      <c r="L68" s="10">
        <f t="shared" si="33"/>
        <v>-5.7142857142857148E-5</v>
      </c>
      <c r="M68" s="10">
        <f t="shared" si="34"/>
        <v>-3.0571428571428572E-5</v>
      </c>
      <c r="N68" s="10">
        <f t="shared" si="35"/>
        <v>-3.0571428571428572E-5</v>
      </c>
      <c r="O68" s="11">
        <f>ROUND(( J68+K68+L68+M68+Table327[[#This Row],[I5]])*1000000, 0)</f>
        <v>-233</v>
      </c>
      <c r="P68" s="11">
        <v>-243</v>
      </c>
      <c r="Q68" s="13">
        <f t="shared" si="24"/>
        <v>0</v>
      </c>
      <c r="S68" s="11">
        <v>-100</v>
      </c>
      <c r="T68" s="11">
        <f t="shared" si="22"/>
        <v>1</v>
      </c>
      <c r="V68" s="13" t="str">
        <f t="shared" si="23"/>
        <v/>
      </c>
    </row>
    <row r="69" spans="2:22" x14ac:dyDescent="0.35">
      <c r="B69" s="6">
        <v>49</v>
      </c>
      <c r="C69" s="2" t="s">
        <v>22</v>
      </c>
      <c r="D69" s="6" t="str">
        <f t="shared" si="25"/>
        <v>1</v>
      </c>
      <c r="E69" s="6" t="str">
        <f t="shared" si="26"/>
        <v>1</v>
      </c>
      <c r="F69" s="6" t="str">
        <f t="shared" si="27"/>
        <v>0</v>
      </c>
      <c r="G69" s="6" t="str">
        <f t="shared" si="28"/>
        <v>0</v>
      </c>
      <c r="H69" s="6" t="str">
        <f t="shared" si="29"/>
        <v>0</v>
      </c>
      <c r="I69" s="6" t="str">
        <f t="shared" si="30"/>
        <v>1</v>
      </c>
      <c r="J69" s="10">
        <f t="shared" si="31"/>
        <v>-6.7142857142857154E-5</v>
      </c>
      <c r="K69" s="10">
        <f t="shared" si="32"/>
        <v>-6.7142857142857154E-5</v>
      </c>
      <c r="L69" s="10">
        <f t="shared" si="33"/>
        <v>-5.914285714285715E-5</v>
      </c>
      <c r="M69" s="10">
        <f t="shared" si="34"/>
        <v>-3.2571428571428573E-5</v>
      </c>
      <c r="N69" s="10">
        <f t="shared" si="35"/>
        <v>-3.2571428571428573E-5</v>
      </c>
      <c r="O69" s="11">
        <f>ROUND(( J69+K69+L69+M69+Table327[[#This Row],[I5]])*1000000, 0)</f>
        <v>-259</v>
      </c>
      <c r="P69" s="11">
        <v>-269</v>
      </c>
      <c r="Q69" s="13">
        <f t="shared" si="24"/>
        <v>0</v>
      </c>
      <c r="S69" s="11">
        <v>-99</v>
      </c>
      <c r="T69" s="11">
        <f t="shared" si="22"/>
        <v>8</v>
      </c>
      <c r="V69" s="13" t="str">
        <f t="shared" si="23"/>
        <v/>
      </c>
    </row>
    <row r="70" spans="2:22" x14ac:dyDescent="0.35">
      <c r="B70" s="6">
        <v>50</v>
      </c>
      <c r="C70" s="2" t="s">
        <v>22</v>
      </c>
      <c r="D70" s="6" t="str">
        <f t="shared" si="25"/>
        <v>1</v>
      </c>
      <c r="E70" s="6" t="str">
        <f t="shared" si="26"/>
        <v>1</v>
      </c>
      <c r="F70" s="6" t="str">
        <f t="shared" si="27"/>
        <v>0</v>
      </c>
      <c r="G70" s="6" t="str">
        <f t="shared" si="28"/>
        <v>0</v>
      </c>
      <c r="H70" s="6" t="str">
        <f t="shared" si="29"/>
        <v>1</v>
      </c>
      <c r="I70" s="6" t="str">
        <f t="shared" si="30"/>
        <v>0</v>
      </c>
      <c r="J70" s="10">
        <f t="shared" si="31"/>
        <v>-6.7142857142857154E-5</v>
      </c>
      <c r="K70" s="10">
        <f t="shared" si="32"/>
        <v>-5.914285714285715E-5</v>
      </c>
      <c r="L70" s="10">
        <f t="shared" si="33"/>
        <v>-5.914285714285715E-5</v>
      </c>
      <c r="M70" s="10">
        <f t="shared" si="34"/>
        <v>-3.2571428571428573E-5</v>
      </c>
      <c r="N70" s="10">
        <f t="shared" si="35"/>
        <v>-3.2571428571428573E-5</v>
      </c>
      <c r="O70" s="11">
        <f>ROUND(( J70+K70+L70+M70+Table327[[#This Row],[I5]])*1000000, 0)</f>
        <v>-251</v>
      </c>
      <c r="P70" s="11">
        <v>-261</v>
      </c>
      <c r="Q70" s="13">
        <f t="shared" si="24"/>
        <v>0</v>
      </c>
      <c r="S70" s="11">
        <v>-91</v>
      </c>
      <c r="T70" s="11">
        <f t="shared" si="22"/>
        <v>1</v>
      </c>
      <c r="V70" s="13" t="str">
        <f t="shared" si="23"/>
        <v/>
      </c>
    </row>
    <row r="71" spans="2:22" x14ac:dyDescent="0.35">
      <c r="B71" s="6">
        <v>51</v>
      </c>
      <c r="C71" s="2" t="s">
        <v>22</v>
      </c>
      <c r="D71" s="6" t="str">
        <f t="shared" si="25"/>
        <v>1</v>
      </c>
      <c r="E71" s="6" t="str">
        <f t="shared" si="26"/>
        <v>1</v>
      </c>
      <c r="F71" s="6" t="str">
        <f t="shared" si="27"/>
        <v>0</v>
      </c>
      <c r="G71" s="6" t="str">
        <f t="shared" si="28"/>
        <v>0</v>
      </c>
      <c r="H71" s="6" t="str">
        <f t="shared" si="29"/>
        <v>1</v>
      </c>
      <c r="I71" s="6" t="str">
        <f t="shared" si="30"/>
        <v>1</v>
      </c>
      <c r="J71" s="10">
        <f t="shared" si="31"/>
        <v>-7.7142857142857154E-5</v>
      </c>
      <c r="K71" s="10">
        <f t="shared" si="32"/>
        <v>-6.9142857142857149E-5</v>
      </c>
      <c r="L71" s="10">
        <f t="shared" si="33"/>
        <v>-6.1142857142857144E-5</v>
      </c>
      <c r="M71" s="10">
        <f t="shared" si="34"/>
        <v>-3.4571428571428574E-5</v>
      </c>
      <c r="N71" s="10">
        <f t="shared" si="35"/>
        <v>-3.4571428571428574E-5</v>
      </c>
      <c r="O71" s="11">
        <f>ROUND(( J71+K71+L71+M71+Table327[[#This Row],[I5]])*1000000, 0)</f>
        <v>-277</v>
      </c>
      <c r="P71" s="11">
        <v>-287</v>
      </c>
      <c r="Q71" s="13">
        <f t="shared" si="24"/>
        <v>0</v>
      </c>
      <c r="S71" s="11">
        <v>-90</v>
      </c>
      <c r="T71" s="11">
        <f t="shared" si="22"/>
        <v>1</v>
      </c>
      <c r="V71" s="13" t="str">
        <f t="shared" si="23"/>
        <v/>
      </c>
    </row>
    <row r="72" spans="2:22" x14ac:dyDescent="0.35">
      <c r="B72" s="6">
        <v>52</v>
      </c>
      <c r="C72" s="2" t="s">
        <v>22</v>
      </c>
      <c r="D72" s="6" t="str">
        <f t="shared" si="25"/>
        <v>1</v>
      </c>
      <c r="E72" s="6" t="str">
        <f t="shared" si="26"/>
        <v>1</v>
      </c>
      <c r="F72" s="6" t="str">
        <f t="shared" si="27"/>
        <v>0</v>
      </c>
      <c r="G72" s="6" t="str">
        <f t="shared" si="28"/>
        <v>1</v>
      </c>
      <c r="H72" s="6" t="str">
        <f t="shared" si="29"/>
        <v>0</v>
      </c>
      <c r="I72" s="6" t="str">
        <f t="shared" si="30"/>
        <v>0</v>
      </c>
      <c r="J72" s="10">
        <f t="shared" si="31"/>
        <v>-5.914285714285715E-5</v>
      </c>
      <c r="K72" s="10">
        <f t="shared" si="32"/>
        <v>-5.914285714285715E-5</v>
      </c>
      <c r="L72" s="10">
        <f t="shared" si="33"/>
        <v>-5.914285714285715E-5</v>
      </c>
      <c r="M72" s="10">
        <f t="shared" si="34"/>
        <v>-3.2571428571428573E-5</v>
      </c>
      <c r="N72" s="10">
        <f t="shared" si="35"/>
        <v>-3.2571428571428573E-5</v>
      </c>
      <c r="O72" s="11">
        <f>ROUND(( J72+K72+L72+M72+Table327[[#This Row],[I5]])*1000000, 0)</f>
        <v>-243</v>
      </c>
      <c r="P72" s="11">
        <v>-296</v>
      </c>
      <c r="Q72" s="13">
        <f t="shared" si="24"/>
        <v>0</v>
      </c>
      <c r="S72" s="11">
        <v>-89</v>
      </c>
      <c r="T72" s="11">
        <f t="shared" si="22"/>
        <v>8</v>
      </c>
      <c r="V72" s="13" t="str">
        <f t="shared" si="23"/>
        <v/>
      </c>
    </row>
    <row r="73" spans="2:22" x14ac:dyDescent="0.35">
      <c r="B73" s="6">
        <v>53</v>
      </c>
      <c r="C73" s="2" t="s">
        <v>22</v>
      </c>
      <c r="D73" s="6" t="str">
        <f t="shared" si="25"/>
        <v>1</v>
      </c>
      <c r="E73" s="6" t="str">
        <f t="shared" si="26"/>
        <v>1</v>
      </c>
      <c r="F73" s="6" t="str">
        <f t="shared" si="27"/>
        <v>0</v>
      </c>
      <c r="G73" s="6" t="str">
        <f t="shared" si="28"/>
        <v>1</v>
      </c>
      <c r="H73" s="6" t="str">
        <f t="shared" si="29"/>
        <v>0</v>
      </c>
      <c r="I73" s="6" t="str">
        <f t="shared" si="30"/>
        <v>1</v>
      </c>
      <c r="J73" s="10">
        <f t="shared" si="31"/>
        <v>-6.9142857142857149E-5</v>
      </c>
      <c r="K73" s="10">
        <f t="shared" si="32"/>
        <v>-6.9142857142857149E-5</v>
      </c>
      <c r="L73" s="10">
        <f t="shared" si="33"/>
        <v>-6.1142857142857144E-5</v>
      </c>
      <c r="M73" s="10">
        <f t="shared" si="34"/>
        <v>-3.4571428571428574E-5</v>
      </c>
      <c r="N73" s="10">
        <f t="shared" si="35"/>
        <v>-3.4571428571428574E-5</v>
      </c>
      <c r="O73" s="11">
        <f>ROUND(( J73+K73+L73+M73+Table327[[#This Row],[I5]])*1000000, 0)</f>
        <v>-269</v>
      </c>
      <c r="P73" s="11">
        <v>-322</v>
      </c>
      <c r="Q73" s="13">
        <f t="shared" si="24"/>
        <v>0</v>
      </c>
      <c r="S73" s="11">
        <v>-81</v>
      </c>
      <c r="T73" s="11">
        <f t="shared" si="22"/>
        <v>8</v>
      </c>
      <c r="V73" s="13" t="str">
        <f t="shared" si="23"/>
        <v/>
      </c>
    </row>
    <row r="74" spans="2:22" x14ac:dyDescent="0.35">
      <c r="B74" s="6">
        <v>54</v>
      </c>
      <c r="C74" s="2" t="s">
        <v>22</v>
      </c>
      <c r="D74" s="6" t="str">
        <f t="shared" si="25"/>
        <v>1</v>
      </c>
      <c r="E74" s="6" t="str">
        <f t="shared" si="26"/>
        <v>1</v>
      </c>
      <c r="F74" s="6" t="str">
        <f t="shared" si="27"/>
        <v>0</v>
      </c>
      <c r="G74" s="6" t="str">
        <f t="shared" si="28"/>
        <v>1</v>
      </c>
      <c r="H74" s="6" t="str">
        <f t="shared" si="29"/>
        <v>1</v>
      </c>
      <c r="I74" s="6" t="str">
        <f t="shared" si="30"/>
        <v>0</v>
      </c>
      <c r="J74" s="10">
        <f t="shared" si="31"/>
        <v>-6.9142857142857149E-5</v>
      </c>
      <c r="K74" s="10">
        <f t="shared" si="32"/>
        <v>-6.1142857142857144E-5</v>
      </c>
      <c r="L74" s="10">
        <f t="shared" si="33"/>
        <v>-6.1142857142857144E-5</v>
      </c>
      <c r="M74" s="10">
        <f t="shared" si="34"/>
        <v>-3.4571428571428574E-5</v>
      </c>
      <c r="N74" s="10">
        <f t="shared" si="35"/>
        <v>-3.4571428571428574E-5</v>
      </c>
      <c r="O74" s="11">
        <f>ROUND(( J74+K74+L74+M74+Table327[[#This Row],[I5]])*1000000, 0)</f>
        <v>-261</v>
      </c>
      <c r="P74" s="11">
        <v>-314</v>
      </c>
      <c r="Q74" s="13">
        <f t="shared" si="24"/>
        <v>0</v>
      </c>
      <c r="S74" s="11">
        <v>-73</v>
      </c>
      <c r="T74" s="11">
        <f t="shared" si="22"/>
        <v>10</v>
      </c>
      <c r="V74" s="13" t="str">
        <f t="shared" si="23"/>
        <v/>
      </c>
    </row>
    <row r="75" spans="2:22" x14ac:dyDescent="0.35">
      <c r="B75" s="6">
        <v>55</v>
      </c>
      <c r="C75" s="2" t="s">
        <v>22</v>
      </c>
      <c r="D75" s="6" t="str">
        <f t="shared" si="25"/>
        <v>1</v>
      </c>
      <c r="E75" s="6" t="str">
        <f t="shared" si="26"/>
        <v>1</v>
      </c>
      <c r="F75" s="6" t="str">
        <f t="shared" si="27"/>
        <v>0</v>
      </c>
      <c r="G75" s="6" t="str">
        <f t="shared" si="28"/>
        <v>1</v>
      </c>
      <c r="H75" s="6" t="str">
        <f t="shared" si="29"/>
        <v>1</v>
      </c>
      <c r="I75" s="6" t="str">
        <f t="shared" si="30"/>
        <v>1</v>
      </c>
      <c r="J75" s="10">
        <f t="shared" si="31"/>
        <v>-7.9142857142857148E-5</v>
      </c>
      <c r="K75" s="10">
        <f t="shared" si="32"/>
        <v>-7.1142857142857143E-5</v>
      </c>
      <c r="L75" s="10">
        <f t="shared" si="33"/>
        <v>-6.3142857142857138E-5</v>
      </c>
      <c r="M75" s="10">
        <f t="shared" si="34"/>
        <v>-3.6571428571428576E-5</v>
      </c>
      <c r="N75" s="10">
        <f t="shared" si="35"/>
        <v>-3.6571428571428576E-5</v>
      </c>
      <c r="O75" s="11">
        <f>ROUND(( J75+K75+L75+M75+Table327[[#This Row],[I5]])*1000000, 0)</f>
        <v>-287</v>
      </c>
      <c r="P75" s="11">
        <v>-340</v>
      </c>
      <c r="Q75" s="13">
        <f t="shared" si="24"/>
        <v>0</v>
      </c>
      <c r="S75" s="11">
        <v>-63</v>
      </c>
      <c r="T75" s="11">
        <f t="shared" si="22"/>
        <v>9</v>
      </c>
      <c r="V75" s="13" t="str">
        <f t="shared" si="23"/>
        <v/>
      </c>
    </row>
    <row r="76" spans="2:22" x14ac:dyDescent="0.35">
      <c r="B76" s="6">
        <v>56</v>
      </c>
      <c r="C76" s="2" t="s">
        <v>22</v>
      </c>
      <c r="D76" s="6" t="str">
        <f t="shared" si="25"/>
        <v>1</v>
      </c>
      <c r="E76" s="6" t="str">
        <f t="shared" si="26"/>
        <v>1</v>
      </c>
      <c r="F76" s="6" t="str">
        <f t="shared" si="27"/>
        <v>1</v>
      </c>
      <c r="G76" s="6" t="str">
        <f t="shared" si="28"/>
        <v>0</v>
      </c>
      <c r="H76" s="6" t="str">
        <f t="shared" si="29"/>
        <v>0</v>
      </c>
      <c r="I76" s="6" t="str">
        <f t="shared" si="30"/>
        <v>0</v>
      </c>
      <c r="J76" s="10">
        <f t="shared" si="31"/>
        <v>-8.5714285714285726E-5</v>
      </c>
      <c r="K76" s="10">
        <f t="shared" si="32"/>
        <v>-8.5714285714285726E-5</v>
      </c>
      <c r="L76" s="10">
        <f t="shared" si="33"/>
        <v>-5.914285714285715E-5</v>
      </c>
      <c r="M76" s="10">
        <f t="shared" si="34"/>
        <v>-3.2571428571428573E-5</v>
      </c>
      <c r="N76" s="10">
        <f t="shared" si="35"/>
        <v>-3.2571428571428573E-5</v>
      </c>
      <c r="O76" s="11">
        <f>ROUND(( J76+K76+L76+M76+Table327[[#This Row],[I5]])*1000000, 0)</f>
        <v>-296</v>
      </c>
      <c r="P76" s="11">
        <v>-306</v>
      </c>
      <c r="Q76" s="13">
        <f t="shared" si="24"/>
        <v>0</v>
      </c>
      <c r="S76" s="11">
        <v>-54</v>
      </c>
      <c r="T76" s="11">
        <f t="shared" si="22"/>
        <v>10</v>
      </c>
      <c r="V76" s="13" t="str">
        <f t="shared" si="23"/>
        <v/>
      </c>
    </row>
    <row r="77" spans="2:22" x14ac:dyDescent="0.35">
      <c r="B77" s="6">
        <v>57</v>
      </c>
      <c r="C77" s="2" t="s">
        <v>22</v>
      </c>
      <c r="D77" s="6" t="str">
        <f t="shared" si="25"/>
        <v>1</v>
      </c>
      <c r="E77" s="6" t="str">
        <f t="shared" si="26"/>
        <v>1</v>
      </c>
      <c r="F77" s="6" t="str">
        <f t="shared" si="27"/>
        <v>1</v>
      </c>
      <c r="G77" s="6" t="str">
        <f t="shared" si="28"/>
        <v>0</v>
      </c>
      <c r="H77" s="6" t="str">
        <f t="shared" si="29"/>
        <v>0</v>
      </c>
      <c r="I77" s="6" t="str">
        <f t="shared" si="30"/>
        <v>1</v>
      </c>
      <c r="J77" s="10">
        <f t="shared" si="31"/>
        <v>-9.5714285714285725E-5</v>
      </c>
      <c r="K77" s="10">
        <f t="shared" si="32"/>
        <v>-9.5714285714285725E-5</v>
      </c>
      <c r="L77" s="10">
        <f t="shared" si="33"/>
        <v>-6.1142857142857144E-5</v>
      </c>
      <c r="M77" s="10">
        <f t="shared" si="34"/>
        <v>-3.4571428571428574E-5</v>
      </c>
      <c r="N77" s="10">
        <f t="shared" si="35"/>
        <v>-3.4571428571428574E-5</v>
      </c>
      <c r="O77" s="11">
        <f>ROUND(( J77+K77+L77+M77+Table327[[#This Row],[I5]])*1000000, 0)</f>
        <v>-322</v>
      </c>
      <c r="P77" s="11">
        <v>-332</v>
      </c>
      <c r="Q77" s="13">
        <f t="shared" si="24"/>
        <v>0</v>
      </c>
      <c r="S77" s="11">
        <v>-44</v>
      </c>
      <c r="T77" s="11">
        <f t="shared" si="22"/>
        <v>8</v>
      </c>
      <c r="V77" s="13" t="str">
        <f t="shared" si="23"/>
        <v/>
      </c>
    </row>
    <row r="78" spans="2:22" x14ac:dyDescent="0.35">
      <c r="B78" s="6">
        <v>58</v>
      </c>
      <c r="C78" s="2" t="s">
        <v>22</v>
      </c>
      <c r="D78" s="6" t="str">
        <f t="shared" si="25"/>
        <v>1</v>
      </c>
      <c r="E78" s="6" t="str">
        <f t="shared" si="26"/>
        <v>1</v>
      </c>
      <c r="F78" s="6" t="str">
        <f t="shared" si="27"/>
        <v>1</v>
      </c>
      <c r="G78" s="6" t="str">
        <f t="shared" si="28"/>
        <v>0</v>
      </c>
      <c r="H78" s="6" t="str">
        <f t="shared" si="29"/>
        <v>1</v>
      </c>
      <c r="I78" s="6" t="str">
        <f t="shared" si="30"/>
        <v>0</v>
      </c>
      <c r="J78" s="10">
        <f t="shared" si="31"/>
        <v>-9.5714285714285725E-5</v>
      </c>
      <c r="K78" s="10">
        <f t="shared" si="32"/>
        <v>-8.7714285714285721E-5</v>
      </c>
      <c r="L78" s="10">
        <f t="shared" si="33"/>
        <v>-6.1142857142857144E-5</v>
      </c>
      <c r="M78" s="10">
        <f t="shared" si="34"/>
        <v>-3.4571428571428574E-5</v>
      </c>
      <c r="N78" s="10">
        <f t="shared" si="35"/>
        <v>-3.4571428571428574E-5</v>
      </c>
      <c r="O78" s="11">
        <f>ROUND(( J78+K78+L78+M78+Table327[[#This Row],[I5]])*1000000, 0)</f>
        <v>-314</v>
      </c>
      <c r="P78" s="11">
        <v>-324</v>
      </c>
      <c r="Q78" s="13">
        <f t="shared" si="24"/>
        <v>0</v>
      </c>
      <c r="S78" s="11">
        <v>-36</v>
      </c>
      <c r="T78" s="11">
        <f t="shared" si="22"/>
        <v>8</v>
      </c>
      <c r="V78" s="13" t="str">
        <f t="shared" si="23"/>
        <v/>
      </c>
    </row>
    <row r="79" spans="2:22" x14ac:dyDescent="0.35">
      <c r="B79" s="6">
        <v>59</v>
      </c>
      <c r="C79" s="2" t="s">
        <v>22</v>
      </c>
      <c r="D79" s="6" t="str">
        <f t="shared" si="25"/>
        <v>1</v>
      </c>
      <c r="E79" s="6" t="str">
        <f t="shared" si="26"/>
        <v>1</v>
      </c>
      <c r="F79" s="6" t="str">
        <f t="shared" si="27"/>
        <v>1</v>
      </c>
      <c r="G79" s="6" t="str">
        <f t="shared" si="28"/>
        <v>0</v>
      </c>
      <c r="H79" s="6" t="str">
        <f t="shared" si="29"/>
        <v>1</v>
      </c>
      <c r="I79" s="6" t="str">
        <f t="shared" si="30"/>
        <v>1</v>
      </c>
      <c r="J79" s="10">
        <f t="shared" si="31"/>
        <v>-1.0571428571428572E-4</v>
      </c>
      <c r="K79" s="10">
        <f t="shared" si="32"/>
        <v>-9.771428571428572E-5</v>
      </c>
      <c r="L79" s="10">
        <f t="shared" si="33"/>
        <v>-6.3142857142857138E-5</v>
      </c>
      <c r="M79" s="10">
        <f t="shared" si="34"/>
        <v>-3.6571428571428576E-5</v>
      </c>
      <c r="N79" s="10">
        <f t="shared" si="35"/>
        <v>-3.6571428571428576E-5</v>
      </c>
      <c r="O79" s="11">
        <f>ROUND(( J79+K79+L79+M79+Table327[[#This Row],[I5]])*1000000, 0)</f>
        <v>-340</v>
      </c>
      <c r="P79" s="11">
        <v>-350</v>
      </c>
      <c r="Q79" s="13">
        <f>IF(ISBLANK(P79), 0, COUNTIF($L$20:$L$83,P79))</f>
        <v>0</v>
      </c>
      <c r="S79" s="11">
        <v>-28</v>
      </c>
      <c r="T79" s="11">
        <f t="shared" si="22"/>
        <v>2</v>
      </c>
      <c r="V79" s="13" t="str">
        <f t="shared" si="23"/>
        <v/>
      </c>
    </row>
    <row r="80" spans="2:22" x14ac:dyDescent="0.35">
      <c r="B80" s="6">
        <v>60</v>
      </c>
      <c r="C80" s="2" t="s">
        <v>22</v>
      </c>
      <c r="D80" s="6" t="str">
        <f t="shared" si="25"/>
        <v>1</v>
      </c>
      <c r="E80" s="6" t="str">
        <f t="shared" si="26"/>
        <v>1</v>
      </c>
      <c r="F80" s="6" t="str">
        <f t="shared" si="27"/>
        <v>1</v>
      </c>
      <c r="G80" s="6" t="str">
        <f t="shared" si="28"/>
        <v>1</v>
      </c>
      <c r="H80" s="6" t="str">
        <f t="shared" si="29"/>
        <v>0</v>
      </c>
      <c r="I80" s="6" t="str">
        <f t="shared" si="30"/>
        <v>0</v>
      </c>
      <c r="J80" s="10">
        <f t="shared" si="31"/>
        <v>-8.7714285714285721E-5</v>
      </c>
      <c r="K80" s="10">
        <f t="shared" si="32"/>
        <v>-8.7714285714285721E-5</v>
      </c>
      <c r="L80" s="10">
        <f t="shared" si="33"/>
        <v>-6.1142857142857144E-5</v>
      </c>
      <c r="M80" s="10">
        <f t="shared" si="34"/>
        <v>-3.4571428571428574E-5</v>
      </c>
      <c r="N80" s="10">
        <f t="shared" si="35"/>
        <v>-3.4571428571428574E-5</v>
      </c>
      <c r="O80" s="11">
        <f>ROUND(( J80+K80+L80+M80+Table327[[#This Row],[I5]])*1000000, 0)</f>
        <v>-306</v>
      </c>
      <c r="Q80" s="13">
        <f t="shared" ref="Q80:Q83" si="36">IF(ISBLANK(P80), 0, COUNTIF($L$20:$L$83,P80))</f>
        <v>0</v>
      </c>
      <c r="S80" s="11">
        <v>-26</v>
      </c>
      <c r="T80" s="11">
        <f t="shared" si="22"/>
        <v>8</v>
      </c>
      <c r="V80" s="13" t="str">
        <f t="shared" si="23"/>
        <v/>
      </c>
    </row>
    <row r="81" spans="2:22" x14ac:dyDescent="0.35">
      <c r="B81" s="6">
        <v>61</v>
      </c>
      <c r="C81" s="2" t="s">
        <v>22</v>
      </c>
      <c r="D81" s="6" t="str">
        <f t="shared" si="25"/>
        <v>1</v>
      </c>
      <c r="E81" s="6" t="str">
        <f t="shared" si="26"/>
        <v>1</v>
      </c>
      <c r="F81" s="6" t="str">
        <f t="shared" si="27"/>
        <v>1</v>
      </c>
      <c r="G81" s="6" t="str">
        <f t="shared" si="28"/>
        <v>1</v>
      </c>
      <c r="H81" s="6" t="str">
        <f t="shared" si="29"/>
        <v>0</v>
      </c>
      <c r="I81" s="6" t="str">
        <f t="shared" si="30"/>
        <v>1</v>
      </c>
      <c r="J81" s="10">
        <f t="shared" si="31"/>
        <v>-9.771428571428572E-5</v>
      </c>
      <c r="K81" s="10">
        <f t="shared" si="32"/>
        <v>-9.771428571428572E-5</v>
      </c>
      <c r="L81" s="10">
        <f t="shared" si="33"/>
        <v>-6.3142857142857138E-5</v>
      </c>
      <c r="M81" s="10">
        <f t="shared" si="34"/>
        <v>-3.6571428571428576E-5</v>
      </c>
      <c r="N81" s="10">
        <f t="shared" si="35"/>
        <v>-3.6571428571428576E-5</v>
      </c>
      <c r="O81" s="11">
        <f>ROUND(( J81+K81+L81+M81+Table327[[#This Row],[I5]])*1000000, 0)</f>
        <v>-332</v>
      </c>
      <c r="Q81" s="13">
        <f t="shared" si="36"/>
        <v>0</v>
      </c>
      <c r="S81" s="11">
        <v>-18</v>
      </c>
      <c r="T81" s="11">
        <f t="shared" si="22"/>
        <v>8</v>
      </c>
      <c r="V81" s="13" t="str">
        <f t="shared" si="23"/>
        <v/>
      </c>
    </row>
    <row r="82" spans="2:22" x14ac:dyDescent="0.35">
      <c r="B82" s="6">
        <v>62</v>
      </c>
      <c r="C82" s="2" t="s">
        <v>22</v>
      </c>
      <c r="D82" s="6" t="str">
        <f t="shared" si="25"/>
        <v>1</v>
      </c>
      <c r="E82" s="6" t="str">
        <f t="shared" si="26"/>
        <v>1</v>
      </c>
      <c r="F82" s="6" t="str">
        <f t="shared" si="27"/>
        <v>1</v>
      </c>
      <c r="G82" s="6" t="str">
        <f t="shared" si="28"/>
        <v>1</v>
      </c>
      <c r="H82" s="6" t="str">
        <f t="shared" si="29"/>
        <v>1</v>
      </c>
      <c r="I82" s="6" t="str">
        <f t="shared" si="30"/>
        <v>0</v>
      </c>
      <c r="J82" s="10">
        <f t="shared" si="31"/>
        <v>-9.771428571428572E-5</v>
      </c>
      <c r="K82" s="10">
        <f t="shared" si="32"/>
        <v>-8.9714285714285715E-5</v>
      </c>
      <c r="L82" s="10">
        <f t="shared" si="33"/>
        <v>-6.3142857142857138E-5</v>
      </c>
      <c r="M82" s="10">
        <f t="shared" si="34"/>
        <v>-3.6571428571428576E-5</v>
      </c>
      <c r="N82" s="10">
        <f t="shared" si="35"/>
        <v>-3.6571428571428576E-5</v>
      </c>
      <c r="O82" s="11">
        <f>ROUND(( J82+K82+L82+M82+Table327[[#This Row],[I5]])*1000000, 0)</f>
        <v>-324</v>
      </c>
      <c r="Q82" s="13">
        <f t="shared" si="36"/>
        <v>0</v>
      </c>
      <c r="S82" s="11">
        <v>-10</v>
      </c>
      <c r="T82" s="11">
        <f t="shared" si="22"/>
        <v>10</v>
      </c>
      <c r="V82" s="13" t="str">
        <f t="shared" si="23"/>
        <v/>
      </c>
    </row>
    <row r="83" spans="2:22" x14ac:dyDescent="0.35">
      <c r="B83" s="6">
        <v>63</v>
      </c>
      <c r="C83" s="2" t="s">
        <v>22</v>
      </c>
      <c r="D83" s="6" t="str">
        <f t="shared" si="25"/>
        <v>1</v>
      </c>
      <c r="E83" s="6" t="str">
        <f t="shared" si="26"/>
        <v>1</v>
      </c>
      <c r="F83" s="6" t="str">
        <f t="shared" si="27"/>
        <v>1</v>
      </c>
      <c r="G83" s="6" t="str">
        <f t="shared" si="28"/>
        <v>1</v>
      </c>
      <c r="H83" s="6" t="str">
        <f t="shared" si="29"/>
        <v>1</v>
      </c>
      <c r="I83" s="6" t="str">
        <f t="shared" si="30"/>
        <v>1</v>
      </c>
      <c r="J83" s="10">
        <f t="shared" si="31"/>
        <v>-1.0771428571428572E-4</v>
      </c>
      <c r="K83" s="10">
        <f t="shared" si="32"/>
        <v>-9.9714285714285714E-5</v>
      </c>
      <c r="L83" s="10">
        <f t="shared" si="33"/>
        <v>-6.5142857142857133E-5</v>
      </c>
      <c r="M83" s="10">
        <f t="shared" si="34"/>
        <v>-3.8571428571428577E-5</v>
      </c>
      <c r="N83" s="10">
        <f t="shared" si="35"/>
        <v>-3.8571428571428577E-5</v>
      </c>
      <c r="O83" s="11">
        <f>ROUND(( J83+K83+L83+M83+Table327[[#This Row],[I5]])*1000000, 0)</f>
        <v>-350</v>
      </c>
      <c r="Q83" s="13">
        <f t="shared" si="36"/>
        <v>0</v>
      </c>
      <c r="S83" s="11">
        <v>0</v>
      </c>
      <c r="T83" s="11" t="str">
        <f t="shared" si="22"/>
        <v/>
      </c>
      <c r="V83" s="13" t="str">
        <f t="shared" si="23"/>
        <v/>
      </c>
    </row>
  </sheetData>
  <phoneticPr fontId="5" type="noConversion"/>
  <conditionalFormatting sqref="O20:O83">
    <cfRule type="duplicateValues" dxfId="18" priority="1"/>
  </conditionalFormatting>
  <hyperlinks>
    <hyperlink ref="F10" r:id="rId1" display="R@" xr:uid="{9CFE8FC5-D57D-4B96-B908-C5184A0DAFC8}"/>
    <hyperlink ref="G10" r:id="rId2" display="R@" xr:uid="{527B2E85-D53D-4745-8EEC-AF919BBE5E7C}"/>
    <hyperlink ref="H2" r:id="rId3" display="R@" xr:uid="{D6127DE3-12DD-4E55-86D0-C4BE98B3D0EA}"/>
    <hyperlink ref="H10" r:id="rId4" display="R@" xr:uid="{A91A7687-9CF6-46AF-A5F3-7E481C401759}"/>
    <hyperlink ref="F2" r:id="rId5" display="R@" xr:uid="{71496A5C-E16E-408A-8718-1224DF0C0227}"/>
    <hyperlink ref="G2" r:id="rId6" display="R@" xr:uid="{B5B4EC44-F01C-4020-85B2-3967E8A2675F}"/>
    <hyperlink ref="AE11" r:id="rId7" display="R@" xr:uid="{0938F1A9-36CF-4ECB-B87C-EC7D4E07ABFF}"/>
    <hyperlink ref="AF11" r:id="rId8" display="R@" xr:uid="{94A8BBF5-AC44-4C44-9598-8F60E4997BD3}"/>
    <hyperlink ref="AG3" r:id="rId9" display="R@" xr:uid="{27F2331A-300C-4339-88A0-3E4755526523}"/>
    <hyperlink ref="AG11" r:id="rId10" display="R@" xr:uid="{83074027-38A4-4599-AB93-C612A2C6F867}"/>
    <hyperlink ref="AE3" r:id="rId11" display="R@" xr:uid="{36A3EB11-409F-4708-A547-044A51136BA2}"/>
    <hyperlink ref="AF3" r:id="rId12" display="R@" xr:uid="{71F93EC1-74EC-4596-9D3D-531A8BEE0E9D}"/>
    <hyperlink ref="I2" r:id="rId13" display="R@" xr:uid="{6B6D6D6D-202A-4B59-8DE0-D9BB3F69FD9C}"/>
    <hyperlink ref="I10" r:id="rId14" display="R@" xr:uid="{48F5E1A6-6CD8-46AF-81D5-EA2107D0C719}"/>
  </hyperlinks>
  <pageMargins left="0.7" right="0.7" top="0.75" bottom="0.75" header="0.3" footer="0.3"/>
  <drawing r:id="rId15"/>
  <tableParts count="1">
    <tablePart r:id="rId1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DD65B-A940-4E3A-89F4-CACFE4CBC9AC}">
  <dimension ref="B2:BU83"/>
  <sheetViews>
    <sheetView zoomScale="85" zoomScaleNormal="85" workbookViewId="0">
      <selection activeCell="C9" sqref="C9"/>
    </sheetView>
  </sheetViews>
  <sheetFormatPr defaultRowHeight="14.5" x14ac:dyDescent="0.35"/>
  <cols>
    <col min="2" max="2" width="6.7265625" style="6" bestFit="1" customWidth="1"/>
    <col min="3" max="3" width="19.1796875" style="2" customWidth="1"/>
    <col min="4" max="4" width="12.1796875" customWidth="1"/>
    <col min="5" max="9" width="10.54296875" bestFit="1" customWidth="1"/>
    <col min="10" max="15" width="10.54296875" style="10" bestFit="1" customWidth="1"/>
    <col min="16" max="16" width="10" style="11" bestFit="1" customWidth="1"/>
    <col min="17" max="17" width="18.1796875" style="11" customWidth="1"/>
    <col min="18" max="18" width="14.7265625" style="11" bestFit="1" customWidth="1"/>
    <col min="19" max="19" width="9.54296875" style="13" bestFit="1" customWidth="1"/>
    <col min="21" max="21" width="7.81640625" style="11" bestFit="1" customWidth="1"/>
    <col min="22" max="23" width="7.81640625" style="11" customWidth="1"/>
    <col min="24" max="25" width="10.81640625" style="11" customWidth="1"/>
    <col min="26" max="26" width="9.1796875" style="11"/>
  </cols>
  <sheetData>
    <row r="2" spans="3:73" x14ac:dyDescent="0.35">
      <c r="D2" s="15" t="s">
        <v>10</v>
      </c>
      <c r="E2" s="5" t="s">
        <v>11</v>
      </c>
      <c r="F2" s="5" t="s">
        <v>13</v>
      </c>
      <c r="G2" s="5" t="s">
        <v>25</v>
      </c>
      <c r="H2" s="5" t="s">
        <v>27</v>
      </c>
      <c r="I2" s="5" t="s">
        <v>28</v>
      </c>
      <c r="J2" s="7"/>
    </row>
    <row r="3" spans="3:73" x14ac:dyDescent="0.35">
      <c r="D3">
        <v>7</v>
      </c>
      <c r="E3">
        <v>7</v>
      </c>
      <c r="F3">
        <v>7</v>
      </c>
      <c r="G3">
        <v>7</v>
      </c>
      <c r="H3">
        <v>7</v>
      </c>
      <c r="I3">
        <v>7</v>
      </c>
      <c r="J3">
        <f>SUM(C3:I3)</f>
        <v>42</v>
      </c>
    </row>
    <row r="4" spans="3:73" x14ac:dyDescent="0.35">
      <c r="D4">
        <v>7</v>
      </c>
      <c r="E4">
        <v>7</v>
      </c>
      <c r="F4">
        <v>7</v>
      </c>
      <c r="G4">
        <v>30</v>
      </c>
      <c r="H4">
        <v>30</v>
      </c>
      <c r="I4">
        <v>75</v>
      </c>
      <c r="J4">
        <f t="shared" ref="J4:J8" si="0">SUM(C4:I4)</f>
        <v>156</v>
      </c>
    </row>
    <row r="5" spans="3:73" x14ac:dyDescent="0.35">
      <c r="D5">
        <v>7</v>
      </c>
      <c r="E5">
        <v>7</v>
      </c>
      <c r="F5">
        <v>7</v>
      </c>
      <c r="G5">
        <v>75</v>
      </c>
      <c r="H5">
        <v>75</v>
      </c>
      <c r="I5">
        <v>75</v>
      </c>
      <c r="J5">
        <f t="shared" si="0"/>
        <v>246</v>
      </c>
    </row>
    <row r="6" spans="3:73" x14ac:dyDescent="0.35"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f t="shared" si="0"/>
        <v>600</v>
      </c>
    </row>
    <row r="7" spans="3:73" x14ac:dyDescent="0.35">
      <c r="D7">
        <v>7</v>
      </c>
      <c r="E7">
        <v>30</v>
      </c>
      <c r="F7">
        <v>100</v>
      </c>
      <c r="G7">
        <v>100</v>
      </c>
      <c r="H7">
        <v>100</v>
      </c>
      <c r="I7">
        <v>100</v>
      </c>
      <c r="J7">
        <f t="shared" si="0"/>
        <v>437</v>
      </c>
      <c r="AF7" s="15" t="s">
        <v>10</v>
      </c>
      <c r="AG7" s="5" t="s">
        <v>11</v>
      </c>
      <c r="AH7" s="5" t="s">
        <v>13</v>
      </c>
      <c r="AI7" s="5" t="s">
        <v>25</v>
      </c>
      <c r="AJ7" s="5" t="s">
        <v>27</v>
      </c>
      <c r="AK7" s="5" t="s">
        <v>28</v>
      </c>
      <c r="AN7" s="15" t="s">
        <v>10</v>
      </c>
      <c r="AO7" s="5" t="s">
        <v>11</v>
      </c>
      <c r="AP7" s="5" t="s">
        <v>13</v>
      </c>
      <c r="AQ7" s="5" t="s">
        <v>25</v>
      </c>
      <c r="AR7" s="5" t="s">
        <v>27</v>
      </c>
      <c r="AS7" s="5" t="s">
        <v>28</v>
      </c>
      <c r="AU7" s="15" t="s">
        <v>10</v>
      </c>
      <c r="AV7" s="5" t="s">
        <v>11</v>
      </c>
      <c r="AW7" s="5" t="s">
        <v>13</v>
      </c>
      <c r="AX7" s="5" t="s">
        <v>25</v>
      </c>
      <c r="AY7" s="5" t="s">
        <v>27</v>
      </c>
      <c r="AZ7" s="5" t="s">
        <v>28</v>
      </c>
      <c r="BB7" s="15" t="s">
        <v>10</v>
      </c>
      <c r="BC7" s="5" t="s">
        <v>11</v>
      </c>
      <c r="BD7" s="5" t="s">
        <v>13</v>
      </c>
      <c r="BE7" s="5" t="s">
        <v>25</v>
      </c>
      <c r="BF7" s="5" t="s">
        <v>27</v>
      </c>
      <c r="BG7" s="5" t="s">
        <v>28</v>
      </c>
      <c r="BI7" s="15" t="s">
        <v>10</v>
      </c>
      <c r="BJ7" s="5" t="s">
        <v>11</v>
      </c>
      <c r="BK7" s="5" t="s">
        <v>13</v>
      </c>
      <c r="BL7" s="5" t="s">
        <v>25</v>
      </c>
      <c r="BM7" s="5" t="s">
        <v>27</v>
      </c>
      <c r="BN7" s="5" t="s">
        <v>28</v>
      </c>
      <c r="BP7" s="15" t="s">
        <v>10</v>
      </c>
      <c r="BQ7" s="5" t="s">
        <v>11</v>
      </c>
      <c r="BR7" s="5" t="s">
        <v>13</v>
      </c>
      <c r="BS7" s="5" t="s">
        <v>25</v>
      </c>
      <c r="BT7" s="5" t="s">
        <v>27</v>
      </c>
      <c r="BU7" s="5" t="s">
        <v>28</v>
      </c>
    </row>
    <row r="8" spans="3:73" x14ac:dyDescent="0.35">
      <c r="D8">
        <v>7</v>
      </c>
      <c r="E8">
        <v>30</v>
      </c>
      <c r="F8">
        <v>30</v>
      </c>
      <c r="G8">
        <v>30</v>
      </c>
      <c r="H8">
        <v>100</v>
      </c>
      <c r="I8">
        <v>100</v>
      </c>
      <c r="J8">
        <f t="shared" si="0"/>
        <v>297</v>
      </c>
      <c r="AF8">
        <v>7</v>
      </c>
      <c r="AG8">
        <v>7</v>
      </c>
      <c r="AH8">
        <v>7</v>
      </c>
      <c r="AI8">
        <v>7</v>
      </c>
      <c r="AJ8">
        <v>7</v>
      </c>
      <c r="AK8">
        <v>7</v>
      </c>
      <c r="AN8">
        <v>7</v>
      </c>
      <c r="AO8">
        <v>7</v>
      </c>
      <c r="AP8">
        <v>7</v>
      </c>
      <c r="AQ8">
        <v>7</v>
      </c>
      <c r="AR8">
        <v>7</v>
      </c>
      <c r="AS8">
        <v>100</v>
      </c>
      <c r="AU8">
        <v>7</v>
      </c>
      <c r="AV8">
        <v>7</v>
      </c>
      <c r="AW8">
        <v>7</v>
      </c>
      <c r="AX8">
        <v>7</v>
      </c>
      <c r="AY8">
        <v>7</v>
      </c>
      <c r="AZ8">
        <v>100</v>
      </c>
      <c r="BB8">
        <v>7</v>
      </c>
      <c r="BC8">
        <v>7</v>
      </c>
      <c r="BD8">
        <v>7</v>
      </c>
      <c r="BE8">
        <v>7</v>
      </c>
      <c r="BF8">
        <v>7</v>
      </c>
      <c r="BG8">
        <v>100</v>
      </c>
      <c r="BI8">
        <v>7</v>
      </c>
      <c r="BJ8">
        <v>7</v>
      </c>
      <c r="BK8">
        <v>7</v>
      </c>
      <c r="BL8">
        <v>7</v>
      </c>
      <c r="BM8">
        <v>7</v>
      </c>
      <c r="BN8">
        <v>20</v>
      </c>
      <c r="BP8">
        <v>7</v>
      </c>
      <c r="BQ8">
        <v>7</v>
      </c>
      <c r="BR8">
        <v>7</v>
      </c>
      <c r="BS8">
        <v>7</v>
      </c>
      <c r="BT8">
        <v>7</v>
      </c>
      <c r="BU8">
        <v>7</v>
      </c>
    </row>
    <row r="9" spans="3:73" x14ac:dyDescent="0.35">
      <c r="J9"/>
      <c r="AF9">
        <v>7</v>
      </c>
      <c r="AG9">
        <v>7</v>
      </c>
      <c r="AH9">
        <v>7</v>
      </c>
      <c r="AI9">
        <v>7</v>
      </c>
      <c r="AJ9">
        <v>100</v>
      </c>
      <c r="AK9">
        <v>100</v>
      </c>
      <c r="AN9">
        <v>7</v>
      </c>
      <c r="AO9">
        <v>7</v>
      </c>
      <c r="AP9">
        <v>7</v>
      </c>
      <c r="AQ9">
        <v>7</v>
      </c>
      <c r="AR9">
        <v>100</v>
      </c>
      <c r="AS9">
        <v>20</v>
      </c>
      <c r="AU9">
        <v>7</v>
      </c>
      <c r="AV9">
        <v>7</v>
      </c>
      <c r="AW9">
        <v>7</v>
      </c>
      <c r="AX9">
        <v>100</v>
      </c>
      <c r="AY9">
        <v>100</v>
      </c>
      <c r="AZ9">
        <v>20</v>
      </c>
      <c r="BB9">
        <v>7</v>
      </c>
      <c r="BC9">
        <v>7</v>
      </c>
      <c r="BD9">
        <v>7</v>
      </c>
      <c r="BE9">
        <v>100</v>
      </c>
      <c r="BF9">
        <v>100</v>
      </c>
      <c r="BG9">
        <v>20</v>
      </c>
      <c r="BI9">
        <v>7</v>
      </c>
      <c r="BJ9">
        <v>7</v>
      </c>
      <c r="BK9">
        <v>7</v>
      </c>
      <c r="BL9">
        <v>7</v>
      </c>
      <c r="BM9">
        <v>20</v>
      </c>
      <c r="BN9">
        <v>100</v>
      </c>
      <c r="BP9">
        <v>7</v>
      </c>
      <c r="BQ9">
        <v>7</v>
      </c>
      <c r="BR9">
        <v>7</v>
      </c>
      <c r="BS9">
        <v>100</v>
      </c>
      <c r="BT9">
        <v>100</v>
      </c>
      <c r="BU9">
        <v>100</v>
      </c>
    </row>
    <row r="10" spans="3:73" x14ac:dyDescent="0.35">
      <c r="D10" s="16" t="s">
        <v>7</v>
      </c>
      <c r="E10" s="9" t="s">
        <v>8</v>
      </c>
      <c r="F10" s="9" t="s">
        <v>12</v>
      </c>
      <c r="G10" s="9" t="s">
        <v>26</v>
      </c>
      <c r="H10" s="9" t="s">
        <v>29</v>
      </c>
      <c r="I10" s="9" t="s">
        <v>30</v>
      </c>
      <c r="AF10">
        <v>7</v>
      </c>
      <c r="AG10">
        <v>7</v>
      </c>
      <c r="AH10">
        <v>20</v>
      </c>
      <c r="AI10">
        <v>20</v>
      </c>
      <c r="AJ10">
        <v>100</v>
      </c>
      <c r="AK10">
        <v>100</v>
      </c>
      <c r="AN10">
        <v>7</v>
      </c>
      <c r="AO10">
        <v>7</v>
      </c>
      <c r="AP10">
        <v>7</v>
      </c>
      <c r="AQ10">
        <v>100</v>
      </c>
      <c r="AR10">
        <v>20</v>
      </c>
      <c r="AS10">
        <v>20</v>
      </c>
      <c r="AU10">
        <v>7</v>
      </c>
      <c r="AV10">
        <v>7</v>
      </c>
      <c r="AW10">
        <v>100</v>
      </c>
      <c r="AX10">
        <v>100</v>
      </c>
      <c r="AY10">
        <v>100</v>
      </c>
      <c r="AZ10">
        <v>20</v>
      </c>
      <c r="BB10">
        <v>7</v>
      </c>
      <c r="BC10">
        <v>7</v>
      </c>
      <c r="BD10">
        <v>100</v>
      </c>
      <c r="BE10">
        <v>100</v>
      </c>
      <c r="BF10">
        <v>100</v>
      </c>
      <c r="BG10">
        <v>20</v>
      </c>
      <c r="BI10">
        <v>7</v>
      </c>
      <c r="BJ10">
        <v>7</v>
      </c>
      <c r="BK10">
        <v>7</v>
      </c>
      <c r="BL10">
        <v>20</v>
      </c>
      <c r="BM10">
        <v>100</v>
      </c>
      <c r="BN10">
        <v>100</v>
      </c>
      <c r="BP10">
        <v>7</v>
      </c>
      <c r="BQ10">
        <v>100</v>
      </c>
      <c r="BR10">
        <v>100</v>
      </c>
      <c r="BS10">
        <v>100</v>
      </c>
      <c r="BT10">
        <v>100</v>
      </c>
      <c r="BU10">
        <v>100</v>
      </c>
    </row>
    <row r="11" spans="3:73" x14ac:dyDescent="0.35">
      <c r="D11" s="10">
        <f>0.2/(D3*1000)</f>
        <v>2.8571428571428574E-5</v>
      </c>
      <c r="E11" s="10">
        <f t="shared" ref="E11:I11" si="1">0.2/(E3*1000)</f>
        <v>2.8571428571428574E-5</v>
      </c>
      <c r="F11" s="10">
        <f t="shared" si="1"/>
        <v>2.8571428571428574E-5</v>
      </c>
      <c r="G11" s="10">
        <f t="shared" si="1"/>
        <v>2.8571428571428574E-5</v>
      </c>
      <c r="H11" s="10">
        <f t="shared" si="1"/>
        <v>2.8571428571428574E-5</v>
      </c>
      <c r="I11" s="10">
        <f t="shared" si="1"/>
        <v>2.8571428571428574E-5</v>
      </c>
      <c r="J11" s="10">
        <f>SUM(D11:I11)</f>
        <v>1.7142857142857145E-4</v>
      </c>
      <c r="AF11">
        <v>100</v>
      </c>
      <c r="AG11">
        <v>100</v>
      </c>
      <c r="AH11">
        <v>100</v>
      </c>
      <c r="AI11">
        <v>100</v>
      </c>
      <c r="AJ11">
        <v>100</v>
      </c>
      <c r="AK11">
        <v>100</v>
      </c>
      <c r="AN11">
        <v>7</v>
      </c>
      <c r="AO11">
        <v>7</v>
      </c>
      <c r="AP11">
        <v>100</v>
      </c>
      <c r="AQ11">
        <v>20</v>
      </c>
      <c r="AR11">
        <v>20</v>
      </c>
      <c r="AS11">
        <v>20</v>
      </c>
      <c r="AU11">
        <v>7</v>
      </c>
      <c r="AV11">
        <v>100</v>
      </c>
      <c r="AW11">
        <v>100</v>
      </c>
      <c r="AX11">
        <v>100</v>
      </c>
      <c r="AY11">
        <v>20</v>
      </c>
      <c r="AZ11">
        <v>20</v>
      </c>
      <c r="BB11">
        <v>100</v>
      </c>
      <c r="BC11">
        <v>100</v>
      </c>
      <c r="BD11">
        <v>100</v>
      </c>
      <c r="BE11">
        <v>100</v>
      </c>
      <c r="BF11">
        <v>100</v>
      </c>
      <c r="BG11">
        <v>100</v>
      </c>
      <c r="BI11">
        <v>20</v>
      </c>
      <c r="BJ11">
        <v>20</v>
      </c>
      <c r="BK11">
        <v>20</v>
      </c>
      <c r="BL11">
        <v>100</v>
      </c>
      <c r="BM11">
        <v>100</v>
      </c>
      <c r="BN11">
        <v>100</v>
      </c>
      <c r="BP11">
        <v>100</v>
      </c>
      <c r="BQ11">
        <v>100</v>
      </c>
      <c r="BR11">
        <v>100</v>
      </c>
      <c r="BS11">
        <v>100</v>
      </c>
      <c r="BT11">
        <v>100</v>
      </c>
      <c r="BU11">
        <v>100</v>
      </c>
    </row>
    <row r="12" spans="3:73" x14ac:dyDescent="0.35">
      <c r="D12" s="10">
        <f t="shared" ref="D12:I12" si="2">0.2/(D4*1000)</f>
        <v>2.8571428571428574E-5</v>
      </c>
      <c r="E12" s="10">
        <f t="shared" si="2"/>
        <v>2.8571428571428574E-5</v>
      </c>
      <c r="F12" s="10">
        <f t="shared" si="2"/>
        <v>2.8571428571428574E-5</v>
      </c>
      <c r="G12" s="10">
        <f t="shared" si="2"/>
        <v>6.6666666666666666E-6</v>
      </c>
      <c r="H12" s="10">
        <f t="shared" si="2"/>
        <v>6.6666666666666666E-6</v>
      </c>
      <c r="I12" s="10">
        <f t="shared" si="2"/>
        <v>2.6666666666666668E-6</v>
      </c>
      <c r="J12" s="10">
        <f t="shared" ref="J12:J16" si="3">SUM(D12:I12)</f>
        <v>1.0171428571428572E-4</v>
      </c>
      <c r="AF12">
        <v>20</v>
      </c>
      <c r="AG12">
        <v>100</v>
      </c>
      <c r="AH12">
        <v>100</v>
      </c>
      <c r="AI12">
        <v>100</v>
      </c>
      <c r="AJ12">
        <v>100</v>
      </c>
      <c r="AK12">
        <v>100</v>
      </c>
      <c r="AN12">
        <v>7</v>
      </c>
      <c r="AO12">
        <v>100</v>
      </c>
      <c r="AP12">
        <v>20</v>
      </c>
      <c r="AQ12">
        <v>20</v>
      </c>
      <c r="AR12">
        <v>20</v>
      </c>
      <c r="AS12">
        <v>20</v>
      </c>
      <c r="AU12">
        <v>100</v>
      </c>
      <c r="AV12">
        <v>100</v>
      </c>
      <c r="AW12">
        <v>100</v>
      </c>
      <c r="AX12">
        <v>20</v>
      </c>
      <c r="AY12">
        <v>20</v>
      </c>
      <c r="AZ12">
        <v>20</v>
      </c>
      <c r="BB12">
        <v>100</v>
      </c>
      <c r="BC12">
        <v>100</v>
      </c>
      <c r="BD12">
        <v>100</v>
      </c>
      <c r="BE12">
        <v>20</v>
      </c>
      <c r="BF12">
        <v>20</v>
      </c>
      <c r="BG12">
        <v>20</v>
      </c>
      <c r="BI12">
        <v>20</v>
      </c>
      <c r="BJ12">
        <v>20</v>
      </c>
      <c r="BK12">
        <v>100</v>
      </c>
      <c r="BL12">
        <v>100</v>
      </c>
      <c r="BM12">
        <v>100</v>
      </c>
      <c r="BN12">
        <v>100</v>
      </c>
      <c r="BP12">
        <v>20</v>
      </c>
      <c r="BQ12">
        <v>100</v>
      </c>
      <c r="BR12">
        <v>100</v>
      </c>
      <c r="BS12">
        <v>100</v>
      </c>
      <c r="BT12">
        <v>100</v>
      </c>
      <c r="BU12">
        <v>100</v>
      </c>
    </row>
    <row r="13" spans="3:73" x14ac:dyDescent="0.35">
      <c r="C13" s="2">
        <v>0</v>
      </c>
      <c r="D13" s="10">
        <f t="shared" ref="D13:I13" si="4">0.2/(D5*1000)</f>
        <v>2.8571428571428574E-5</v>
      </c>
      <c r="E13" s="10">
        <f t="shared" si="4"/>
        <v>2.8571428571428574E-5</v>
      </c>
      <c r="F13" s="10">
        <f t="shared" si="4"/>
        <v>2.8571428571428574E-5</v>
      </c>
      <c r="G13" s="10">
        <f t="shared" si="4"/>
        <v>2.6666666666666668E-6</v>
      </c>
      <c r="H13" s="10">
        <f t="shared" si="4"/>
        <v>2.6666666666666668E-6</v>
      </c>
      <c r="I13" s="10">
        <f t="shared" si="4"/>
        <v>2.6666666666666668E-6</v>
      </c>
      <c r="J13" s="10">
        <f t="shared" si="3"/>
        <v>9.3714285714285744E-5</v>
      </c>
      <c r="AF13">
        <v>7</v>
      </c>
      <c r="AG13">
        <v>20</v>
      </c>
      <c r="AH13">
        <v>100</v>
      </c>
      <c r="AI13">
        <v>100</v>
      </c>
      <c r="AJ13">
        <v>100</v>
      </c>
      <c r="AK13">
        <v>100</v>
      </c>
      <c r="AN13">
        <v>100</v>
      </c>
      <c r="AO13">
        <v>20</v>
      </c>
      <c r="AP13">
        <v>20</v>
      </c>
      <c r="AQ13">
        <v>20</v>
      </c>
      <c r="AR13">
        <v>20</v>
      </c>
      <c r="AS13">
        <v>20</v>
      </c>
      <c r="AU13">
        <v>100</v>
      </c>
      <c r="AV13">
        <v>100</v>
      </c>
      <c r="AW13">
        <v>20</v>
      </c>
      <c r="AX13">
        <v>20</v>
      </c>
      <c r="AY13">
        <v>20</v>
      </c>
      <c r="AZ13">
        <v>20</v>
      </c>
      <c r="BB13">
        <v>100</v>
      </c>
      <c r="BC13">
        <v>100</v>
      </c>
      <c r="BD13">
        <v>20</v>
      </c>
      <c r="BE13">
        <v>20</v>
      </c>
      <c r="BF13">
        <v>20</v>
      </c>
      <c r="BG13">
        <v>20</v>
      </c>
      <c r="BI13">
        <v>20</v>
      </c>
      <c r="BJ13">
        <v>100</v>
      </c>
      <c r="BK13">
        <v>100</v>
      </c>
      <c r="BL13">
        <v>100</v>
      </c>
      <c r="BM13">
        <v>100</v>
      </c>
      <c r="BN13">
        <v>100</v>
      </c>
      <c r="BP13">
        <v>20</v>
      </c>
      <c r="BQ13">
        <v>20</v>
      </c>
      <c r="BR13">
        <v>100</v>
      </c>
      <c r="BS13">
        <v>100</v>
      </c>
      <c r="BT13">
        <v>100</v>
      </c>
      <c r="BU13">
        <v>100</v>
      </c>
    </row>
    <row r="14" spans="3:73" x14ac:dyDescent="0.35">
      <c r="C14" s="2">
        <v>1</v>
      </c>
      <c r="D14" s="10">
        <f t="shared" ref="D14:I14" si="5">0.2/(D6*1000)</f>
        <v>1.9999999999999999E-6</v>
      </c>
      <c r="E14" s="10">
        <f t="shared" si="5"/>
        <v>1.9999999999999999E-6</v>
      </c>
      <c r="F14" s="10">
        <f t="shared" si="5"/>
        <v>1.9999999999999999E-6</v>
      </c>
      <c r="G14" s="10">
        <f t="shared" si="5"/>
        <v>1.9999999999999999E-6</v>
      </c>
      <c r="H14" s="10">
        <f t="shared" si="5"/>
        <v>1.9999999999999999E-6</v>
      </c>
      <c r="I14" s="10">
        <f t="shared" si="5"/>
        <v>1.9999999999999999E-6</v>
      </c>
      <c r="J14" s="10">
        <f t="shared" si="3"/>
        <v>1.1999999999999999E-5</v>
      </c>
    </row>
    <row r="15" spans="3:73" x14ac:dyDescent="0.35">
      <c r="C15" s="2">
        <v>1</v>
      </c>
      <c r="D15" s="10">
        <f t="shared" ref="D15:I15" si="6">0.2/(D7*1000)</f>
        <v>2.8571428571428574E-5</v>
      </c>
      <c r="E15" s="10">
        <f t="shared" si="6"/>
        <v>6.6666666666666666E-6</v>
      </c>
      <c r="F15" s="10">
        <f t="shared" si="6"/>
        <v>1.9999999999999999E-6</v>
      </c>
      <c r="G15" s="10">
        <f t="shared" si="6"/>
        <v>1.9999999999999999E-6</v>
      </c>
      <c r="H15" s="10">
        <f t="shared" si="6"/>
        <v>1.9999999999999999E-6</v>
      </c>
      <c r="I15" s="10">
        <f t="shared" si="6"/>
        <v>1.9999999999999999E-6</v>
      </c>
      <c r="J15" s="10">
        <f t="shared" si="3"/>
        <v>4.3238095238095244E-5</v>
      </c>
    </row>
    <row r="16" spans="3:73" x14ac:dyDescent="0.35">
      <c r="C16" s="2">
        <v>1</v>
      </c>
      <c r="D16" s="10">
        <f t="shared" ref="D16:I16" si="7">0.2/(D8*1000)</f>
        <v>2.8571428571428574E-5</v>
      </c>
      <c r="E16" s="10">
        <f t="shared" si="7"/>
        <v>6.6666666666666666E-6</v>
      </c>
      <c r="F16" s="10">
        <f t="shared" si="7"/>
        <v>6.6666666666666666E-6</v>
      </c>
      <c r="G16" s="10">
        <f t="shared" si="7"/>
        <v>6.6666666666666666E-6</v>
      </c>
      <c r="H16" s="10">
        <f t="shared" si="7"/>
        <v>1.9999999999999999E-6</v>
      </c>
      <c r="I16" s="10">
        <f t="shared" si="7"/>
        <v>1.9999999999999999E-6</v>
      </c>
      <c r="J16" s="10">
        <f t="shared" si="3"/>
        <v>5.2571428571428578E-5</v>
      </c>
    </row>
    <row r="17" spans="2:27" x14ac:dyDescent="0.35">
      <c r="J17" s="10">
        <f>SUM(J14:J16)</f>
        <v>1.0780952380952383E-4</v>
      </c>
    </row>
    <row r="19" spans="2:27" s="2" customFormat="1" x14ac:dyDescent="0.35">
      <c r="B19" s="3" t="s">
        <v>6</v>
      </c>
      <c r="C19" s="4" t="s">
        <v>23</v>
      </c>
      <c r="D19" s="3" t="s">
        <v>5</v>
      </c>
      <c r="E19" s="3" t="s">
        <v>0</v>
      </c>
      <c r="F19" s="3" t="s">
        <v>1</v>
      </c>
      <c r="G19" s="3" t="s">
        <v>2</v>
      </c>
      <c r="H19" s="3" t="s">
        <v>3</v>
      </c>
      <c r="I19" s="3" t="s">
        <v>4</v>
      </c>
      <c r="J19" s="8" t="s">
        <v>7</v>
      </c>
      <c r="K19" s="8" t="s">
        <v>8</v>
      </c>
      <c r="L19" s="8" t="s">
        <v>12</v>
      </c>
      <c r="M19" s="8" t="s">
        <v>26</v>
      </c>
      <c r="N19" s="8" t="s">
        <v>29</v>
      </c>
      <c r="O19" s="8" t="s">
        <v>30</v>
      </c>
      <c r="P19" s="12" t="s">
        <v>9</v>
      </c>
      <c r="Q19" s="8" t="s">
        <v>36</v>
      </c>
      <c r="R19" s="12" t="s">
        <v>14</v>
      </c>
      <c r="S19" s="14" t="s">
        <v>15</v>
      </c>
      <c r="U19" s="12"/>
      <c r="V19" s="12"/>
      <c r="W19" s="12" t="s">
        <v>33</v>
      </c>
      <c r="X19" s="12"/>
      <c r="Y19" s="12"/>
      <c r="Z19" s="12" t="s">
        <v>24</v>
      </c>
      <c r="AA19" s="14" t="s">
        <v>15</v>
      </c>
    </row>
    <row r="20" spans="2:27" x14ac:dyDescent="0.35">
      <c r="B20" s="6">
        <v>0</v>
      </c>
      <c r="C20" s="2" t="s">
        <v>16</v>
      </c>
      <c r="D20" s="6" t="str">
        <f t="shared" ref="D20:D51" si="8">LEFT(RIGHT(DEC2BIN($B20,6),6),1)</f>
        <v>0</v>
      </c>
      <c r="E20" s="6" t="str">
        <f t="shared" ref="E20:E51" si="9">LEFT(RIGHT(DEC2BIN($B20,6),5),1)</f>
        <v>0</v>
      </c>
      <c r="F20" s="6" t="str">
        <f t="shared" ref="F20:F51" si="10">LEFT(RIGHT(DEC2BIN($B20,6),4),1)</f>
        <v>0</v>
      </c>
      <c r="G20" s="6" t="str">
        <f t="shared" ref="G20:G51" si="11">LEFT(RIGHT(DEC2BIN($B20,6),3),1)</f>
        <v>0</v>
      </c>
      <c r="H20" s="6" t="str">
        <f t="shared" ref="H20:H51" si="12">LEFT(RIGHT(DEC2BIN($B20,6),2),1)</f>
        <v>0</v>
      </c>
      <c r="I20" s="6" t="str">
        <f t="shared" ref="I20:I51" si="13">LEFT(RIGHT(DEC2BIN($B20,6),1),1)</f>
        <v>0</v>
      </c>
      <c r="J20" s="10">
        <f t="shared" ref="J20:J51" si="14">(($D20*$D$11)+($E20*$D$12)+($F20*$D$13)+($G20*$D$14)+($H20*$D$15)+($I20*$D$16))</f>
        <v>0</v>
      </c>
      <c r="K20" s="10">
        <f t="shared" ref="K20:K51" si="15">(($D20*$E$11)+($E20*$E$12)+($F20*$E$13)+($G20*$E$14)+($H20*$E$15)+($I20*$E$16))</f>
        <v>0</v>
      </c>
      <c r="L20" s="10">
        <f t="shared" ref="L20:L51" si="16">(($D20*$F$11)+($E20*$F$12)+($F20*$F$13)+($G20*$F$14)+($H20*$F$15)+($I20*$F$16))</f>
        <v>0</v>
      </c>
      <c r="M20" s="10">
        <f t="shared" ref="M20:M51" si="17">(($D20*$G$11)+($E20*$G$12)+($F20*$G$13)+($G20*$G$14)+($H20*$G$15)+($I20*$G$16))</f>
        <v>0</v>
      </c>
      <c r="N20" s="10">
        <f t="shared" ref="N20:N51" si="18">(($D20*$H$11)+($E20*$H$12)+($F20*$G$13)+($G20*$H$14)+($H20*$H$15)+($I20*$H$16))</f>
        <v>0</v>
      </c>
      <c r="O20" s="10">
        <f t="shared" ref="O20:O51" si="19">(($D20*$I$11)+($E20*$I$12)+($F20*$I$13)+($G20*$I$14)+($H20*$I$15)+($I20*$I$16))</f>
        <v>0</v>
      </c>
      <c r="P20" s="11">
        <f>ROUND(Table323[[#This Row],[I4]]+(Table323[[#This Row],[I3]]+Table323[[#This Row],[I2]]+Table323[[#This Row],[I1]]+Table323[[#This Row],[I5]]+Table323[[#This Row],[I6]])*1000000, 0)</f>
        <v>0</v>
      </c>
      <c r="Q20" s="18" t="s">
        <v>16</v>
      </c>
      <c r="R20" s="11" cm="1">
        <f t="array" ref="R20:R83" xml:space="preserve"> _xlfn.UNIQUE(P20:P83)</f>
        <v>0</v>
      </c>
      <c r="S20" s="13">
        <f>IF(ISBLANK(R20), "", COUNTIF($P$20:$P$83,R20))</f>
        <v>1</v>
      </c>
      <c r="U20" s="11" cm="1">
        <f t="array" ref="U20:U83">_xlfn._xlws.SORT(Table323[I-diff])</f>
        <v>0</v>
      </c>
      <c r="W20" s="6">
        <v>0</v>
      </c>
      <c r="X20" s="11">
        <f t="shared" ref="X20:X51" si="20">IF(ISBLANK(U21),"",U21-U20)</f>
        <v>10</v>
      </c>
      <c r="Z20" s="11" cm="1">
        <f t="array" ref="Z20:Z30">_xlfn.UNIQUE(X20:X83)</f>
        <v>10</v>
      </c>
      <c r="AA20" s="13">
        <f t="shared" ref="AA20:AA24" si="21">IF(OR(ISBLANK(Z20), Z20 = ""),"",COUNTIF($X$20:$X$83,Z20))</f>
        <v>2</v>
      </c>
    </row>
    <row r="21" spans="2:27" x14ac:dyDescent="0.35">
      <c r="B21" s="6">
        <v>4</v>
      </c>
      <c r="C21" s="2" t="s">
        <v>18</v>
      </c>
      <c r="D21" s="6" t="str">
        <f t="shared" si="8"/>
        <v>0</v>
      </c>
      <c r="E21" s="6" t="str">
        <f t="shared" si="9"/>
        <v>0</v>
      </c>
      <c r="F21" s="6" t="str">
        <f t="shared" si="10"/>
        <v>0</v>
      </c>
      <c r="G21" s="6" t="str">
        <f t="shared" si="11"/>
        <v>1</v>
      </c>
      <c r="H21" s="6" t="str">
        <f t="shared" si="12"/>
        <v>0</v>
      </c>
      <c r="I21" s="6" t="str">
        <f t="shared" si="13"/>
        <v>0</v>
      </c>
      <c r="J21" s="10">
        <f t="shared" si="14"/>
        <v>1.9999999999999999E-6</v>
      </c>
      <c r="K21" s="10">
        <f t="shared" si="15"/>
        <v>1.9999999999999999E-6</v>
      </c>
      <c r="L21" s="10">
        <f t="shared" si="16"/>
        <v>1.9999999999999999E-6</v>
      </c>
      <c r="M21" s="10">
        <f t="shared" si="17"/>
        <v>1.9999999999999999E-6</v>
      </c>
      <c r="N21" s="10">
        <f t="shared" si="18"/>
        <v>1.9999999999999999E-6</v>
      </c>
      <c r="O21" s="10">
        <f t="shared" si="19"/>
        <v>1.9999999999999999E-6</v>
      </c>
      <c r="P21" s="11">
        <f>ROUND(Table323[[#This Row],[I4]]+(Table323[[#This Row],[I3]]+Table323[[#This Row],[I2]]+Table323[[#This Row],[I1]]+Table323[[#This Row],[I5]]+Table323[[#This Row],[I6]])*1000000, 0)</f>
        <v>10</v>
      </c>
      <c r="Q21" s="18" t="s">
        <v>18</v>
      </c>
      <c r="R21" s="11">
        <v>10</v>
      </c>
      <c r="S21" s="13">
        <f t="shared" ref="S21:S41" si="22">IF(ISBLANK(R21), "", COUNTIF($P$20:$P$83,R21))</f>
        <v>1</v>
      </c>
      <c r="U21" s="11">
        <v>10</v>
      </c>
      <c r="W21" s="6">
        <v>1</v>
      </c>
      <c r="X21" s="11">
        <f t="shared" si="20"/>
        <v>31</v>
      </c>
      <c r="Z21" s="11">
        <v>31</v>
      </c>
      <c r="AA21" s="13">
        <f t="shared" si="21"/>
        <v>4</v>
      </c>
    </row>
    <row r="22" spans="2:27" x14ac:dyDescent="0.35">
      <c r="B22" s="6">
        <v>2</v>
      </c>
      <c r="C22" s="2" t="s">
        <v>17</v>
      </c>
      <c r="D22" s="6" t="str">
        <f t="shared" si="8"/>
        <v>0</v>
      </c>
      <c r="E22" s="6" t="str">
        <f t="shared" si="9"/>
        <v>0</v>
      </c>
      <c r="F22" s="6" t="str">
        <f t="shared" si="10"/>
        <v>0</v>
      </c>
      <c r="G22" s="6" t="str">
        <f t="shared" si="11"/>
        <v>0</v>
      </c>
      <c r="H22" s="6" t="str">
        <f t="shared" si="12"/>
        <v>1</v>
      </c>
      <c r="I22" s="6" t="str">
        <f t="shared" si="13"/>
        <v>0</v>
      </c>
      <c r="J22" s="10">
        <f t="shared" si="14"/>
        <v>2.8571428571428574E-5</v>
      </c>
      <c r="K22" s="10">
        <f t="shared" si="15"/>
        <v>6.6666666666666666E-6</v>
      </c>
      <c r="L22" s="10">
        <f t="shared" si="16"/>
        <v>1.9999999999999999E-6</v>
      </c>
      <c r="M22" s="10">
        <f t="shared" si="17"/>
        <v>1.9999999999999999E-6</v>
      </c>
      <c r="N22" s="10">
        <f t="shared" si="18"/>
        <v>1.9999999999999999E-6</v>
      </c>
      <c r="O22" s="10">
        <f t="shared" si="19"/>
        <v>1.9999999999999999E-6</v>
      </c>
      <c r="P22" s="11">
        <f>ROUND(Table323[[#This Row],[I4]]+(Table323[[#This Row],[I3]]+Table323[[#This Row],[I2]]+Table323[[#This Row],[I1]]+Table323[[#This Row],[I5]]+Table323[[#This Row],[I6]])*1000000, 0)</f>
        <v>41</v>
      </c>
      <c r="Q22" s="18" t="s">
        <v>17</v>
      </c>
      <c r="R22" s="11">
        <v>41</v>
      </c>
      <c r="S22" s="13">
        <f t="shared" si="22"/>
        <v>1</v>
      </c>
      <c r="U22" s="11">
        <v>41</v>
      </c>
      <c r="W22" s="6">
        <v>2</v>
      </c>
      <c r="X22" s="11">
        <f t="shared" si="20"/>
        <v>5</v>
      </c>
      <c r="Z22" s="11">
        <v>5</v>
      </c>
      <c r="AA22" s="13">
        <f t="shared" si="21"/>
        <v>6</v>
      </c>
    </row>
    <row r="23" spans="2:27" x14ac:dyDescent="0.35">
      <c r="B23" s="6">
        <v>6</v>
      </c>
      <c r="C23" s="2" t="s">
        <v>17</v>
      </c>
      <c r="D23" s="6" t="str">
        <f t="shared" si="8"/>
        <v>0</v>
      </c>
      <c r="E23" s="6" t="str">
        <f t="shared" si="9"/>
        <v>0</v>
      </c>
      <c r="F23" s="6" t="str">
        <f t="shared" si="10"/>
        <v>0</v>
      </c>
      <c r="G23" s="6" t="str">
        <f t="shared" si="11"/>
        <v>1</v>
      </c>
      <c r="H23" s="6" t="str">
        <f t="shared" si="12"/>
        <v>1</v>
      </c>
      <c r="I23" s="6" t="str">
        <f t="shared" si="13"/>
        <v>0</v>
      </c>
      <c r="J23" s="10">
        <f t="shared" si="14"/>
        <v>3.0571428571428572E-5</v>
      </c>
      <c r="K23" s="10">
        <f t="shared" si="15"/>
        <v>8.6666666666666661E-6</v>
      </c>
      <c r="L23" s="10">
        <f t="shared" si="16"/>
        <v>3.9999999999999998E-6</v>
      </c>
      <c r="M23" s="10">
        <f t="shared" si="17"/>
        <v>3.9999999999999998E-6</v>
      </c>
      <c r="N23" s="10">
        <f t="shared" si="18"/>
        <v>3.9999999999999998E-6</v>
      </c>
      <c r="O23" s="10">
        <f t="shared" si="19"/>
        <v>3.9999999999999998E-6</v>
      </c>
      <c r="P23" s="11">
        <f>ROUND(Table323[[#This Row],[I4]]+(Table323[[#This Row],[I3]]+Table323[[#This Row],[I2]]+Table323[[#This Row],[I1]]+Table323[[#This Row],[I5]]+Table323[[#This Row],[I6]])*1000000, 0)</f>
        <v>51</v>
      </c>
      <c r="Q23" s="18" t="s">
        <v>17</v>
      </c>
      <c r="R23" s="11">
        <v>51</v>
      </c>
      <c r="S23" s="13">
        <f t="shared" si="22"/>
        <v>1</v>
      </c>
      <c r="U23" s="11">
        <v>46</v>
      </c>
      <c r="W23" s="6">
        <v>3</v>
      </c>
      <c r="X23" s="11">
        <f t="shared" si="20"/>
        <v>5</v>
      </c>
      <c r="Z23" s="11">
        <v>4</v>
      </c>
      <c r="AA23" s="13">
        <f t="shared" si="21"/>
        <v>16</v>
      </c>
    </row>
    <row r="24" spans="2:27" x14ac:dyDescent="0.35">
      <c r="B24" s="6">
        <v>1</v>
      </c>
      <c r="C24" s="2" t="s">
        <v>16</v>
      </c>
      <c r="D24" s="6" t="str">
        <f t="shared" si="8"/>
        <v>0</v>
      </c>
      <c r="E24" s="6" t="str">
        <f t="shared" si="9"/>
        <v>0</v>
      </c>
      <c r="F24" s="6" t="str">
        <f t="shared" si="10"/>
        <v>0</v>
      </c>
      <c r="G24" s="6" t="str">
        <f t="shared" si="11"/>
        <v>0</v>
      </c>
      <c r="H24" s="6" t="str">
        <f t="shared" si="12"/>
        <v>0</v>
      </c>
      <c r="I24" s="6" t="str">
        <f t="shared" si="13"/>
        <v>1</v>
      </c>
      <c r="J24" s="10">
        <f t="shared" si="14"/>
        <v>2.8571428571428574E-5</v>
      </c>
      <c r="K24" s="10">
        <f t="shared" si="15"/>
        <v>6.6666666666666666E-6</v>
      </c>
      <c r="L24" s="10">
        <f t="shared" si="16"/>
        <v>6.6666666666666666E-6</v>
      </c>
      <c r="M24" s="10">
        <f t="shared" si="17"/>
        <v>6.6666666666666666E-6</v>
      </c>
      <c r="N24" s="10">
        <f t="shared" si="18"/>
        <v>1.9999999999999999E-6</v>
      </c>
      <c r="O24" s="10">
        <f t="shared" si="19"/>
        <v>1.9999999999999999E-6</v>
      </c>
      <c r="P24" s="11">
        <f>ROUND(Table323[[#This Row],[I4]]+(Table323[[#This Row],[I3]]+Table323[[#This Row],[I2]]+Table323[[#This Row],[I1]]+Table323[[#This Row],[I5]]+Table323[[#This Row],[I6]])*1000000, 0)</f>
        <v>46</v>
      </c>
      <c r="Q24" s="18" t="s">
        <v>16</v>
      </c>
      <c r="R24" s="11">
        <v>46</v>
      </c>
      <c r="S24" s="13">
        <f t="shared" si="22"/>
        <v>1</v>
      </c>
      <c r="U24" s="11">
        <v>51</v>
      </c>
      <c r="W24" s="6">
        <v>4</v>
      </c>
      <c r="X24" s="11">
        <f t="shared" si="20"/>
        <v>5</v>
      </c>
      <c r="Z24" s="11">
        <v>2</v>
      </c>
      <c r="AA24" s="13">
        <f t="shared" si="21"/>
        <v>14</v>
      </c>
    </row>
    <row r="25" spans="2:27" x14ac:dyDescent="0.35">
      <c r="B25" s="6">
        <v>5</v>
      </c>
      <c r="C25" s="2" t="s">
        <v>20</v>
      </c>
      <c r="D25" s="6" t="str">
        <f t="shared" si="8"/>
        <v>0</v>
      </c>
      <c r="E25" s="6" t="str">
        <f t="shared" si="9"/>
        <v>0</v>
      </c>
      <c r="F25" s="6" t="str">
        <f t="shared" si="10"/>
        <v>0</v>
      </c>
      <c r="G25" s="6" t="str">
        <f t="shared" si="11"/>
        <v>1</v>
      </c>
      <c r="H25" s="6" t="str">
        <f t="shared" si="12"/>
        <v>0</v>
      </c>
      <c r="I25" s="6" t="str">
        <f t="shared" si="13"/>
        <v>1</v>
      </c>
      <c r="J25" s="10">
        <f t="shared" si="14"/>
        <v>3.0571428571428572E-5</v>
      </c>
      <c r="K25" s="10">
        <f t="shared" si="15"/>
        <v>8.6666666666666661E-6</v>
      </c>
      <c r="L25" s="10">
        <f t="shared" si="16"/>
        <v>8.6666666666666661E-6</v>
      </c>
      <c r="M25" s="10">
        <f t="shared" si="17"/>
        <v>8.6666666666666661E-6</v>
      </c>
      <c r="N25" s="10">
        <f t="shared" si="18"/>
        <v>3.9999999999999998E-6</v>
      </c>
      <c r="O25" s="10">
        <f t="shared" si="19"/>
        <v>3.9999999999999998E-6</v>
      </c>
      <c r="P25" s="11">
        <f>ROUND(Table323[[#This Row],[I4]]+(Table323[[#This Row],[I3]]+Table323[[#This Row],[I2]]+Table323[[#This Row],[I1]]+Table323[[#This Row],[I5]]+Table323[[#This Row],[I6]])*1000000, 0)</f>
        <v>56</v>
      </c>
      <c r="Q25" s="18" t="s">
        <v>20</v>
      </c>
      <c r="R25" s="11">
        <v>56</v>
      </c>
      <c r="S25" s="13">
        <f t="shared" si="22"/>
        <v>1</v>
      </c>
      <c r="U25" s="11">
        <v>56</v>
      </c>
      <c r="W25" s="6">
        <v>5</v>
      </c>
      <c r="X25" s="11">
        <f t="shared" si="20"/>
        <v>31</v>
      </c>
      <c r="Z25" s="11">
        <v>27</v>
      </c>
      <c r="AA25" s="13">
        <f>IF(OR(ISBLANK(Z25), Z25 = ""),"",COUNTIF($X$20:$X$83,Z25))</f>
        <v>2</v>
      </c>
    </row>
    <row r="26" spans="2:27" x14ac:dyDescent="0.35">
      <c r="B26" s="6">
        <v>3</v>
      </c>
      <c r="C26" s="2" t="s">
        <v>16</v>
      </c>
      <c r="D26" s="6" t="str">
        <f t="shared" si="8"/>
        <v>0</v>
      </c>
      <c r="E26" s="6" t="str">
        <f t="shared" si="9"/>
        <v>0</v>
      </c>
      <c r="F26" s="6" t="str">
        <f t="shared" si="10"/>
        <v>0</v>
      </c>
      <c r="G26" s="6" t="str">
        <f t="shared" si="11"/>
        <v>0</v>
      </c>
      <c r="H26" s="6" t="str">
        <f t="shared" si="12"/>
        <v>1</v>
      </c>
      <c r="I26" s="6" t="str">
        <f t="shared" si="13"/>
        <v>1</v>
      </c>
      <c r="J26" s="10">
        <f t="shared" si="14"/>
        <v>5.7142857142857148E-5</v>
      </c>
      <c r="K26" s="10">
        <f t="shared" si="15"/>
        <v>1.3333333333333333E-5</v>
      </c>
      <c r="L26" s="10">
        <f t="shared" si="16"/>
        <v>8.6666666666666661E-6</v>
      </c>
      <c r="M26" s="10">
        <f t="shared" si="17"/>
        <v>8.6666666666666661E-6</v>
      </c>
      <c r="N26" s="10">
        <f t="shared" si="18"/>
        <v>3.9999999999999998E-6</v>
      </c>
      <c r="O26" s="10">
        <f t="shared" si="19"/>
        <v>3.9999999999999998E-6</v>
      </c>
      <c r="P26" s="11">
        <f>ROUND(Table323[[#This Row],[I4]]+(Table323[[#This Row],[I3]]+Table323[[#This Row],[I2]]+Table323[[#This Row],[I1]]+Table323[[#This Row],[I5]]+Table323[[#This Row],[I6]])*1000000, 0)</f>
        <v>87</v>
      </c>
      <c r="Q26" s="18" t="s">
        <v>16</v>
      </c>
      <c r="R26" s="11">
        <v>87</v>
      </c>
      <c r="S26" s="13">
        <f t="shared" si="22"/>
        <v>1</v>
      </c>
      <c r="U26" s="11">
        <v>87</v>
      </c>
      <c r="W26" s="6">
        <v>6</v>
      </c>
      <c r="X26" s="11">
        <f t="shared" si="20"/>
        <v>4</v>
      </c>
      <c r="Z26" s="11">
        <v>1</v>
      </c>
      <c r="AA26" s="13">
        <f t="shared" ref="AA26:AA83" si="23">IF(OR(ISBLANK(Z26), Z26 = ""),"",COUNTIF($X$20:$X$83,Z26))</f>
        <v>10</v>
      </c>
    </row>
    <row r="27" spans="2:27" x14ac:dyDescent="0.35">
      <c r="B27" s="6">
        <v>7</v>
      </c>
      <c r="C27" s="2" t="s">
        <v>16</v>
      </c>
      <c r="D27" s="6" t="str">
        <f t="shared" si="8"/>
        <v>0</v>
      </c>
      <c r="E27" s="6" t="str">
        <f t="shared" si="9"/>
        <v>0</v>
      </c>
      <c r="F27" s="6" t="str">
        <f t="shared" si="10"/>
        <v>0</v>
      </c>
      <c r="G27" s="6" t="str">
        <f t="shared" si="11"/>
        <v>1</v>
      </c>
      <c r="H27" s="6" t="str">
        <f t="shared" si="12"/>
        <v>1</v>
      </c>
      <c r="I27" s="6" t="str">
        <f t="shared" si="13"/>
        <v>1</v>
      </c>
      <c r="J27" s="10">
        <f t="shared" si="14"/>
        <v>5.914285714285715E-5</v>
      </c>
      <c r="K27" s="10">
        <f t="shared" si="15"/>
        <v>1.5333333333333331E-5</v>
      </c>
      <c r="L27" s="10">
        <f t="shared" si="16"/>
        <v>1.0666666666666667E-5</v>
      </c>
      <c r="M27" s="10">
        <f t="shared" si="17"/>
        <v>1.0666666666666667E-5</v>
      </c>
      <c r="N27" s="10">
        <f t="shared" si="18"/>
        <v>6.0000000000000002E-6</v>
      </c>
      <c r="O27" s="10">
        <f t="shared" si="19"/>
        <v>6.0000000000000002E-6</v>
      </c>
      <c r="P27" s="11">
        <f>ROUND(Table323[[#This Row],[I4]]+(Table323[[#This Row],[I3]]+Table323[[#This Row],[I2]]+Table323[[#This Row],[I1]]+Table323[[#This Row],[I5]]+Table323[[#This Row],[I6]])*1000000, 0)</f>
        <v>97</v>
      </c>
      <c r="Q27" s="18" t="s">
        <v>16</v>
      </c>
      <c r="R27" s="11">
        <v>97</v>
      </c>
      <c r="S27" s="13">
        <f t="shared" si="22"/>
        <v>1</v>
      </c>
      <c r="U27" s="11">
        <v>91</v>
      </c>
      <c r="W27" s="6">
        <v>7</v>
      </c>
      <c r="X27" s="11">
        <f t="shared" si="20"/>
        <v>4</v>
      </c>
      <c r="Z27" s="11">
        <v>3</v>
      </c>
      <c r="AA27" s="13">
        <f t="shared" si="23"/>
        <v>6</v>
      </c>
    </row>
    <row r="28" spans="2:27" x14ac:dyDescent="0.35">
      <c r="B28" s="6">
        <v>8</v>
      </c>
      <c r="C28" s="2" t="s">
        <v>19</v>
      </c>
      <c r="D28" s="6" t="str">
        <f t="shared" si="8"/>
        <v>0</v>
      </c>
      <c r="E28" s="6" t="str">
        <f t="shared" si="9"/>
        <v>0</v>
      </c>
      <c r="F28" s="6" t="str">
        <f t="shared" si="10"/>
        <v>1</v>
      </c>
      <c r="G28" s="6" t="str">
        <f t="shared" si="11"/>
        <v>0</v>
      </c>
      <c r="H28" s="6" t="str">
        <f t="shared" si="12"/>
        <v>0</v>
      </c>
      <c r="I28" s="6" t="str">
        <f t="shared" si="13"/>
        <v>0</v>
      </c>
      <c r="J28" s="10">
        <f t="shared" si="14"/>
        <v>2.8571428571428574E-5</v>
      </c>
      <c r="K28" s="10">
        <f t="shared" si="15"/>
        <v>2.8571428571428574E-5</v>
      </c>
      <c r="L28" s="10">
        <f t="shared" si="16"/>
        <v>2.8571428571428574E-5</v>
      </c>
      <c r="M28" s="10">
        <f t="shared" si="17"/>
        <v>2.6666666666666668E-6</v>
      </c>
      <c r="N28" s="10">
        <f t="shared" si="18"/>
        <v>2.6666666666666668E-6</v>
      </c>
      <c r="O28" s="10">
        <f t="shared" si="19"/>
        <v>2.6666666666666668E-6</v>
      </c>
      <c r="P28" s="11">
        <f>ROUND(Table323[[#This Row],[I4]]+(Table323[[#This Row],[I3]]+Table323[[#This Row],[I2]]+Table323[[#This Row],[I1]]+Table323[[#This Row],[I5]]+Table323[[#This Row],[I6]])*1000000, 0)</f>
        <v>91</v>
      </c>
      <c r="Q28" s="18" t="s">
        <v>19</v>
      </c>
      <c r="R28" s="11">
        <v>91</v>
      </c>
      <c r="S28" s="13">
        <f t="shared" si="22"/>
        <v>1</v>
      </c>
      <c r="U28" s="11">
        <v>95</v>
      </c>
      <c r="W28" s="6">
        <v>8</v>
      </c>
      <c r="X28" s="11">
        <f t="shared" si="20"/>
        <v>2</v>
      </c>
      <c r="Z28" s="11">
        <v>25</v>
      </c>
      <c r="AA28" s="13">
        <f t="shared" si="23"/>
        <v>2</v>
      </c>
    </row>
    <row r="29" spans="2:27" ht="15" customHeight="1" x14ac:dyDescent="0.35">
      <c r="B29" s="6">
        <v>9</v>
      </c>
      <c r="C29" s="2" t="s">
        <v>20</v>
      </c>
      <c r="D29" s="6" t="str">
        <f t="shared" si="8"/>
        <v>0</v>
      </c>
      <c r="E29" s="6" t="str">
        <f t="shared" si="9"/>
        <v>0</v>
      </c>
      <c r="F29" s="6" t="str">
        <f t="shared" si="10"/>
        <v>1</v>
      </c>
      <c r="G29" s="6" t="str">
        <f t="shared" si="11"/>
        <v>0</v>
      </c>
      <c r="H29" s="6" t="str">
        <f t="shared" si="12"/>
        <v>0</v>
      </c>
      <c r="I29" s="6" t="str">
        <f t="shared" si="13"/>
        <v>1</v>
      </c>
      <c r="J29" s="10">
        <f t="shared" si="14"/>
        <v>5.7142857142857148E-5</v>
      </c>
      <c r="K29" s="10">
        <f t="shared" si="15"/>
        <v>3.5238095238095239E-5</v>
      </c>
      <c r="L29" s="10">
        <f t="shared" si="16"/>
        <v>3.5238095238095239E-5</v>
      </c>
      <c r="M29" s="10">
        <f t="shared" si="17"/>
        <v>9.3333333333333343E-6</v>
      </c>
      <c r="N29" s="10">
        <f t="shared" si="18"/>
        <v>4.6666666666666672E-6</v>
      </c>
      <c r="O29" s="10">
        <f t="shared" si="19"/>
        <v>4.6666666666666672E-6</v>
      </c>
      <c r="P29" s="11">
        <f>ROUND(Table323[[#This Row],[I4]]+(Table323[[#This Row],[I3]]+Table323[[#This Row],[I2]]+Table323[[#This Row],[I1]]+Table323[[#This Row],[I5]]+Table323[[#This Row],[I6]])*1000000, 0)</f>
        <v>137</v>
      </c>
      <c r="Q29" s="18" t="s">
        <v>20</v>
      </c>
      <c r="R29" s="11">
        <v>137</v>
      </c>
      <c r="S29" s="13">
        <f t="shared" si="22"/>
        <v>1</v>
      </c>
      <c r="U29" s="11">
        <v>97</v>
      </c>
      <c r="W29" s="6">
        <v>9</v>
      </c>
      <c r="X29" s="11">
        <f t="shared" si="20"/>
        <v>4</v>
      </c>
      <c r="Z29" s="11">
        <v>28</v>
      </c>
      <c r="AA29" s="13">
        <f t="shared" si="23"/>
        <v>1</v>
      </c>
    </row>
    <row r="30" spans="2:27" ht="15" customHeight="1" x14ac:dyDescent="0.35">
      <c r="B30" s="6">
        <v>10</v>
      </c>
      <c r="C30" s="2" t="s">
        <v>20</v>
      </c>
      <c r="D30" s="6" t="str">
        <f t="shared" si="8"/>
        <v>0</v>
      </c>
      <c r="E30" s="6" t="str">
        <f t="shared" si="9"/>
        <v>0</v>
      </c>
      <c r="F30" s="6" t="str">
        <f t="shared" si="10"/>
        <v>1</v>
      </c>
      <c r="G30" s="6" t="str">
        <f t="shared" si="11"/>
        <v>0</v>
      </c>
      <c r="H30" s="6" t="str">
        <f t="shared" si="12"/>
        <v>1</v>
      </c>
      <c r="I30" s="6" t="str">
        <f t="shared" si="13"/>
        <v>0</v>
      </c>
      <c r="J30" s="10">
        <f t="shared" si="14"/>
        <v>5.7142857142857148E-5</v>
      </c>
      <c r="K30" s="10">
        <f t="shared" si="15"/>
        <v>3.5238095238095239E-5</v>
      </c>
      <c r="L30" s="10">
        <f t="shared" si="16"/>
        <v>3.0571428571428572E-5</v>
      </c>
      <c r="M30" s="10">
        <f t="shared" si="17"/>
        <v>4.6666666666666672E-6</v>
      </c>
      <c r="N30" s="10">
        <f t="shared" si="18"/>
        <v>4.6666666666666672E-6</v>
      </c>
      <c r="O30" s="10">
        <f t="shared" si="19"/>
        <v>4.6666666666666672E-6</v>
      </c>
      <c r="P30" s="11">
        <f>ROUND(Table323[[#This Row],[I4]]+(Table323[[#This Row],[I3]]+Table323[[#This Row],[I2]]+Table323[[#This Row],[I1]]+Table323[[#This Row],[I5]]+Table323[[#This Row],[I6]])*1000000, 0)</f>
        <v>132</v>
      </c>
      <c r="Q30" s="18" t="s">
        <v>20</v>
      </c>
      <c r="R30" s="11">
        <v>132</v>
      </c>
      <c r="S30" s="13">
        <f t="shared" si="22"/>
        <v>1</v>
      </c>
      <c r="U30" s="11">
        <v>101</v>
      </c>
      <c r="W30" s="6">
        <v>10</v>
      </c>
      <c r="X30" s="11">
        <f t="shared" si="20"/>
        <v>4</v>
      </c>
      <c r="Z30" s="11" t="str">
        <v/>
      </c>
      <c r="AA30" s="13" t="str">
        <f t="shared" si="23"/>
        <v/>
      </c>
    </row>
    <row r="31" spans="2:27" ht="15" customHeight="1" x14ac:dyDescent="0.35">
      <c r="B31" s="6">
        <v>11</v>
      </c>
      <c r="C31" s="2" t="s">
        <v>20</v>
      </c>
      <c r="D31" s="6" t="str">
        <f t="shared" si="8"/>
        <v>0</v>
      </c>
      <c r="E31" s="6" t="str">
        <f t="shared" si="9"/>
        <v>0</v>
      </c>
      <c r="F31" s="6" t="str">
        <f t="shared" si="10"/>
        <v>1</v>
      </c>
      <c r="G31" s="6" t="str">
        <f t="shared" si="11"/>
        <v>0</v>
      </c>
      <c r="H31" s="6" t="str">
        <f t="shared" si="12"/>
        <v>1</v>
      </c>
      <c r="I31" s="6" t="str">
        <f t="shared" si="13"/>
        <v>1</v>
      </c>
      <c r="J31" s="10">
        <f t="shared" si="14"/>
        <v>8.5714285714285726E-5</v>
      </c>
      <c r="K31" s="10">
        <f t="shared" si="15"/>
        <v>4.1904761904761908E-5</v>
      </c>
      <c r="L31" s="10">
        <f t="shared" si="16"/>
        <v>3.723809523809524E-5</v>
      </c>
      <c r="M31" s="10">
        <f t="shared" si="17"/>
        <v>1.1333333333333334E-5</v>
      </c>
      <c r="N31" s="10">
        <f t="shared" si="18"/>
        <v>6.6666666666666666E-6</v>
      </c>
      <c r="O31" s="10">
        <f t="shared" si="19"/>
        <v>6.6666666666666666E-6</v>
      </c>
      <c r="P31" s="11">
        <f>ROUND(Table323[[#This Row],[I4]]+(Table323[[#This Row],[I3]]+Table323[[#This Row],[I2]]+Table323[[#This Row],[I1]]+Table323[[#This Row],[I5]]+Table323[[#This Row],[I6]])*1000000, 0)</f>
        <v>178</v>
      </c>
      <c r="Q31" s="18" t="s">
        <v>20</v>
      </c>
      <c r="R31" s="11">
        <v>178</v>
      </c>
      <c r="S31" s="13">
        <f t="shared" si="22"/>
        <v>1</v>
      </c>
      <c r="U31" s="11">
        <v>105</v>
      </c>
      <c r="W31" s="6">
        <v>11</v>
      </c>
      <c r="X31" s="11">
        <f t="shared" si="20"/>
        <v>27</v>
      </c>
      <c r="AA31" s="13" t="str">
        <f t="shared" si="23"/>
        <v/>
      </c>
    </row>
    <row r="32" spans="2:27" x14ac:dyDescent="0.35">
      <c r="B32" s="6">
        <v>12</v>
      </c>
      <c r="C32" s="2" t="s">
        <v>19</v>
      </c>
      <c r="D32" s="6" t="str">
        <f t="shared" si="8"/>
        <v>0</v>
      </c>
      <c r="E32" s="6" t="str">
        <f t="shared" si="9"/>
        <v>0</v>
      </c>
      <c r="F32" s="6" t="str">
        <f t="shared" si="10"/>
        <v>1</v>
      </c>
      <c r="G32" s="6" t="str">
        <f t="shared" si="11"/>
        <v>1</v>
      </c>
      <c r="H32" s="6" t="str">
        <f t="shared" si="12"/>
        <v>0</v>
      </c>
      <c r="I32" s="6" t="str">
        <f t="shared" si="13"/>
        <v>0</v>
      </c>
      <c r="J32" s="10">
        <f t="shared" si="14"/>
        <v>3.0571428571428572E-5</v>
      </c>
      <c r="K32" s="10">
        <f t="shared" si="15"/>
        <v>3.0571428571428572E-5</v>
      </c>
      <c r="L32" s="10">
        <f t="shared" si="16"/>
        <v>3.0571428571428572E-5</v>
      </c>
      <c r="M32" s="10">
        <f t="shared" si="17"/>
        <v>4.6666666666666672E-6</v>
      </c>
      <c r="N32" s="10">
        <f t="shared" si="18"/>
        <v>4.6666666666666672E-6</v>
      </c>
      <c r="O32" s="10">
        <f t="shared" si="19"/>
        <v>4.6666666666666672E-6</v>
      </c>
      <c r="P32" s="11">
        <f>ROUND(Table323[[#This Row],[I4]]+(Table323[[#This Row],[I3]]+Table323[[#This Row],[I2]]+Table323[[#This Row],[I1]]+Table323[[#This Row],[I5]]+Table323[[#This Row],[I6]])*1000000, 0)</f>
        <v>101</v>
      </c>
      <c r="Q32" s="18" t="s">
        <v>19</v>
      </c>
      <c r="R32" s="11">
        <v>101</v>
      </c>
      <c r="S32" s="13">
        <f t="shared" si="22"/>
        <v>1</v>
      </c>
      <c r="U32" s="11">
        <v>132</v>
      </c>
      <c r="W32" s="6">
        <v>12</v>
      </c>
      <c r="X32" s="11">
        <f t="shared" si="20"/>
        <v>4</v>
      </c>
      <c r="AA32" s="13" t="str">
        <f t="shared" si="23"/>
        <v/>
      </c>
    </row>
    <row r="33" spans="2:27" ht="15" customHeight="1" x14ac:dyDescent="0.35">
      <c r="B33" s="6">
        <v>13</v>
      </c>
      <c r="C33" s="2" t="s">
        <v>20</v>
      </c>
      <c r="D33" s="6" t="str">
        <f t="shared" si="8"/>
        <v>0</v>
      </c>
      <c r="E33" s="6" t="str">
        <f t="shared" si="9"/>
        <v>0</v>
      </c>
      <c r="F33" s="6" t="str">
        <f t="shared" si="10"/>
        <v>1</v>
      </c>
      <c r="G33" s="6" t="str">
        <f t="shared" si="11"/>
        <v>1</v>
      </c>
      <c r="H33" s="6" t="str">
        <f t="shared" si="12"/>
        <v>0</v>
      </c>
      <c r="I33" s="6" t="str">
        <f t="shared" si="13"/>
        <v>1</v>
      </c>
      <c r="J33" s="10">
        <f t="shared" si="14"/>
        <v>5.914285714285715E-5</v>
      </c>
      <c r="K33" s="10">
        <f t="shared" si="15"/>
        <v>3.723809523809524E-5</v>
      </c>
      <c r="L33" s="10">
        <f t="shared" si="16"/>
        <v>3.723809523809524E-5</v>
      </c>
      <c r="M33" s="10">
        <f t="shared" si="17"/>
        <v>1.1333333333333334E-5</v>
      </c>
      <c r="N33" s="10">
        <f t="shared" si="18"/>
        <v>6.6666666666666666E-6</v>
      </c>
      <c r="O33" s="10">
        <f t="shared" si="19"/>
        <v>6.6666666666666666E-6</v>
      </c>
      <c r="P33" s="11">
        <f>ROUND(Table323[[#This Row],[I4]]+(Table323[[#This Row],[I3]]+Table323[[#This Row],[I2]]+Table323[[#This Row],[I1]]+Table323[[#This Row],[I5]]+Table323[[#This Row],[I6]])*1000000, 0)</f>
        <v>147</v>
      </c>
      <c r="Q33" s="18" t="s">
        <v>20</v>
      </c>
      <c r="R33" s="11">
        <v>147</v>
      </c>
      <c r="S33" s="13">
        <f t="shared" si="22"/>
        <v>1</v>
      </c>
      <c r="U33" s="11">
        <v>136</v>
      </c>
      <c r="W33" s="6">
        <v>13</v>
      </c>
      <c r="X33" s="11">
        <f t="shared" si="20"/>
        <v>1</v>
      </c>
      <c r="AA33" s="13" t="str">
        <f t="shared" si="23"/>
        <v/>
      </c>
    </row>
    <row r="34" spans="2:27" x14ac:dyDescent="0.35">
      <c r="B34" s="6">
        <v>14</v>
      </c>
      <c r="C34" s="2" t="s">
        <v>20</v>
      </c>
      <c r="D34" s="6" t="str">
        <f t="shared" si="8"/>
        <v>0</v>
      </c>
      <c r="E34" s="6" t="str">
        <f t="shared" si="9"/>
        <v>0</v>
      </c>
      <c r="F34" s="6" t="str">
        <f t="shared" si="10"/>
        <v>1</v>
      </c>
      <c r="G34" s="6" t="str">
        <f t="shared" si="11"/>
        <v>1</v>
      </c>
      <c r="H34" s="6" t="str">
        <f t="shared" si="12"/>
        <v>1</v>
      </c>
      <c r="I34" s="6" t="str">
        <f t="shared" si="13"/>
        <v>0</v>
      </c>
      <c r="J34" s="10">
        <f t="shared" si="14"/>
        <v>5.914285714285715E-5</v>
      </c>
      <c r="K34" s="10">
        <f t="shared" si="15"/>
        <v>3.723809523809524E-5</v>
      </c>
      <c r="L34" s="10">
        <f t="shared" si="16"/>
        <v>3.2571428571428573E-5</v>
      </c>
      <c r="M34" s="10">
        <f t="shared" si="17"/>
        <v>6.6666666666666666E-6</v>
      </c>
      <c r="N34" s="10">
        <f t="shared" si="18"/>
        <v>6.6666666666666666E-6</v>
      </c>
      <c r="O34" s="10">
        <f t="shared" si="19"/>
        <v>6.6666666666666666E-6</v>
      </c>
      <c r="P34" s="11">
        <f>ROUND(Table323[[#This Row],[I4]]+(Table323[[#This Row],[I3]]+Table323[[#This Row],[I2]]+Table323[[#This Row],[I1]]+Table323[[#This Row],[I5]]+Table323[[#This Row],[I6]])*1000000, 0)</f>
        <v>142</v>
      </c>
      <c r="Q34" s="18" t="s">
        <v>20</v>
      </c>
      <c r="R34" s="11">
        <v>142</v>
      </c>
      <c r="S34" s="13">
        <f t="shared" si="22"/>
        <v>1</v>
      </c>
      <c r="U34" s="11">
        <v>137</v>
      </c>
      <c r="W34" s="6">
        <v>14</v>
      </c>
      <c r="X34" s="11">
        <f t="shared" si="20"/>
        <v>4</v>
      </c>
      <c r="AA34" s="13" t="str">
        <f t="shared" si="23"/>
        <v/>
      </c>
    </row>
    <row r="35" spans="2:27" x14ac:dyDescent="0.35">
      <c r="B35" s="6">
        <v>15</v>
      </c>
      <c r="C35" s="2" t="s">
        <v>20</v>
      </c>
      <c r="D35" s="6" t="str">
        <f t="shared" si="8"/>
        <v>0</v>
      </c>
      <c r="E35" s="6" t="str">
        <f t="shared" si="9"/>
        <v>0</v>
      </c>
      <c r="F35" s="6" t="str">
        <f t="shared" si="10"/>
        <v>1</v>
      </c>
      <c r="G35" s="6" t="str">
        <f t="shared" si="11"/>
        <v>1</v>
      </c>
      <c r="H35" s="6" t="str">
        <f t="shared" si="12"/>
        <v>1</v>
      </c>
      <c r="I35" s="6" t="str">
        <f t="shared" si="13"/>
        <v>1</v>
      </c>
      <c r="J35" s="10">
        <f t="shared" si="14"/>
        <v>8.7714285714285721E-5</v>
      </c>
      <c r="K35" s="10">
        <f t="shared" si="15"/>
        <v>4.3904761904761909E-5</v>
      </c>
      <c r="L35" s="10">
        <f t="shared" si="16"/>
        <v>3.9238095238095242E-5</v>
      </c>
      <c r="M35" s="10">
        <f t="shared" si="17"/>
        <v>1.3333333333333333E-5</v>
      </c>
      <c r="N35" s="10">
        <f t="shared" si="18"/>
        <v>8.6666666666666661E-6</v>
      </c>
      <c r="O35" s="10">
        <f t="shared" si="19"/>
        <v>8.6666666666666661E-6</v>
      </c>
      <c r="P35" s="11">
        <f>ROUND(Table323[[#This Row],[I4]]+(Table323[[#This Row],[I3]]+Table323[[#This Row],[I2]]+Table323[[#This Row],[I1]]+Table323[[#This Row],[I5]]+Table323[[#This Row],[I6]])*1000000, 0)</f>
        <v>188</v>
      </c>
      <c r="Q35" s="18" t="s">
        <v>20</v>
      </c>
      <c r="R35" s="11">
        <v>188</v>
      </c>
      <c r="S35" s="13">
        <f t="shared" si="22"/>
        <v>1</v>
      </c>
      <c r="U35" s="11">
        <v>141</v>
      </c>
      <c r="W35" s="6">
        <v>15</v>
      </c>
      <c r="X35" s="11">
        <f t="shared" si="20"/>
        <v>1</v>
      </c>
      <c r="AA35" s="13" t="str">
        <f t="shared" si="23"/>
        <v/>
      </c>
    </row>
    <row r="36" spans="2:27" x14ac:dyDescent="0.35">
      <c r="B36" s="6">
        <v>16</v>
      </c>
      <c r="C36" s="2" t="s">
        <v>21</v>
      </c>
      <c r="D36" s="6" t="str">
        <f t="shared" si="8"/>
        <v>0</v>
      </c>
      <c r="E36" s="6" t="str">
        <f t="shared" si="9"/>
        <v>1</v>
      </c>
      <c r="F36" s="6" t="str">
        <f t="shared" si="10"/>
        <v>0</v>
      </c>
      <c r="G36" s="6" t="str">
        <f t="shared" si="11"/>
        <v>0</v>
      </c>
      <c r="H36" s="6" t="str">
        <f t="shared" si="12"/>
        <v>0</v>
      </c>
      <c r="I36" s="6" t="str">
        <f t="shared" si="13"/>
        <v>0</v>
      </c>
      <c r="J36" s="10">
        <f t="shared" si="14"/>
        <v>2.8571428571428574E-5</v>
      </c>
      <c r="K36" s="10">
        <f t="shared" si="15"/>
        <v>2.8571428571428574E-5</v>
      </c>
      <c r="L36" s="10">
        <f t="shared" si="16"/>
        <v>2.8571428571428574E-5</v>
      </c>
      <c r="M36" s="10">
        <f t="shared" si="17"/>
        <v>6.6666666666666666E-6</v>
      </c>
      <c r="N36" s="10">
        <f t="shared" si="18"/>
        <v>6.6666666666666666E-6</v>
      </c>
      <c r="O36" s="10">
        <f t="shared" si="19"/>
        <v>2.6666666666666668E-6</v>
      </c>
      <c r="P36" s="11">
        <f>ROUND(Table323[[#This Row],[I4]]+(Table323[[#This Row],[I3]]+Table323[[#This Row],[I2]]+Table323[[#This Row],[I1]]+Table323[[#This Row],[I5]]+Table323[[#This Row],[I6]])*1000000, 0)</f>
        <v>95</v>
      </c>
      <c r="Q36" s="18" t="s">
        <v>21</v>
      </c>
      <c r="R36" s="11">
        <v>95</v>
      </c>
      <c r="S36" s="13">
        <f t="shared" si="22"/>
        <v>1</v>
      </c>
      <c r="U36" s="11">
        <v>142</v>
      </c>
      <c r="W36" s="6">
        <v>16</v>
      </c>
      <c r="X36" s="11">
        <f t="shared" si="20"/>
        <v>1</v>
      </c>
      <c r="AA36" s="13" t="str">
        <f t="shared" si="23"/>
        <v/>
      </c>
    </row>
    <row r="37" spans="2:27" ht="15" customHeight="1" x14ac:dyDescent="0.35">
      <c r="B37" s="6">
        <v>17</v>
      </c>
      <c r="C37" s="2" t="s">
        <v>20</v>
      </c>
      <c r="D37" s="6" t="str">
        <f t="shared" si="8"/>
        <v>0</v>
      </c>
      <c r="E37" s="6" t="str">
        <f t="shared" si="9"/>
        <v>1</v>
      </c>
      <c r="F37" s="6" t="str">
        <f t="shared" si="10"/>
        <v>0</v>
      </c>
      <c r="G37" s="6" t="str">
        <f t="shared" si="11"/>
        <v>0</v>
      </c>
      <c r="H37" s="6" t="str">
        <f t="shared" si="12"/>
        <v>0</v>
      </c>
      <c r="I37" s="6" t="str">
        <f t="shared" si="13"/>
        <v>1</v>
      </c>
      <c r="J37" s="10">
        <f t="shared" si="14"/>
        <v>5.7142857142857148E-5</v>
      </c>
      <c r="K37" s="10">
        <f t="shared" si="15"/>
        <v>3.5238095238095239E-5</v>
      </c>
      <c r="L37" s="10">
        <f t="shared" si="16"/>
        <v>3.5238095238095239E-5</v>
      </c>
      <c r="M37" s="10">
        <f t="shared" si="17"/>
        <v>1.3333333333333333E-5</v>
      </c>
      <c r="N37" s="10">
        <f t="shared" si="18"/>
        <v>8.6666666666666661E-6</v>
      </c>
      <c r="O37" s="10">
        <f t="shared" si="19"/>
        <v>4.6666666666666672E-6</v>
      </c>
      <c r="P37" s="11">
        <f>ROUND(Table323[[#This Row],[I4]]+(Table323[[#This Row],[I3]]+Table323[[#This Row],[I2]]+Table323[[#This Row],[I1]]+Table323[[#This Row],[I5]]+Table323[[#This Row],[I6]])*1000000, 0)</f>
        <v>141</v>
      </c>
      <c r="Q37" s="18" t="s">
        <v>20</v>
      </c>
      <c r="R37" s="11">
        <v>141</v>
      </c>
      <c r="S37" s="13">
        <f t="shared" si="22"/>
        <v>1</v>
      </c>
      <c r="U37" s="11">
        <v>143</v>
      </c>
      <c r="W37" s="6">
        <v>17</v>
      </c>
      <c r="X37" s="11">
        <f t="shared" si="20"/>
        <v>3</v>
      </c>
      <c r="AA37" s="13" t="str">
        <f t="shared" si="23"/>
        <v/>
      </c>
    </row>
    <row r="38" spans="2:27" ht="15" customHeight="1" x14ac:dyDescent="0.35">
      <c r="B38" s="6">
        <v>18</v>
      </c>
      <c r="C38" s="2" t="s">
        <v>20</v>
      </c>
      <c r="D38" s="6" t="str">
        <f t="shared" si="8"/>
        <v>0</v>
      </c>
      <c r="E38" s="6" t="str">
        <f t="shared" si="9"/>
        <v>1</v>
      </c>
      <c r="F38" s="6" t="str">
        <f t="shared" si="10"/>
        <v>0</v>
      </c>
      <c r="G38" s="6" t="str">
        <f t="shared" si="11"/>
        <v>0</v>
      </c>
      <c r="H38" s="6" t="str">
        <f t="shared" si="12"/>
        <v>1</v>
      </c>
      <c r="I38" s="6" t="str">
        <f t="shared" si="13"/>
        <v>0</v>
      </c>
      <c r="J38" s="10">
        <f t="shared" si="14"/>
        <v>5.7142857142857148E-5</v>
      </c>
      <c r="K38" s="10">
        <f t="shared" si="15"/>
        <v>3.5238095238095239E-5</v>
      </c>
      <c r="L38" s="10">
        <f t="shared" si="16"/>
        <v>3.0571428571428572E-5</v>
      </c>
      <c r="M38" s="10">
        <f t="shared" si="17"/>
        <v>8.6666666666666661E-6</v>
      </c>
      <c r="N38" s="10">
        <f t="shared" si="18"/>
        <v>8.6666666666666661E-6</v>
      </c>
      <c r="O38" s="10">
        <f t="shared" si="19"/>
        <v>4.6666666666666672E-6</v>
      </c>
      <c r="P38" s="11">
        <f>ROUND(Table323[[#This Row],[I4]]+(Table323[[#This Row],[I3]]+Table323[[#This Row],[I2]]+Table323[[#This Row],[I1]]+Table323[[#This Row],[I5]]+Table323[[#This Row],[I6]])*1000000, 0)</f>
        <v>136</v>
      </c>
      <c r="Q38" s="18" t="s">
        <v>20</v>
      </c>
      <c r="R38" s="11">
        <v>136</v>
      </c>
      <c r="S38" s="13">
        <f t="shared" si="22"/>
        <v>1</v>
      </c>
      <c r="U38" s="11">
        <v>146</v>
      </c>
      <c r="W38" s="6">
        <v>18</v>
      </c>
      <c r="X38" s="11">
        <f t="shared" si="20"/>
        <v>1</v>
      </c>
      <c r="AA38" s="13" t="str">
        <f t="shared" si="23"/>
        <v/>
      </c>
    </row>
    <row r="39" spans="2:27" ht="15" customHeight="1" x14ac:dyDescent="0.35">
      <c r="B39" s="6">
        <v>19</v>
      </c>
      <c r="C39" s="2" t="s">
        <v>20</v>
      </c>
      <c r="D39" s="6" t="str">
        <f t="shared" si="8"/>
        <v>0</v>
      </c>
      <c r="E39" s="6" t="str">
        <f t="shared" si="9"/>
        <v>1</v>
      </c>
      <c r="F39" s="6" t="str">
        <f t="shared" si="10"/>
        <v>0</v>
      </c>
      <c r="G39" s="6" t="str">
        <f t="shared" si="11"/>
        <v>0</v>
      </c>
      <c r="H39" s="6" t="str">
        <f t="shared" si="12"/>
        <v>1</v>
      </c>
      <c r="I39" s="6" t="str">
        <f t="shared" si="13"/>
        <v>1</v>
      </c>
      <c r="J39" s="10">
        <f t="shared" si="14"/>
        <v>8.5714285714285726E-5</v>
      </c>
      <c r="K39" s="10">
        <f t="shared" si="15"/>
        <v>4.1904761904761908E-5</v>
      </c>
      <c r="L39" s="10">
        <f t="shared" si="16"/>
        <v>3.723809523809524E-5</v>
      </c>
      <c r="M39" s="10">
        <f t="shared" si="17"/>
        <v>1.5333333333333331E-5</v>
      </c>
      <c r="N39" s="10">
        <f t="shared" si="18"/>
        <v>1.0666666666666666E-5</v>
      </c>
      <c r="O39" s="10">
        <f t="shared" si="19"/>
        <v>6.6666666666666666E-6</v>
      </c>
      <c r="P39" s="11">
        <f>ROUND(Table323[[#This Row],[I4]]+(Table323[[#This Row],[I3]]+Table323[[#This Row],[I2]]+Table323[[#This Row],[I1]]+Table323[[#This Row],[I5]]+Table323[[#This Row],[I6]])*1000000, 0)</f>
        <v>182</v>
      </c>
      <c r="Q39" s="18" t="s">
        <v>20</v>
      </c>
      <c r="R39" s="11">
        <v>182</v>
      </c>
      <c r="S39" s="13">
        <f t="shared" si="22"/>
        <v>1</v>
      </c>
      <c r="U39" s="11">
        <v>147</v>
      </c>
      <c r="W39" s="6">
        <v>19</v>
      </c>
      <c r="X39" s="11">
        <f t="shared" si="20"/>
        <v>4</v>
      </c>
      <c r="AA39" s="13" t="str">
        <f t="shared" si="23"/>
        <v/>
      </c>
    </row>
    <row r="40" spans="2:27" ht="15" customHeight="1" x14ac:dyDescent="0.35">
      <c r="B40" s="6">
        <v>20</v>
      </c>
      <c r="C40" s="2" t="s">
        <v>20</v>
      </c>
      <c r="D40" s="6" t="str">
        <f t="shared" si="8"/>
        <v>0</v>
      </c>
      <c r="E40" s="6" t="str">
        <f t="shared" si="9"/>
        <v>1</v>
      </c>
      <c r="F40" s="6" t="str">
        <f t="shared" si="10"/>
        <v>0</v>
      </c>
      <c r="G40" s="6" t="str">
        <f t="shared" si="11"/>
        <v>1</v>
      </c>
      <c r="H40" s="6" t="str">
        <f t="shared" si="12"/>
        <v>0</v>
      </c>
      <c r="I40" s="6" t="str">
        <f t="shared" si="13"/>
        <v>0</v>
      </c>
      <c r="J40" s="10">
        <f t="shared" si="14"/>
        <v>3.0571428571428572E-5</v>
      </c>
      <c r="K40" s="10">
        <f t="shared" si="15"/>
        <v>3.0571428571428572E-5</v>
      </c>
      <c r="L40" s="10">
        <f t="shared" si="16"/>
        <v>3.0571428571428572E-5</v>
      </c>
      <c r="M40" s="10">
        <f t="shared" si="17"/>
        <v>8.6666666666666661E-6</v>
      </c>
      <c r="N40" s="10">
        <f t="shared" si="18"/>
        <v>8.6666666666666661E-6</v>
      </c>
      <c r="O40" s="10">
        <f t="shared" si="19"/>
        <v>4.6666666666666672E-6</v>
      </c>
      <c r="P40" s="11">
        <f>ROUND(Table323[[#This Row],[I4]]+(Table323[[#This Row],[I3]]+Table323[[#This Row],[I2]]+Table323[[#This Row],[I1]]+Table323[[#This Row],[I5]]+Table323[[#This Row],[I6]])*1000000, 0)</f>
        <v>105</v>
      </c>
      <c r="Q40" s="18" t="s">
        <v>20</v>
      </c>
      <c r="R40" s="11">
        <v>105</v>
      </c>
      <c r="S40" s="13">
        <f t="shared" si="22"/>
        <v>1</v>
      </c>
      <c r="U40" s="11">
        <v>151</v>
      </c>
      <c r="W40" s="6">
        <v>20</v>
      </c>
      <c r="X40" s="11">
        <f t="shared" si="20"/>
        <v>2</v>
      </c>
      <c r="AA40" s="13" t="str">
        <f t="shared" si="23"/>
        <v/>
      </c>
    </row>
    <row r="41" spans="2:27" ht="15" customHeight="1" x14ac:dyDescent="0.35">
      <c r="B41" s="6">
        <v>21</v>
      </c>
      <c r="C41" s="2" t="s">
        <v>20</v>
      </c>
      <c r="D41" s="6" t="str">
        <f t="shared" si="8"/>
        <v>0</v>
      </c>
      <c r="E41" s="6" t="str">
        <f t="shared" si="9"/>
        <v>1</v>
      </c>
      <c r="F41" s="6" t="str">
        <f t="shared" si="10"/>
        <v>0</v>
      </c>
      <c r="G41" s="6" t="str">
        <f t="shared" si="11"/>
        <v>1</v>
      </c>
      <c r="H41" s="6" t="str">
        <f t="shared" si="12"/>
        <v>0</v>
      </c>
      <c r="I41" s="6" t="str">
        <f t="shared" si="13"/>
        <v>1</v>
      </c>
      <c r="J41" s="10">
        <f t="shared" si="14"/>
        <v>5.914285714285715E-5</v>
      </c>
      <c r="K41" s="10">
        <f t="shared" si="15"/>
        <v>3.723809523809524E-5</v>
      </c>
      <c r="L41" s="10">
        <f t="shared" si="16"/>
        <v>3.723809523809524E-5</v>
      </c>
      <c r="M41" s="10">
        <f t="shared" si="17"/>
        <v>1.5333333333333331E-5</v>
      </c>
      <c r="N41" s="10">
        <f t="shared" si="18"/>
        <v>1.0666666666666666E-5</v>
      </c>
      <c r="O41" s="10">
        <f t="shared" si="19"/>
        <v>6.6666666666666666E-6</v>
      </c>
      <c r="P41" s="11">
        <f>ROUND(Table323[[#This Row],[I4]]+(Table323[[#This Row],[I3]]+Table323[[#This Row],[I2]]+Table323[[#This Row],[I1]]+Table323[[#This Row],[I5]]+Table323[[#This Row],[I6]])*1000000, 0)</f>
        <v>151</v>
      </c>
      <c r="Q41" s="18" t="s">
        <v>20</v>
      </c>
      <c r="R41" s="11">
        <v>151</v>
      </c>
      <c r="S41" s="13">
        <f t="shared" si="22"/>
        <v>1</v>
      </c>
      <c r="U41" s="11">
        <v>153</v>
      </c>
      <c r="W41" s="6">
        <v>21</v>
      </c>
      <c r="X41" s="11">
        <f t="shared" si="20"/>
        <v>25</v>
      </c>
      <c r="AA41" s="13" t="str">
        <f t="shared" si="23"/>
        <v/>
      </c>
    </row>
    <row r="42" spans="2:27" ht="15" customHeight="1" x14ac:dyDescent="0.35">
      <c r="B42" s="6">
        <v>22</v>
      </c>
      <c r="C42" s="2" t="s">
        <v>20</v>
      </c>
      <c r="D42" s="6" t="str">
        <f t="shared" si="8"/>
        <v>0</v>
      </c>
      <c r="E42" s="6" t="str">
        <f t="shared" si="9"/>
        <v>1</v>
      </c>
      <c r="F42" s="6" t="str">
        <f t="shared" si="10"/>
        <v>0</v>
      </c>
      <c r="G42" s="6" t="str">
        <f t="shared" si="11"/>
        <v>1</v>
      </c>
      <c r="H42" s="6" t="str">
        <f t="shared" si="12"/>
        <v>1</v>
      </c>
      <c r="I42" s="6" t="str">
        <f t="shared" si="13"/>
        <v>0</v>
      </c>
      <c r="J42" s="10">
        <f t="shared" si="14"/>
        <v>5.914285714285715E-5</v>
      </c>
      <c r="K42" s="10">
        <f t="shared" si="15"/>
        <v>3.723809523809524E-5</v>
      </c>
      <c r="L42" s="10">
        <f t="shared" si="16"/>
        <v>3.2571428571428573E-5</v>
      </c>
      <c r="M42" s="10">
        <f t="shared" si="17"/>
        <v>1.0666666666666666E-5</v>
      </c>
      <c r="N42" s="10">
        <f t="shared" si="18"/>
        <v>1.0666666666666666E-5</v>
      </c>
      <c r="O42" s="10">
        <f t="shared" si="19"/>
        <v>6.6666666666666666E-6</v>
      </c>
      <c r="P42" s="11">
        <f>ROUND(Table323[[#This Row],[I4]]+(Table323[[#This Row],[I3]]+Table323[[#This Row],[I2]]+Table323[[#This Row],[I1]]+Table323[[#This Row],[I5]]+Table323[[#This Row],[I6]])*1000000, 0)</f>
        <v>146</v>
      </c>
      <c r="Q42" s="18" t="s">
        <v>20</v>
      </c>
      <c r="R42" s="11">
        <v>146</v>
      </c>
      <c r="S42" s="13">
        <f t="shared" ref="S42:S78" si="24">IF(ISBLANK(R42), "", COUNTIF($L$20:$L$83,R42))</f>
        <v>0</v>
      </c>
      <c r="U42" s="11">
        <v>178</v>
      </c>
      <c r="W42" s="6">
        <v>22</v>
      </c>
      <c r="X42" s="11">
        <f t="shared" si="20"/>
        <v>4</v>
      </c>
      <c r="AA42" s="13" t="str">
        <f t="shared" si="23"/>
        <v/>
      </c>
    </row>
    <row r="43" spans="2:27" ht="15" customHeight="1" x14ac:dyDescent="0.35">
      <c r="B43" s="6">
        <v>23</v>
      </c>
      <c r="C43" s="2" t="s">
        <v>20</v>
      </c>
      <c r="D43" s="6" t="str">
        <f t="shared" si="8"/>
        <v>0</v>
      </c>
      <c r="E43" s="6" t="str">
        <f t="shared" si="9"/>
        <v>1</v>
      </c>
      <c r="F43" s="6" t="str">
        <f t="shared" si="10"/>
        <v>0</v>
      </c>
      <c r="G43" s="6" t="str">
        <f t="shared" si="11"/>
        <v>1</v>
      </c>
      <c r="H43" s="6" t="str">
        <f t="shared" si="12"/>
        <v>1</v>
      </c>
      <c r="I43" s="6" t="str">
        <f t="shared" si="13"/>
        <v>1</v>
      </c>
      <c r="J43" s="10">
        <f t="shared" si="14"/>
        <v>8.7714285714285721E-5</v>
      </c>
      <c r="K43" s="10">
        <f t="shared" si="15"/>
        <v>4.3904761904761909E-5</v>
      </c>
      <c r="L43" s="10">
        <f t="shared" si="16"/>
        <v>3.9238095238095242E-5</v>
      </c>
      <c r="M43" s="10">
        <f t="shared" si="17"/>
        <v>1.7333333333333332E-5</v>
      </c>
      <c r="N43" s="10">
        <f t="shared" si="18"/>
        <v>1.2666666666666665E-5</v>
      </c>
      <c r="O43" s="10">
        <f t="shared" si="19"/>
        <v>8.6666666666666661E-6</v>
      </c>
      <c r="P43" s="11">
        <f>ROUND(Table323[[#This Row],[I4]]+(Table323[[#This Row],[I3]]+Table323[[#This Row],[I2]]+Table323[[#This Row],[I1]]+Table323[[#This Row],[I5]]+Table323[[#This Row],[I6]])*1000000, 0)</f>
        <v>192</v>
      </c>
      <c r="Q43" s="18" t="s">
        <v>20</v>
      </c>
      <c r="R43" s="11">
        <v>192</v>
      </c>
      <c r="S43" s="13">
        <f t="shared" si="24"/>
        <v>0</v>
      </c>
      <c r="U43" s="11">
        <v>182</v>
      </c>
      <c r="W43" s="6">
        <v>23</v>
      </c>
      <c r="X43" s="11">
        <f t="shared" si="20"/>
        <v>2</v>
      </c>
      <c r="AA43" s="13" t="str">
        <f t="shared" si="23"/>
        <v/>
      </c>
    </row>
    <row r="44" spans="2:27" x14ac:dyDescent="0.35">
      <c r="B44" s="6">
        <v>24</v>
      </c>
      <c r="C44" s="2" t="s">
        <v>21</v>
      </c>
      <c r="D44" s="6" t="str">
        <f t="shared" si="8"/>
        <v>0</v>
      </c>
      <c r="E44" s="6" t="str">
        <f t="shared" si="9"/>
        <v>1</v>
      </c>
      <c r="F44" s="6" t="str">
        <f t="shared" si="10"/>
        <v>1</v>
      </c>
      <c r="G44" s="6" t="str">
        <f t="shared" si="11"/>
        <v>0</v>
      </c>
      <c r="H44" s="6" t="str">
        <f t="shared" si="12"/>
        <v>0</v>
      </c>
      <c r="I44" s="6" t="str">
        <f t="shared" si="13"/>
        <v>0</v>
      </c>
      <c r="J44" s="10">
        <f t="shared" si="14"/>
        <v>5.7142857142857148E-5</v>
      </c>
      <c r="K44" s="10">
        <f t="shared" si="15"/>
        <v>5.7142857142857148E-5</v>
      </c>
      <c r="L44" s="10">
        <f t="shared" si="16"/>
        <v>5.7142857142857148E-5</v>
      </c>
      <c r="M44" s="10">
        <f t="shared" si="17"/>
        <v>9.3333333333333343E-6</v>
      </c>
      <c r="N44" s="10">
        <f t="shared" si="18"/>
        <v>9.3333333333333343E-6</v>
      </c>
      <c r="O44" s="10">
        <f t="shared" si="19"/>
        <v>5.3333333333333337E-6</v>
      </c>
      <c r="P44" s="11">
        <f>ROUND(Table323[[#This Row],[I4]]+(Table323[[#This Row],[I3]]+Table323[[#This Row],[I2]]+Table323[[#This Row],[I1]]+Table323[[#This Row],[I5]]+Table323[[#This Row],[I6]])*1000000, 0)</f>
        <v>186</v>
      </c>
      <c r="Q44" s="18" t="s">
        <v>21</v>
      </c>
      <c r="R44" s="11">
        <v>186</v>
      </c>
      <c r="S44" s="13">
        <f t="shared" si="24"/>
        <v>0</v>
      </c>
      <c r="U44" s="11">
        <v>184</v>
      </c>
      <c r="W44" s="6">
        <v>24</v>
      </c>
      <c r="X44" s="11">
        <f t="shared" si="20"/>
        <v>2</v>
      </c>
      <c r="AA44" s="13" t="str">
        <f t="shared" si="23"/>
        <v/>
      </c>
    </row>
    <row r="45" spans="2:27" ht="15" customHeight="1" x14ac:dyDescent="0.35">
      <c r="B45" s="6">
        <v>25</v>
      </c>
      <c r="C45" s="2" t="s">
        <v>20</v>
      </c>
      <c r="D45" s="6" t="str">
        <f t="shared" si="8"/>
        <v>0</v>
      </c>
      <c r="E45" s="6" t="str">
        <f t="shared" si="9"/>
        <v>1</v>
      </c>
      <c r="F45" s="6" t="str">
        <f t="shared" si="10"/>
        <v>1</v>
      </c>
      <c r="G45" s="6" t="str">
        <f t="shared" si="11"/>
        <v>0</v>
      </c>
      <c r="H45" s="6" t="str">
        <f t="shared" si="12"/>
        <v>0</v>
      </c>
      <c r="I45" s="6" t="str">
        <f t="shared" si="13"/>
        <v>1</v>
      </c>
      <c r="J45" s="10">
        <f t="shared" si="14"/>
        <v>8.5714285714285726E-5</v>
      </c>
      <c r="K45" s="10">
        <f t="shared" si="15"/>
        <v>6.3809523809523817E-5</v>
      </c>
      <c r="L45" s="10">
        <f t="shared" si="16"/>
        <v>6.3809523809523817E-5</v>
      </c>
      <c r="M45" s="10">
        <f t="shared" si="17"/>
        <v>1.6000000000000003E-5</v>
      </c>
      <c r="N45" s="10">
        <f t="shared" si="18"/>
        <v>1.1333333333333334E-5</v>
      </c>
      <c r="O45" s="10">
        <f t="shared" si="19"/>
        <v>7.3333333333333331E-6</v>
      </c>
      <c r="P45" s="11">
        <f>ROUND(Table323[[#This Row],[I4]]+(Table323[[#This Row],[I3]]+Table323[[#This Row],[I2]]+Table323[[#This Row],[I1]]+Table323[[#This Row],[I5]]+Table323[[#This Row],[I6]])*1000000, 0)</f>
        <v>232</v>
      </c>
      <c r="Q45" s="18" t="s">
        <v>20</v>
      </c>
      <c r="R45" s="11">
        <v>232</v>
      </c>
      <c r="S45" s="13">
        <f t="shared" si="24"/>
        <v>0</v>
      </c>
      <c r="U45" s="11">
        <v>186</v>
      </c>
      <c r="W45" s="6">
        <v>25</v>
      </c>
      <c r="X45" s="11">
        <f t="shared" si="20"/>
        <v>2</v>
      </c>
      <c r="AA45" s="13" t="str">
        <f t="shared" si="23"/>
        <v/>
      </c>
    </row>
    <row r="46" spans="2:27" ht="15" customHeight="1" x14ac:dyDescent="0.35">
      <c r="B46" s="6">
        <v>26</v>
      </c>
      <c r="C46" s="2" t="s">
        <v>20</v>
      </c>
      <c r="D46" s="6" t="str">
        <f t="shared" si="8"/>
        <v>0</v>
      </c>
      <c r="E46" s="6" t="str">
        <f t="shared" si="9"/>
        <v>1</v>
      </c>
      <c r="F46" s="6" t="str">
        <f t="shared" si="10"/>
        <v>1</v>
      </c>
      <c r="G46" s="6" t="str">
        <f t="shared" si="11"/>
        <v>0</v>
      </c>
      <c r="H46" s="6" t="str">
        <f t="shared" si="12"/>
        <v>1</v>
      </c>
      <c r="I46" s="6" t="str">
        <f t="shared" si="13"/>
        <v>0</v>
      </c>
      <c r="J46" s="10">
        <f t="shared" si="14"/>
        <v>8.5714285714285726E-5</v>
      </c>
      <c r="K46" s="10">
        <f t="shared" si="15"/>
        <v>6.3809523809523817E-5</v>
      </c>
      <c r="L46" s="10">
        <f t="shared" si="16"/>
        <v>5.914285714285715E-5</v>
      </c>
      <c r="M46" s="10">
        <f t="shared" si="17"/>
        <v>1.1333333333333334E-5</v>
      </c>
      <c r="N46" s="10">
        <f t="shared" si="18"/>
        <v>1.1333333333333334E-5</v>
      </c>
      <c r="O46" s="10">
        <f t="shared" si="19"/>
        <v>7.3333333333333331E-6</v>
      </c>
      <c r="P46" s="11">
        <f>ROUND(Table323[[#This Row],[I4]]+(Table323[[#This Row],[I3]]+Table323[[#This Row],[I2]]+Table323[[#This Row],[I1]]+Table323[[#This Row],[I5]]+Table323[[#This Row],[I6]])*1000000, 0)</f>
        <v>227</v>
      </c>
      <c r="Q46" s="18" t="s">
        <v>20</v>
      </c>
      <c r="R46" s="11">
        <v>227</v>
      </c>
      <c r="S46" s="13">
        <f t="shared" si="24"/>
        <v>0</v>
      </c>
      <c r="U46" s="11">
        <v>188</v>
      </c>
      <c r="W46" s="6">
        <v>26</v>
      </c>
      <c r="X46" s="11">
        <f t="shared" si="20"/>
        <v>1</v>
      </c>
      <c r="AA46" s="13" t="str">
        <f t="shared" si="23"/>
        <v/>
      </c>
    </row>
    <row r="47" spans="2:27" ht="15" customHeight="1" x14ac:dyDescent="0.35">
      <c r="B47" s="6">
        <v>27</v>
      </c>
      <c r="C47" s="2" t="s">
        <v>20</v>
      </c>
      <c r="D47" s="6" t="str">
        <f t="shared" si="8"/>
        <v>0</v>
      </c>
      <c r="E47" s="6" t="str">
        <f t="shared" si="9"/>
        <v>1</v>
      </c>
      <c r="F47" s="6" t="str">
        <f t="shared" si="10"/>
        <v>1</v>
      </c>
      <c r="G47" s="6" t="str">
        <f t="shared" si="11"/>
        <v>0</v>
      </c>
      <c r="H47" s="6" t="str">
        <f t="shared" si="12"/>
        <v>1</v>
      </c>
      <c r="I47" s="6" t="str">
        <f t="shared" si="13"/>
        <v>1</v>
      </c>
      <c r="J47" s="10">
        <f t="shared" si="14"/>
        <v>1.142857142857143E-4</v>
      </c>
      <c r="K47" s="10">
        <f t="shared" si="15"/>
        <v>7.0476190476190478E-5</v>
      </c>
      <c r="L47" s="10">
        <f t="shared" si="16"/>
        <v>6.5809523809523811E-5</v>
      </c>
      <c r="M47" s="10">
        <f t="shared" si="17"/>
        <v>1.8E-5</v>
      </c>
      <c r="N47" s="10">
        <f t="shared" si="18"/>
        <v>1.3333333333333333E-5</v>
      </c>
      <c r="O47" s="10">
        <f t="shared" si="19"/>
        <v>9.3333333333333326E-6</v>
      </c>
      <c r="P47" s="11">
        <f>ROUND(Table323[[#This Row],[I4]]+(Table323[[#This Row],[I3]]+Table323[[#This Row],[I2]]+Table323[[#This Row],[I1]]+Table323[[#This Row],[I5]]+Table323[[#This Row],[I6]])*1000000, 0)</f>
        <v>273</v>
      </c>
      <c r="Q47" s="18" t="s">
        <v>20</v>
      </c>
      <c r="R47" s="11">
        <v>273</v>
      </c>
      <c r="S47" s="13">
        <f t="shared" si="24"/>
        <v>0</v>
      </c>
      <c r="U47" s="11">
        <v>189</v>
      </c>
      <c r="W47" s="6">
        <v>27</v>
      </c>
      <c r="X47" s="11">
        <f t="shared" si="20"/>
        <v>3</v>
      </c>
      <c r="AA47" s="13" t="str">
        <f t="shared" si="23"/>
        <v/>
      </c>
    </row>
    <row r="48" spans="2:27" x14ac:dyDescent="0.35">
      <c r="B48" s="6">
        <v>28</v>
      </c>
      <c r="C48" s="2" t="s">
        <v>21</v>
      </c>
      <c r="D48" s="6" t="str">
        <f t="shared" si="8"/>
        <v>0</v>
      </c>
      <c r="E48" s="6" t="str">
        <f t="shared" si="9"/>
        <v>1</v>
      </c>
      <c r="F48" s="6" t="str">
        <f t="shared" si="10"/>
        <v>1</v>
      </c>
      <c r="G48" s="6" t="str">
        <f t="shared" si="11"/>
        <v>1</v>
      </c>
      <c r="H48" s="6" t="str">
        <f t="shared" si="12"/>
        <v>0</v>
      </c>
      <c r="I48" s="6" t="str">
        <f t="shared" si="13"/>
        <v>0</v>
      </c>
      <c r="J48" s="10">
        <f t="shared" si="14"/>
        <v>5.914285714285715E-5</v>
      </c>
      <c r="K48" s="10">
        <f t="shared" si="15"/>
        <v>5.914285714285715E-5</v>
      </c>
      <c r="L48" s="10">
        <f t="shared" si="16"/>
        <v>5.914285714285715E-5</v>
      </c>
      <c r="M48" s="10">
        <f t="shared" si="17"/>
        <v>1.1333333333333334E-5</v>
      </c>
      <c r="N48" s="10">
        <f t="shared" si="18"/>
        <v>1.1333333333333334E-5</v>
      </c>
      <c r="O48" s="10">
        <f t="shared" si="19"/>
        <v>7.3333333333333331E-6</v>
      </c>
      <c r="P48" s="11">
        <f>ROUND(Table323[[#This Row],[I4]]+(Table323[[#This Row],[I3]]+Table323[[#This Row],[I2]]+Table323[[#This Row],[I1]]+Table323[[#This Row],[I5]]+Table323[[#This Row],[I6]])*1000000, 0)</f>
        <v>196</v>
      </c>
      <c r="Q48" s="18" t="s">
        <v>21</v>
      </c>
      <c r="R48" s="11">
        <v>196</v>
      </c>
      <c r="S48" s="13">
        <f t="shared" si="24"/>
        <v>0</v>
      </c>
      <c r="U48" s="11">
        <v>192</v>
      </c>
      <c r="W48" s="6">
        <v>28</v>
      </c>
      <c r="X48" s="11">
        <f t="shared" si="20"/>
        <v>2</v>
      </c>
      <c r="AA48" s="13" t="str">
        <f t="shared" si="23"/>
        <v/>
      </c>
    </row>
    <row r="49" spans="2:27" ht="15" customHeight="1" x14ac:dyDescent="0.35">
      <c r="B49" s="6">
        <v>29</v>
      </c>
      <c r="C49" s="2" t="s">
        <v>20</v>
      </c>
      <c r="D49" s="6" t="str">
        <f t="shared" si="8"/>
        <v>0</v>
      </c>
      <c r="E49" s="6" t="str">
        <f t="shared" si="9"/>
        <v>1</v>
      </c>
      <c r="F49" s="6" t="str">
        <f t="shared" si="10"/>
        <v>1</v>
      </c>
      <c r="G49" s="6" t="str">
        <f t="shared" si="11"/>
        <v>1</v>
      </c>
      <c r="H49" s="6" t="str">
        <f t="shared" si="12"/>
        <v>0</v>
      </c>
      <c r="I49" s="6" t="str">
        <f t="shared" si="13"/>
        <v>1</v>
      </c>
      <c r="J49" s="10">
        <f t="shared" si="14"/>
        <v>8.7714285714285721E-5</v>
      </c>
      <c r="K49" s="10">
        <f t="shared" si="15"/>
        <v>6.5809523809523811E-5</v>
      </c>
      <c r="L49" s="10">
        <f t="shared" si="16"/>
        <v>6.5809523809523811E-5</v>
      </c>
      <c r="M49" s="10">
        <f t="shared" si="17"/>
        <v>1.8E-5</v>
      </c>
      <c r="N49" s="10">
        <f t="shared" si="18"/>
        <v>1.3333333333333333E-5</v>
      </c>
      <c r="O49" s="10">
        <f t="shared" si="19"/>
        <v>9.3333333333333326E-6</v>
      </c>
      <c r="P49" s="11">
        <f>ROUND(Table323[[#This Row],[I4]]+(Table323[[#This Row],[I3]]+Table323[[#This Row],[I2]]+Table323[[#This Row],[I1]]+Table323[[#This Row],[I5]]+Table323[[#This Row],[I6]])*1000000, 0)</f>
        <v>242</v>
      </c>
      <c r="Q49" s="18" t="s">
        <v>20</v>
      </c>
      <c r="R49" s="11">
        <v>242</v>
      </c>
      <c r="S49" s="13">
        <f t="shared" si="24"/>
        <v>0</v>
      </c>
      <c r="U49" s="11">
        <v>194</v>
      </c>
      <c r="W49" s="6">
        <v>29</v>
      </c>
      <c r="X49" s="11">
        <f t="shared" si="20"/>
        <v>2</v>
      </c>
      <c r="AA49" s="13" t="str">
        <f t="shared" si="23"/>
        <v/>
      </c>
    </row>
    <row r="50" spans="2:27" ht="15" customHeight="1" x14ac:dyDescent="0.35">
      <c r="B50" s="6">
        <v>30</v>
      </c>
      <c r="C50" s="2" t="s">
        <v>20</v>
      </c>
      <c r="D50" s="6" t="str">
        <f t="shared" si="8"/>
        <v>0</v>
      </c>
      <c r="E50" s="6" t="str">
        <f t="shared" si="9"/>
        <v>1</v>
      </c>
      <c r="F50" s="6" t="str">
        <f t="shared" si="10"/>
        <v>1</v>
      </c>
      <c r="G50" s="6" t="str">
        <f t="shared" si="11"/>
        <v>1</v>
      </c>
      <c r="H50" s="6" t="str">
        <f t="shared" si="12"/>
        <v>1</v>
      </c>
      <c r="I50" s="6" t="str">
        <f t="shared" si="13"/>
        <v>0</v>
      </c>
      <c r="J50" s="10">
        <f t="shared" si="14"/>
        <v>8.7714285714285721E-5</v>
      </c>
      <c r="K50" s="10">
        <f t="shared" si="15"/>
        <v>6.5809523809523811E-5</v>
      </c>
      <c r="L50" s="10">
        <f t="shared" si="16"/>
        <v>6.1142857142857144E-5</v>
      </c>
      <c r="M50" s="10">
        <f t="shared" si="17"/>
        <v>1.3333333333333333E-5</v>
      </c>
      <c r="N50" s="10">
        <f t="shared" si="18"/>
        <v>1.3333333333333333E-5</v>
      </c>
      <c r="O50" s="10">
        <f t="shared" si="19"/>
        <v>9.3333333333333326E-6</v>
      </c>
      <c r="P50" s="11">
        <f>ROUND(Table323[[#This Row],[I4]]+(Table323[[#This Row],[I3]]+Table323[[#This Row],[I2]]+Table323[[#This Row],[I1]]+Table323[[#This Row],[I5]]+Table323[[#This Row],[I6]])*1000000, 0)</f>
        <v>237</v>
      </c>
      <c r="Q50" s="18" t="s">
        <v>20</v>
      </c>
      <c r="R50" s="11">
        <v>237</v>
      </c>
      <c r="S50" s="13">
        <f t="shared" si="24"/>
        <v>0</v>
      </c>
      <c r="U50" s="11">
        <v>196</v>
      </c>
      <c r="W50" s="6">
        <v>30</v>
      </c>
      <c r="X50" s="11">
        <f t="shared" si="20"/>
        <v>3</v>
      </c>
      <c r="AA50" s="13" t="str">
        <f t="shared" si="23"/>
        <v/>
      </c>
    </row>
    <row r="51" spans="2:27" x14ac:dyDescent="0.35">
      <c r="B51" s="6">
        <v>31</v>
      </c>
      <c r="C51" s="2" t="s">
        <v>20</v>
      </c>
      <c r="D51" s="6" t="str">
        <f t="shared" si="8"/>
        <v>0</v>
      </c>
      <c r="E51" s="6" t="str">
        <f t="shared" si="9"/>
        <v>1</v>
      </c>
      <c r="F51" s="6" t="str">
        <f t="shared" si="10"/>
        <v>1</v>
      </c>
      <c r="G51" s="6" t="str">
        <f t="shared" si="11"/>
        <v>1</v>
      </c>
      <c r="H51" s="6" t="str">
        <f t="shared" si="12"/>
        <v>1</v>
      </c>
      <c r="I51" s="6" t="str">
        <f t="shared" si="13"/>
        <v>1</v>
      </c>
      <c r="J51" s="10">
        <f t="shared" si="14"/>
        <v>1.1628571428571429E-4</v>
      </c>
      <c r="K51" s="10">
        <f t="shared" si="15"/>
        <v>7.2476190476190473E-5</v>
      </c>
      <c r="L51" s="10">
        <f t="shared" si="16"/>
        <v>6.7809523809523806E-5</v>
      </c>
      <c r="M51" s="10">
        <f t="shared" si="17"/>
        <v>1.9999999999999998E-5</v>
      </c>
      <c r="N51" s="10">
        <f t="shared" si="18"/>
        <v>1.5333333333333334E-5</v>
      </c>
      <c r="O51" s="10">
        <f t="shared" si="19"/>
        <v>1.1333333333333332E-5</v>
      </c>
      <c r="P51" s="11">
        <f>ROUND(Table323[[#This Row],[I4]]+(Table323[[#This Row],[I3]]+Table323[[#This Row],[I2]]+Table323[[#This Row],[I1]]+Table323[[#This Row],[I5]]+Table323[[#This Row],[I6]])*1000000, 0)</f>
        <v>283</v>
      </c>
      <c r="Q51" s="18" t="s">
        <v>20</v>
      </c>
      <c r="R51" s="11">
        <v>283</v>
      </c>
      <c r="S51" s="13">
        <f t="shared" si="24"/>
        <v>0</v>
      </c>
      <c r="U51" s="11">
        <v>199</v>
      </c>
      <c r="W51" s="6">
        <v>31</v>
      </c>
      <c r="X51" s="11">
        <f t="shared" si="20"/>
        <v>28</v>
      </c>
      <c r="AA51" s="13" t="str">
        <f t="shared" si="23"/>
        <v/>
      </c>
    </row>
    <row r="52" spans="2:27" x14ac:dyDescent="0.35">
      <c r="B52" s="6">
        <v>32</v>
      </c>
      <c r="C52" s="2" t="s">
        <v>22</v>
      </c>
      <c r="D52" s="6" t="str">
        <f t="shared" ref="D52:D83" si="25">LEFT(RIGHT(DEC2BIN($B52,6),6),1)</f>
        <v>1</v>
      </c>
      <c r="E52" s="6" t="str">
        <f t="shared" ref="E52:E83" si="26">LEFT(RIGHT(DEC2BIN($B52,6),5),1)</f>
        <v>0</v>
      </c>
      <c r="F52" s="6" t="str">
        <f t="shared" ref="F52:F83" si="27">LEFT(RIGHT(DEC2BIN($B52,6),4),1)</f>
        <v>0</v>
      </c>
      <c r="G52" s="6" t="str">
        <f t="shared" ref="G52:G83" si="28">LEFT(RIGHT(DEC2BIN($B52,6),3),1)</f>
        <v>0</v>
      </c>
      <c r="H52" s="6" t="str">
        <f t="shared" ref="H52:H83" si="29">LEFT(RIGHT(DEC2BIN($B52,6),2),1)</f>
        <v>0</v>
      </c>
      <c r="I52" s="6" t="str">
        <f t="shared" ref="I52:I83" si="30">LEFT(RIGHT(DEC2BIN($B52,6),1),1)</f>
        <v>0</v>
      </c>
      <c r="J52" s="10">
        <f t="shared" ref="J52:J83" si="31">(($D52*$D$11)+($E52*$D$12)+($F52*$D$13)+($G52*$D$14)+($H52*$D$15)+($I52*$D$16))</f>
        <v>2.8571428571428574E-5</v>
      </c>
      <c r="K52" s="10">
        <f t="shared" ref="K52:K83" si="32">(($D52*$E$11)+($E52*$E$12)+($F52*$E$13)+($G52*$E$14)+($H52*$E$15)+($I52*$E$16))</f>
        <v>2.8571428571428574E-5</v>
      </c>
      <c r="L52" s="10">
        <f t="shared" ref="L52:L83" si="33">(($D52*$F$11)+($E52*$F$12)+($F52*$F$13)+($G52*$F$14)+($H52*$F$15)+($I52*$F$16))</f>
        <v>2.8571428571428574E-5</v>
      </c>
      <c r="M52" s="10">
        <f t="shared" ref="M52:M83" si="34">(($D52*$G$11)+($E52*$G$12)+($F52*$G$13)+($G52*$G$14)+($H52*$G$15)+($I52*$G$16))</f>
        <v>2.8571428571428574E-5</v>
      </c>
      <c r="N52" s="10">
        <f t="shared" ref="N52:N83" si="35">(($D52*$H$11)+($E52*$H$12)+($F52*$G$13)+($G52*$H$14)+($H52*$H$15)+($I52*$H$16))</f>
        <v>2.8571428571428574E-5</v>
      </c>
      <c r="O52" s="10">
        <f t="shared" ref="O52:O83" si="36">(($D52*$I$11)+($E52*$I$12)+($F52*$I$13)+($G52*$I$14)+($H52*$I$15)+($I52*$I$16))</f>
        <v>2.8571428571428574E-5</v>
      </c>
      <c r="P52" s="11">
        <f>ROUND(Table323[[#This Row],[I4]]+(Table323[[#This Row],[I3]]+Table323[[#This Row],[I2]]+Table323[[#This Row],[I1]]+Table323[[#This Row],[I5]]+Table323[[#This Row],[I6]])*1000000, 0)</f>
        <v>143</v>
      </c>
      <c r="Q52" s="18" t="s">
        <v>22</v>
      </c>
      <c r="R52" s="11">
        <v>143</v>
      </c>
      <c r="S52" s="13">
        <f t="shared" si="24"/>
        <v>0</v>
      </c>
      <c r="U52" s="11">
        <v>227</v>
      </c>
      <c r="W52" s="6">
        <v>32</v>
      </c>
      <c r="X52" s="11">
        <f t="shared" ref="X52:X83" si="37">IF(ISBLANK(U53),"",U53-U52)</f>
        <v>3</v>
      </c>
      <c r="AA52" s="13" t="str">
        <f t="shared" si="23"/>
        <v/>
      </c>
    </row>
    <row r="53" spans="2:27" x14ac:dyDescent="0.35">
      <c r="B53" s="6">
        <v>33</v>
      </c>
      <c r="C53" s="2" t="s">
        <v>22</v>
      </c>
      <c r="D53" s="6" t="str">
        <f t="shared" si="25"/>
        <v>1</v>
      </c>
      <c r="E53" s="6" t="str">
        <f t="shared" si="26"/>
        <v>0</v>
      </c>
      <c r="F53" s="6" t="str">
        <f t="shared" si="27"/>
        <v>0</v>
      </c>
      <c r="G53" s="6" t="str">
        <f t="shared" si="28"/>
        <v>0</v>
      </c>
      <c r="H53" s="6" t="str">
        <f t="shared" si="29"/>
        <v>0</v>
      </c>
      <c r="I53" s="6" t="str">
        <f t="shared" si="30"/>
        <v>1</v>
      </c>
      <c r="J53" s="10">
        <f t="shared" si="31"/>
        <v>5.7142857142857148E-5</v>
      </c>
      <c r="K53" s="10">
        <f t="shared" si="32"/>
        <v>3.5238095238095239E-5</v>
      </c>
      <c r="L53" s="10">
        <f t="shared" si="33"/>
        <v>3.5238095238095239E-5</v>
      </c>
      <c r="M53" s="10">
        <f t="shared" si="34"/>
        <v>3.5238095238095239E-5</v>
      </c>
      <c r="N53" s="10">
        <f t="shared" si="35"/>
        <v>3.0571428571428572E-5</v>
      </c>
      <c r="O53" s="10">
        <f t="shared" si="36"/>
        <v>3.0571428571428572E-5</v>
      </c>
      <c r="P53" s="11">
        <f>ROUND(Table323[[#This Row],[I4]]+(Table323[[#This Row],[I3]]+Table323[[#This Row],[I2]]+Table323[[#This Row],[I1]]+Table323[[#This Row],[I5]]+Table323[[#This Row],[I6]])*1000000, 0)</f>
        <v>189</v>
      </c>
      <c r="Q53" s="18" t="s">
        <v>22</v>
      </c>
      <c r="R53" s="11">
        <v>189</v>
      </c>
      <c r="S53" s="13">
        <f t="shared" si="24"/>
        <v>0</v>
      </c>
      <c r="U53" s="11">
        <v>230</v>
      </c>
      <c r="W53" s="6">
        <v>33</v>
      </c>
      <c r="X53" s="11">
        <f t="shared" si="37"/>
        <v>2</v>
      </c>
      <c r="AA53" s="13" t="str">
        <f t="shared" si="23"/>
        <v/>
      </c>
    </row>
    <row r="54" spans="2:27" x14ac:dyDescent="0.35">
      <c r="B54" s="6">
        <v>34</v>
      </c>
      <c r="C54" s="2" t="s">
        <v>22</v>
      </c>
      <c r="D54" s="6" t="str">
        <f t="shared" si="25"/>
        <v>1</v>
      </c>
      <c r="E54" s="6" t="str">
        <f t="shared" si="26"/>
        <v>0</v>
      </c>
      <c r="F54" s="6" t="str">
        <f t="shared" si="27"/>
        <v>0</v>
      </c>
      <c r="G54" s="6" t="str">
        <f t="shared" si="28"/>
        <v>0</v>
      </c>
      <c r="H54" s="6" t="str">
        <f t="shared" si="29"/>
        <v>1</v>
      </c>
      <c r="I54" s="6" t="str">
        <f t="shared" si="30"/>
        <v>0</v>
      </c>
      <c r="J54" s="10">
        <f t="shared" si="31"/>
        <v>5.7142857142857148E-5</v>
      </c>
      <c r="K54" s="10">
        <f t="shared" si="32"/>
        <v>3.5238095238095239E-5</v>
      </c>
      <c r="L54" s="10">
        <f t="shared" si="33"/>
        <v>3.0571428571428572E-5</v>
      </c>
      <c r="M54" s="10">
        <f t="shared" si="34"/>
        <v>3.0571428571428572E-5</v>
      </c>
      <c r="N54" s="10">
        <f t="shared" si="35"/>
        <v>3.0571428571428572E-5</v>
      </c>
      <c r="O54" s="10">
        <f t="shared" si="36"/>
        <v>3.0571428571428572E-5</v>
      </c>
      <c r="P54" s="11">
        <f>ROUND(Table323[[#This Row],[I4]]+(Table323[[#This Row],[I3]]+Table323[[#This Row],[I2]]+Table323[[#This Row],[I1]]+Table323[[#This Row],[I5]]+Table323[[#This Row],[I6]])*1000000, 0)</f>
        <v>184</v>
      </c>
      <c r="Q54" s="18" t="s">
        <v>22</v>
      </c>
      <c r="R54" s="11">
        <v>184</v>
      </c>
      <c r="S54" s="13">
        <f t="shared" si="24"/>
        <v>0</v>
      </c>
      <c r="U54" s="11">
        <v>232</v>
      </c>
      <c r="W54" s="6">
        <v>34</v>
      </c>
      <c r="X54" s="11">
        <f t="shared" si="37"/>
        <v>2</v>
      </c>
      <c r="AA54" s="13" t="str">
        <f t="shared" si="23"/>
        <v/>
      </c>
    </row>
    <row r="55" spans="2:27" x14ac:dyDescent="0.35">
      <c r="B55" s="6">
        <v>35</v>
      </c>
      <c r="C55" s="2" t="s">
        <v>22</v>
      </c>
      <c r="D55" s="6" t="str">
        <f t="shared" si="25"/>
        <v>1</v>
      </c>
      <c r="E55" s="6" t="str">
        <f t="shared" si="26"/>
        <v>0</v>
      </c>
      <c r="F55" s="6" t="str">
        <f t="shared" si="27"/>
        <v>0</v>
      </c>
      <c r="G55" s="6" t="str">
        <f t="shared" si="28"/>
        <v>0</v>
      </c>
      <c r="H55" s="6" t="str">
        <f t="shared" si="29"/>
        <v>1</v>
      </c>
      <c r="I55" s="6" t="str">
        <f t="shared" si="30"/>
        <v>1</v>
      </c>
      <c r="J55" s="10">
        <f t="shared" si="31"/>
        <v>8.5714285714285726E-5</v>
      </c>
      <c r="K55" s="10">
        <f t="shared" si="32"/>
        <v>4.1904761904761908E-5</v>
      </c>
      <c r="L55" s="10">
        <f t="shared" si="33"/>
        <v>3.723809523809524E-5</v>
      </c>
      <c r="M55" s="10">
        <f t="shared" si="34"/>
        <v>3.723809523809524E-5</v>
      </c>
      <c r="N55" s="10">
        <f t="shared" si="35"/>
        <v>3.2571428571428573E-5</v>
      </c>
      <c r="O55" s="10">
        <f t="shared" si="36"/>
        <v>3.2571428571428573E-5</v>
      </c>
      <c r="P55" s="11">
        <f>ROUND(Table323[[#This Row],[I4]]+(Table323[[#This Row],[I3]]+Table323[[#This Row],[I2]]+Table323[[#This Row],[I1]]+Table323[[#This Row],[I5]]+Table323[[#This Row],[I6]])*1000000, 0)</f>
        <v>230</v>
      </c>
      <c r="Q55" s="18" t="s">
        <v>22</v>
      </c>
      <c r="R55" s="11">
        <v>230</v>
      </c>
      <c r="S55" s="13">
        <f t="shared" si="24"/>
        <v>0</v>
      </c>
      <c r="U55" s="11">
        <v>234</v>
      </c>
      <c r="W55" s="6">
        <v>35</v>
      </c>
      <c r="X55" s="11">
        <f t="shared" si="37"/>
        <v>3</v>
      </c>
      <c r="AA55" s="13" t="str">
        <f t="shared" si="23"/>
        <v/>
      </c>
    </row>
    <row r="56" spans="2:27" x14ac:dyDescent="0.35">
      <c r="B56" s="6">
        <v>36</v>
      </c>
      <c r="C56" s="2" t="s">
        <v>22</v>
      </c>
      <c r="D56" s="6" t="str">
        <f t="shared" si="25"/>
        <v>1</v>
      </c>
      <c r="E56" s="6" t="str">
        <f t="shared" si="26"/>
        <v>0</v>
      </c>
      <c r="F56" s="6" t="str">
        <f t="shared" si="27"/>
        <v>0</v>
      </c>
      <c r="G56" s="6" t="str">
        <f t="shared" si="28"/>
        <v>1</v>
      </c>
      <c r="H56" s="6" t="str">
        <f t="shared" si="29"/>
        <v>0</v>
      </c>
      <c r="I56" s="6" t="str">
        <f t="shared" si="30"/>
        <v>0</v>
      </c>
      <c r="J56" s="10">
        <f t="shared" si="31"/>
        <v>3.0571428571428572E-5</v>
      </c>
      <c r="K56" s="10">
        <f t="shared" si="32"/>
        <v>3.0571428571428572E-5</v>
      </c>
      <c r="L56" s="10">
        <f t="shared" si="33"/>
        <v>3.0571428571428572E-5</v>
      </c>
      <c r="M56" s="10">
        <f t="shared" si="34"/>
        <v>3.0571428571428572E-5</v>
      </c>
      <c r="N56" s="10">
        <f t="shared" si="35"/>
        <v>3.0571428571428572E-5</v>
      </c>
      <c r="O56" s="10">
        <f t="shared" si="36"/>
        <v>3.0571428571428572E-5</v>
      </c>
      <c r="P56" s="11">
        <f>ROUND(Table323[[#This Row],[I4]]+(Table323[[#This Row],[I3]]+Table323[[#This Row],[I2]]+Table323[[#This Row],[I1]]+Table323[[#This Row],[I5]]+Table323[[#This Row],[I6]])*1000000, 0)</f>
        <v>153</v>
      </c>
      <c r="Q56" s="18" t="s">
        <v>22</v>
      </c>
      <c r="R56" s="11">
        <v>153</v>
      </c>
      <c r="S56" s="13">
        <f t="shared" si="24"/>
        <v>0</v>
      </c>
      <c r="U56" s="11">
        <v>237</v>
      </c>
      <c r="W56" s="6">
        <v>36</v>
      </c>
      <c r="X56" s="11">
        <f t="shared" si="37"/>
        <v>1</v>
      </c>
      <c r="AA56" s="13" t="str">
        <f t="shared" si="23"/>
        <v/>
      </c>
    </row>
    <row r="57" spans="2:27" x14ac:dyDescent="0.35">
      <c r="B57" s="6">
        <v>37</v>
      </c>
      <c r="C57" s="2" t="s">
        <v>22</v>
      </c>
      <c r="D57" s="6" t="str">
        <f t="shared" si="25"/>
        <v>1</v>
      </c>
      <c r="E57" s="6" t="str">
        <f t="shared" si="26"/>
        <v>0</v>
      </c>
      <c r="F57" s="6" t="str">
        <f t="shared" si="27"/>
        <v>0</v>
      </c>
      <c r="G57" s="6" t="str">
        <f t="shared" si="28"/>
        <v>1</v>
      </c>
      <c r="H57" s="6" t="str">
        <f t="shared" si="29"/>
        <v>0</v>
      </c>
      <c r="I57" s="6" t="str">
        <f t="shared" si="30"/>
        <v>1</v>
      </c>
      <c r="J57" s="10">
        <f t="shared" si="31"/>
        <v>5.914285714285715E-5</v>
      </c>
      <c r="K57" s="10">
        <f t="shared" si="32"/>
        <v>3.723809523809524E-5</v>
      </c>
      <c r="L57" s="10">
        <f t="shared" si="33"/>
        <v>3.723809523809524E-5</v>
      </c>
      <c r="M57" s="10">
        <f t="shared" si="34"/>
        <v>3.723809523809524E-5</v>
      </c>
      <c r="N57" s="10">
        <f t="shared" si="35"/>
        <v>3.2571428571428573E-5</v>
      </c>
      <c r="O57" s="10">
        <f t="shared" si="36"/>
        <v>3.2571428571428573E-5</v>
      </c>
      <c r="P57" s="11">
        <f>ROUND(Table323[[#This Row],[I4]]+(Table323[[#This Row],[I3]]+Table323[[#This Row],[I2]]+Table323[[#This Row],[I1]]+Table323[[#This Row],[I5]]+Table323[[#This Row],[I6]])*1000000, 0)</f>
        <v>199</v>
      </c>
      <c r="Q57" s="18" t="s">
        <v>22</v>
      </c>
      <c r="R57" s="11">
        <v>199</v>
      </c>
      <c r="S57" s="13">
        <f t="shared" si="24"/>
        <v>0</v>
      </c>
      <c r="U57" s="11">
        <v>238</v>
      </c>
      <c r="W57" s="6">
        <v>37</v>
      </c>
      <c r="X57" s="11">
        <f t="shared" si="37"/>
        <v>2</v>
      </c>
      <c r="AA57" s="13" t="str">
        <f t="shared" si="23"/>
        <v/>
      </c>
    </row>
    <row r="58" spans="2:27" x14ac:dyDescent="0.35">
      <c r="B58" s="6">
        <v>38</v>
      </c>
      <c r="C58" s="2" t="s">
        <v>22</v>
      </c>
      <c r="D58" s="6" t="str">
        <f t="shared" si="25"/>
        <v>1</v>
      </c>
      <c r="E58" s="6" t="str">
        <f t="shared" si="26"/>
        <v>0</v>
      </c>
      <c r="F58" s="6" t="str">
        <f t="shared" si="27"/>
        <v>0</v>
      </c>
      <c r="G58" s="6" t="str">
        <f t="shared" si="28"/>
        <v>1</v>
      </c>
      <c r="H58" s="6" t="str">
        <f t="shared" si="29"/>
        <v>1</v>
      </c>
      <c r="I58" s="6" t="str">
        <f t="shared" si="30"/>
        <v>0</v>
      </c>
      <c r="J58" s="10">
        <f t="shared" si="31"/>
        <v>5.914285714285715E-5</v>
      </c>
      <c r="K58" s="10">
        <f t="shared" si="32"/>
        <v>3.723809523809524E-5</v>
      </c>
      <c r="L58" s="10">
        <f t="shared" si="33"/>
        <v>3.2571428571428573E-5</v>
      </c>
      <c r="M58" s="10">
        <f t="shared" si="34"/>
        <v>3.2571428571428573E-5</v>
      </c>
      <c r="N58" s="10">
        <f t="shared" si="35"/>
        <v>3.2571428571428573E-5</v>
      </c>
      <c r="O58" s="10">
        <f t="shared" si="36"/>
        <v>3.2571428571428573E-5</v>
      </c>
      <c r="P58" s="11">
        <f>ROUND(Table323[[#This Row],[I4]]+(Table323[[#This Row],[I3]]+Table323[[#This Row],[I2]]+Table323[[#This Row],[I1]]+Table323[[#This Row],[I5]]+Table323[[#This Row],[I6]])*1000000, 0)</f>
        <v>194</v>
      </c>
      <c r="Q58" s="18" t="s">
        <v>22</v>
      </c>
      <c r="R58" s="11">
        <v>194</v>
      </c>
      <c r="S58" s="13">
        <f t="shared" si="24"/>
        <v>0</v>
      </c>
      <c r="U58" s="11">
        <v>240</v>
      </c>
      <c r="W58" s="6">
        <v>38</v>
      </c>
      <c r="X58" s="11">
        <f t="shared" si="37"/>
        <v>2</v>
      </c>
      <c r="AA58" s="13" t="str">
        <f t="shared" si="23"/>
        <v/>
      </c>
    </row>
    <row r="59" spans="2:27" x14ac:dyDescent="0.35">
      <c r="B59" s="6">
        <v>39</v>
      </c>
      <c r="C59" s="2" t="s">
        <v>22</v>
      </c>
      <c r="D59" s="6" t="str">
        <f t="shared" si="25"/>
        <v>1</v>
      </c>
      <c r="E59" s="6" t="str">
        <f t="shared" si="26"/>
        <v>0</v>
      </c>
      <c r="F59" s="6" t="str">
        <f t="shared" si="27"/>
        <v>0</v>
      </c>
      <c r="G59" s="6" t="str">
        <f t="shared" si="28"/>
        <v>1</v>
      </c>
      <c r="H59" s="6" t="str">
        <f t="shared" si="29"/>
        <v>1</v>
      </c>
      <c r="I59" s="6" t="str">
        <f t="shared" si="30"/>
        <v>1</v>
      </c>
      <c r="J59" s="10">
        <f t="shared" si="31"/>
        <v>8.7714285714285721E-5</v>
      </c>
      <c r="K59" s="10">
        <f t="shared" si="32"/>
        <v>4.3904761904761909E-5</v>
      </c>
      <c r="L59" s="10">
        <f t="shared" si="33"/>
        <v>3.9238095238095242E-5</v>
      </c>
      <c r="M59" s="10">
        <f t="shared" si="34"/>
        <v>3.9238095238095242E-5</v>
      </c>
      <c r="N59" s="10">
        <f t="shared" si="35"/>
        <v>3.4571428571428574E-5</v>
      </c>
      <c r="O59" s="10">
        <f t="shared" si="36"/>
        <v>3.4571428571428574E-5</v>
      </c>
      <c r="P59" s="11">
        <f>ROUND(Table323[[#This Row],[I4]]+(Table323[[#This Row],[I3]]+Table323[[#This Row],[I2]]+Table323[[#This Row],[I1]]+Table323[[#This Row],[I5]]+Table323[[#This Row],[I6]])*1000000, 0)</f>
        <v>240</v>
      </c>
      <c r="Q59" s="18" t="s">
        <v>22</v>
      </c>
      <c r="R59" s="11">
        <v>240</v>
      </c>
      <c r="S59" s="13">
        <f t="shared" si="24"/>
        <v>0</v>
      </c>
      <c r="U59" s="11">
        <v>242</v>
      </c>
      <c r="W59" s="6">
        <v>39</v>
      </c>
      <c r="X59" s="11">
        <f t="shared" si="37"/>
        <v>2</v>
      </c>
      <c r="AA59" s="13" t="str">
        <f t="shared" si="23"/>
        <v/>
      </c>
    </row>
    <row r="60" spans="2:27" x14ac:dyDescent="0.35">
      <c r="B60" s="6">
        <v>40</v>
      </c>
      <c r="C60" s="2" t="s">
        <v>22</v>
      </c>
      <c r="D60" s="6" t="str">
        <f t="shared" si="25"/>
        <v>1</v>
      </c>
      <c r="E60" s="6" t="str">
        <f t="shared" si="26"/>
        <v>0</v>
      </c>
      <c r="F60" s="6" t="str">
        <f t="shared" si="27"/>
        <v>1</v>
      </c>
      <c r="G60" s="6" t="str">
        <f t="shared" si="28"/>
        <v>0</v>
      </c>
      <c r="H60" s="6" t="str">
        <f t="shared" si="29"/>
        <v>0</v>
      </c>
      <c r="I60" s="6" t="str">
        <f t="shared" si="30"/>
        <v>0</v>
      </c>
      <c r="J60" s="10">
        <f t="shared" si="31"/>
        <v>5.7142857142857148E-5</v>
      </c>
      <c r="K60" s="10">
        <f t="shared" si="32"/>
        <v>5.7142857142857148E-5</v>
      </c>
      <c r="L60" s="10">
        <f t="shared" si="33"/>
        <v>5.7142857142857148E-5</v>
      </c>
      <c r="M60" s="10">
        <f t="shared" si="34"/>
        <v>3.1238095238095244E-5</v>
      </c>
      <c r="N60" s="10">
        <f t="shared" si="35"/>
        <v>3.1238095238095244E-5</v>
      </c>
      <c r="O60" s="10">
        <f t="shared" si="36"/>
        <v>3.1238095238095244E-5</v>
      </c>
      <c r="P60" s="11">
        <f>ROUND(Table323[[#This Row],[I4]]+(Table323[[#This Row],[I3]]+Table323[[#This Row],[I2]]+Table323[[#This Row],[I1]]+Table323[[#This Row],[I5]]+Table323[[#This Row],[I6]])*1000000, 0)</f>
        <v>234</v>
      </c>
      <c r="Q60" s="18" t="s">
        <v>22</v>
      </c>
      <c r="R60" s="11">
        <v>234</v>
      </c>
      <c r="S60" s="13">
        <f t="shared" si="24"/>
        <v>0</v>
      </c>
      <c r="U60" s="11">
        <v>244</v>
      </c>
      <c r="W60" s="6">
        <v>40</v>
      </c>
      <c r="X60" s="11">
        <f t="shared" si="37"/>
        <v>4</v>
      </c>
      <c r="AA60" s="13" t="str">
        <f t="shared" si="23"/>
        <v/>
      </c>
    </row>
    <row r="61" spans="2:27" x14ac:dyDescent="0.35">
      <c r="B61" s="6">
        <v>41</v>
      </c>
      <c r="C61" s="2" t="s">
        <v>22</v>
      </c>
      <c r="D61" s="6" t="str">
        <f t="shared" si="25"/>
        <v>1</v>
      </c>
      <c r="E61" s="6" t="str">
        <f t="shared" si="26"/>
        <v>0</v>
      </c>
      <c r="F61" s="6" t="str">
        <f t="shared" si="27"/>
        <v>1</v>
      </c>
      <c r="G61" s="6" t="str">
        <f t="shared" si="28"/>
        <v>0</v>
      </c>
      <c r="H61" s="6" t="str">
        <f t="shared" si="29"/>
        <v>0</v>
      </c>
      <c r="I61" s="6" t="str">
        <f t="shared" si="30"/>
        <v>1</v>
      </c>
      <c r="J61" s="10">
        <f t="shared" si="31"/>
        <v>8.5714285714285726E-5</v>
      </c>
      <c r="K61" s="10">
        <f t="shared" si="32"/>
        <v>6.3809523809523817E-5</v>
      </c>
      <c r="L61" s="10">
        <f t="shared" si="33"/>
        <v>6.3809523809523817E-5</v>
      </c>
      <c r="M61" s="10">
        <f t="shared" si="34"/>
        <v>3.7904761904761912E-5</v>
      </c>
      <c r="N61" s="10">
        <f t="shared" si="35"/>
        <v>3.3238095238095245E-5</v>
      </c>
      <c r="O61" s="10">
        <f t="shared" si="36"/>
        <v>3.3238095238095245E-5</v>
      </c>
      <c r="P61" s="11">
        <f>ROUND(Table323[[#This Row],[I4]]+(Table323[[#This Row],[I3]]+Table323[[#This Row],[I2]]+Table323[[#This Row],[I1]]+Table323[[#This Row],[I5]]+Table323[[#This Row],[I6]])*1000000, 0)</f>
        <v>280</v>
      </c>
      <c r="Q61" s="18" t="s">
        <v>22</v>
      </c>
      <c r="R61" s="11">
        <v>280</v>
      </c>
      <c r="S61" s="13">
        <f t="shared" si="24"/>
        <v>0</v>
      </c>
      <c r="U61" s="11">
        <v>248</v>
      </c>
      <c r="W61" s="6">
        <v>41</v>
      </c>
      <c r="X61" s="11">
        <f t="shared" si="37"/>
        <v>25</v>
      </c>
      <c r="AA61" s="13" t="str">
        <f t="shared" si="23"/>
        <v/>
      </c>
    </row>
    <row r="62" spans="2:27" x14ac:dyDescent="0.35">
      <c r="B62" s="6">
        <v>42</v>
      </c>
      <c r="C62" s="2" t="s">
        <v>22</v>
      </c>
      <c r="D62" s="6" t="str">
        <f t="shared" si="25"/>
        <v>1</v>
      </c>
      <c r="E62" s="6" t="str">
        <f t="shared" si="26"/>
        <v>0</v>
      </c>
      <c r="F62" s="6" t="str">
        <f t="shared" si="27"/>
        <v>1</v>
      </c>
      <c r="G62" s="6" t="str">
        <f t="shared" si="28"/>
        <v>0</v>
      </c>
      <c r="H62" s="6" t="str">
        <f t="shared" si="29"/>
        <v>1</v>
      </c>
      <c r="I62" s="6" t="str">
        <f t="shared" si="30"/>
        <v>0</v>
      </c>
      <c r="J62" s="10">
        <f t="shared" si="31"/>
        <v>8.5714285714285726E-5</v>
      </c>
      <c r="K62" s="10">
        <f t="shared" si="32"/>
        <v>6.3809523809523817E-5</v>
      </c>
      <c r="L62" s="10">
        <f t="shared" si="33"/>
        <v>5.914285714285715E-5</v>
      </c>
      <c r="M62" s="10">
        <f t="shared" si="34"/>
        <v>3.3238095238095245E-5</v>
      </c>
      <c r="N62" s="10">
        <f t="shared" si="35"/>
        <v>3.3238095238095245E-5</v>
      </c>
      <c r="O62" s="10">
        <f t="shared" si="36"/>
        <v>3.3238095238095245E-5</v>
      </c>
      <c r="P62" s="11">
        <f>ROUND(Table323[[#This Row],[I4]]+(Table323[[#This Row],[I3]]+Table323[[#This Row],[I2]]+Table323[[#This Row],[I1]]+Table323[[#This Row],[I5]]+Table323[[#This Row],[I6]])*1000000, 0)</f>
        <v>275</v>
      </c>
      <c r="Q62" s="18" t="s">
        <v>22</v>
      </c>
      <c r="R62" s="11">
        <v>275</v>
      </c>
      <c r="S62" s="13">
        <f t="shared" si="24"/>
        <v>0</v>
      </c>
      <c r="U62" s="11">
        <v>273</v>
      </c>
      <c r="W62" s="6">
        <v>42</v>
      </c>
      <c r="X62" s="11">
        <f t="shared" si="37"/>
        <v>2</v>
      </c>
      <c r="AA62" s="13" t="str">
        <f t="shared" si="23"/>
        <v/>
      </c>
    </row>
    <row r="63" spans="2:27" x14ac:dyDescent="0.35">
      <c r="B63" s="6">
        <v>43</v>
      </c>
      <c r="C63" s="2" t="s">
        <v>22</v>
      </c>
      <c r="D63" s="6" t="str">
        <f t="shared" si="25"/>
        <v>1</v>
      </c>
      <c r="E63" s="6" t="str">
        <f t="shared" si="26"/>
        <v>0</v>
      </c>
      <c r="F63" s="6" t="str">
        <f t="shared" si="27"/>
        <v>1</v>
      </c>
      <c r="G63" s="6" t="str">
        <f t="shared" si="28"/>
        <v>0</v>
      </c>
      <c r="H63" s="6" t="str">
        <f t="shared" si="29"/>
        <v>1</v>
      </c>
      <c r="I63" s="6" t="str">
        <f t="shared" si="30"/>
        <v>1</v>
      </c>
      <c r="J63" s="10">
        <f t="shared" si="31"/>
        <v>1.142857142857143E-4</v>
      </c>
      <c r="K63" s="10">
        <f t="shared" si="32"/>
        <v>7.0476190476190478E-5</v>
      </c>
      <c r="L63" s="10">
        <f t="shared" si="33"/>
        <v>6.5809523809523811E-5</v>
      </c>
      <c r="M63" s="10">
        <f t="shared" si="34"/>
        <v>3.9904761904761913E-5</v>
      </c>
      <c r="N63" s="10">
        <f t="shared" si="35"/>
        <v>3.5238095238095246E-5</v>
      </c>
      <c r="O63" s="10">
        <f t="shared" si="36"/>
        <v>3.5238095238095246E-5</v>
      </c>
      <c r="P63" s="11">
        <f>ROUND(Table323[[#This Row],[I4]]+(Table323[[#This Row],[I3]]+Table323[[#This Row],[I2]]+Table323[[#This Row],[I1]]+Table323[[#This Row],[I5]]+Table323[[#This Row],[I6]])*1000000, 0)</f>
        <v>321</v>
      </c>
      <c r="Q63" s="18" t="s">
        <v>22</v>
      </c>
      <c r="R63" s="11">
        <v>321</v>
      </c>
      <c r="S63" s="13">
        <f t="shared" si="24"/>
        <v>0</v>
      </c>
      <c r="U63" s="11">
        <v>275</v>
      </c>
      <c r="W63" s="6">
        <v>43</v>
      </c>
      <c r="X63" s="11">
        <f t="shared" si="37"/>
        <v>4</v>
      </c>
      <c r="AA63" s="13" t="str">
        <f t="shared" si="23"/>
        <v/>
      </c>
    </row>
    <row r="64" spans="2:27" x14ac:dyDescent="0.35">
      <c r="B64" s="6">
        <v>44</v>
      </c>
      <c r="C64" s="2" t="s">
        <v>22</v>
      </c>
      <c r="D64" s="6" t="str">
        <f t="shared" si="25"/>
        <v>1</v>
      </c>
      <c r="E64" s="6" t="str">
        <f t="shared" si="26"/>
        <v>0</v>
      </c>
      <c r="F64" s="6" t="str">
        <f t="shared" si="27"/>
        <v>1</v>
      </c>
      <c r="G64" s="6" t="str">
        <f t="shared" si="28"/>
        <v>1</v>
      </c>
      <c r="H64" s="6" t="str">
        <f t="shared" si="29"/>
        <v>0</v>
      </c>
      <c r="I64" s="6" t="str">
        <f t="shared" si="30"/>
        <v>0</v>
      </c>
      <c r="J64" s="10">
        <f t="shared" si="31"/>
        <v>5.914285714285715E-5</v>
      </c>
      <c r="K64" s="10">
        <f t="shared" si="32"/>
        <v>5.914285714285715E-5</v>
      </c>
      <c r="L64" s="10">
        <f t="shared" si="33"/>
        <v>5.914285714285715E-5</v>
      </c>
      <c r="M64" s="10">
        <f t="shared" si="34"/>
        <v>3.3238095238095245E-5</v>
      </c>
      <c r="N64" s="10">
        <f t="shared" si="35"/>
        <v>3.3238095238095245E-5</v>
      </c>
      <c r="O64" s="10">
        <f t="shared" si="36"/>
        <v>3.3238095238095245E-5</v>
      </c>
      <c r="P64" s="11">
        <f>ROUND(Table323[[#This Row],[I4]]+(Table323[[#This Row],[I3]]+Table323[[#This Row],[I2]]+Table323[[#This Row],[I1]]+Table323[[#This Row],[I5]]+Table323[[#This Row],[I6]])*1000000, 0)</f>
        <v>244</v>
      </c>
      <c r="Q64" s="18" t="s">
        <v>22</v>
      </c>
      <c r="R64" s="11">
        <v>244</v>
      </c>
      <c r="S64" s="13">
        <f t="shared" si="24"/>
        <v>0</v>
      </c>
      <c r="U64" s="11">
        <v>279</v>
      </c>
      <c r="W64" s="6">
        <v>44</v>
      </c>
      <c r="X64" s="11">
        <f t="shared" si="37"/>
        <v>1</v>
      </c>
      <c r="AA64" s="13" t="str">
        <f t="shared" si="23"/>
        <v/>
      </c>
    </row>
    <row r="65" spans="2:27" x14ac:dyDescent="0.35">
      <c r="B65" s="6">
        <v>45</v>
      </c>
      <c r="C65" s="2" t="s">
        <v>22</v>
      </c>
      <c r="D65" s="6" t="str">
        <f t="shared" si="25"/>
        <v>1</v>
      </c>
      <c r="E65" s="6" t="str">
        <f t="shared" si="26"/>
        <v>0</v>
      </c>
      <c r="F65" s="6" t="str">
        <f t="shared" si="27"/>
        <v>1</v>
      </c>
      <c r="G65" s="6" t="str">
        <f t="shared" si="28"/>
        <v>1</v>
      </c>
      <c r="H65" s="6" t="str">
        <f t="shared" si="29"/>
        <v>0</v>
      </c>
      <c r="I65" s="6" t="str">
        <f t="shared" si="30"/>
        <v>1</v>
      </c>
      <c r="J65" s="10">
        <f t="shared" si="31"/>
        <v>8.7714285714285721E-5</v>
      </c>
      <c r="K65" s="10">
        <f t="shared" si="32"/>
        <v>6.5809523809523811E-5</v>
      </c>
      <c r="L65" s="10">
        <f t="shared" si="33"/>
        <v>6.5809523809523811E-5</v>
      </c>
      <c r="M65" s="10">
        <f t="shared" si="34"/>
        <v>3.9904761904761913E-5</v>
      </c>
      <c r="N65" s="10">
        <f t="shared" si="35"/>
        <v>3.5238095238095246E-5</v>
      </c>
      <c r="O65" s="10">
        <f t="shared" si="36"/>
        <v>3.5238095238095246E-5</v>
      </c>
      <c r="P65" s="11">
        <f>ROUND(Table323[[#This Row],[I4]]+(Table323[[#This Row],[I3]]+Table323[[#This Row],[I2]]+Table323[[#This Row],[I1]]+Table323[[#This Row],[I5]]+Table323[[#This Row],[I6]])*1000000, 0)</f>
        <v>290</v>
      </c>
      <c r="Q65" s="18" t="s">
        <v>22</v>
      </c>
      <c r="R65" s="11">
        <v>290</v>
      </c>
      <c r="S65" s="13">
        <f t="shared" si="24"/>
        <v>0</v>
      </c>
      <c r="U65" s="11">
        <v>280</v>
      </c>
      <c r="W65" s="6">
        <v>45</v>
      </c>
      <c r="X65" s="11">
        <f t="shared" si="37"/>
        <v>3</v>
      </c>
      <c r="AA65" s="13" t="str">
        <f t="shared" si="23"/>
        <v/>
      </c>
    </row>
    <row r="66" spans="2:27" x14ac:dyDescent="0.35">
      <c r="B66" s="6">
        <v>46</v>
      </c>
      <c r="C66" s="2" t="s">
        <v>22</v>
      </c>
      <c r="D66" s="6" t="str">
        <f t="shared" si="25"/>
        <v>1</v>
      </c>
      <c r="E66" s="6" t="str">
        <f t="shared" si="26"/>
        <v>0</v>
      </c>
      <c r="F66" s="6" t="str">
        <f t="shared" si="27"/>
        <v>1</v>
      </c>
      <c r="G66" s="6" t="str">
        <f t="shared" si="28"/>
        <v>1</v>
      </c>
      <c r="H66" s="6" t="str">
        <f t="shared" si="29"/>
        <v>1</v>
      </c>
      <c r="I66" s="6" t="str">
        <f t="shared" si="30"/>
        <v>0</v>
      </c>
      <c r="J66" s="10">
        <f t="shared" si="31"/>
        <v>8.7714285714285721E-5</v>
      </c>
      <c r="K66" s="10">
        <f t="shared" si="32"/>
        <v>6.5809523809523811E-5</v>
      </c>
      <c r="L66" s="10">
        <f t="shared" si="33"/>
        <v>6.1142857142857144E-5</v>
      </c>
      <c r="M66" s="10">
        <f t="shared" si="34"/>
        <v>3.5238095238095246E-5</v>
      </c>
      <c r="N66" s="10">
        <f t="shared" si="35"/>
        <v>3.5238095238095246E-5</v>
      </c>
      <c r="O66" s="10">
        <f t="shared" si="36"/>
        <v>3.5238095238095246E-5</v>
      </c>
      <c r="P66" s="11">
        <f>ROUND(Table323[[#This Row],[I4]]+(Table323[[#This Row],[I3]]+Table323[[#This Row],[I2]]+Table323[[#This Row],[I1]]+Table323[[#This Row],[I5]]+Table323[[#This Row],[I6]])*1000000, 0)</f>
        <v>285</v>
      </c>
      <c r="Q66" s="18" t="s">
        <v>22</v>
      </c>
      <c r="R66" s="11">
        <v>285</v>
      </c>
      <c r="S66" s="13">
        <f t="shared" si="24"/>
        <v>0</v>
      </c>
      <c r="U66" s="11">
        <v>283</v>
      </c>
      <c r="W66" s="6">
        <v>46</v>
      </c>
      <c r="X66" s="11">
        <f t="shared" si="37"/>
        <v>1</v>
      </c>
      <c r="AA66" s="13" t="str">
        <f t="shared" si="23"/>
        <v/>
      </c>
    </row>
    <row r="67" spans="2:27" x14ac:dyDescent="0.35">
      <c r="B67" s="6">
        <v>47</v>
      </c>
      <c r="C67" s="2" t="s">
        <v>22</v>
      </c>
      <c r="D67" s="6" t="str">
        <f t="shared" si="25"/>
        <v>1</v>
      </c>
      <c r="E67" s="6" t="str">
        <f t="shared" si="26"/>
        <v>0</v>
      </c>
      <c r="F67" s="6" t="str">
        <f t="shared" si="27"/>
        <v>1</v>
      </c>
      <c r="G67" s="6" t="str">
        <f t="shared" si="28"/>
        <v>1</v>
      </c>
      <c r="H67" s="6" t="str">
        <f t="shared" si="29"/>
        <v>1</v>
      </c>
      <c r="I67" s="6" t="str">
        <f t="shared" si="30"/>
        <v>1</v>
      </c>
      <c r="J67" s="10">
        <f t="shared" si="31"/>
        <v>1.1628571428571429E-4</v>
      </c>
      <c r="K67" s="10">
        <f t="shared" si="32"/>
        <v>7.2476190476190473E-5</v>
      </c>
      <c r="L67" s="10">
        <f t="shared" si="33"/>
        <v>6.7809523809523806E-5</v>
      </c>
      <c r="M67" s="10">
        <f t="shared" si="34"/>
        <v>4.1904761904761914E-5</v>
      </c>
      <c r="N67" s="10">
        <f t="shared" si="35"/>
        <v>3.7238095238095247E-5</v>
      </c>
      <c r="O67" s="10">
        <f t="shared" si="36"/>
        <v>3.7238095238095247E-5</v>
      </c>
      <c r="P67" s="11">
        <f>ROUND(Table323[[#This Row],[I4]]+(Table323[[#This Row],[I3]]+Table323[[#This Row],[I2]]+Table323[[#This Row],[I1]]+Table323[[#This Row],[I5]]+Table323[[#This Row],[I6]])*1000000, 0)</f>
        <v>331</v>
      </c>
      <c r="Q67" s="18" t="s">
        <v>22</v>
      </c>
      <c r="R67" s="11">
        <v>331</v>
      </c>
      <c r="S67" s="13">
        <f t="shared" si="24"/>
        <v>0</v>
      </c>
      <c r="U67" s="11">
        <v>284</v>
      </c>
      <c r="W67" s="6">
        <v>47</v>
      </c>
      <c r="X67" s="11">
        <f t="shared" si="37"/>
        <v>1</v>
      </c>
      <c r="AA67" s="13" t="str">
        <f t="shared" si="23"/>
        <v/>
      </c>
    </row>
    <row r="68" spans="2:27" x14ac:dyDescent="0.35">
      <c r="B68" s="6">
        <v>48</v>
      </c>
      <c r="C68" s="2" t="s">
        <v>22</v>
      </c>
      <c r="D68" s="6" t="str">
        <f t="shared" si="25"/>
        <v>1</v>
      </c>
      <c r="E68" s="6" t="str">
        <f t="shared" si="26"/>
        <v>1</v>
      </c>
      <c r="F68" s="6" t="str">
        <f t="shared" si="27"/>
        <v>0</v>
      </c>
      <c r="G68" s="6" t="str">
        <f t="shared" si="28"/>
        <v>0</v>
      </c>
      <c r="H68" s="6" t="str">
        <f t="shared" si="29"/>
        <v>0</v>
      </c>
      <c r="I68" s="6" t="str">
        <f t="shared" si="30"/>
        <v>0</v>
      </c>
      <c r="J68" s="10">
        <f t="shared" si="31"/>
        <v>5.7142857142857148E-5</v>
      </c>
      <c r="K68" s="10">
        <f t="shared" si="32"/>
        <v>5.7142857142857148E-5</v>
      </c>
      <c r="L68" s="10">
        <f t="shared" si="33"/>
        <v>5.7142857142857148E-5</v>
      </c>
      <c r="M68" s="10">
        <f t="shared" si="34"/>
        <v>3.5238095238095239E-5</v>
      </c>
      <c r="N68" s="10">
        <f t="shared" si="35"/>
        <v>3.5238095238095239E-5</v>
      </c>
      <c r="O68" s="10">
        <f t="shared" si="36"/>
        <v>3.1238095238095244E-5</v>
      </c>
      <c r="P68" s="11">
        <f>ROUND(Table323[[#This Row],[I4]]+(Table323[[#This Row],[I3]]+Table323[[#This Row],[I2]]+Table323[[#This Row],[I1]]+Table323[[#This Row],[I5]]+Table323[[#This Row],[I6]])*1000000, 0)</f>
        <v>238</v>
      </c>
      <c r="Q68" s="18" t="s">
        <v>22</v>
      </c>
      <c r="R68" s="11">
        <v>238</v>
      </c>
      <c r="S68" s="13">
        <f t="shared" si="24"/>
        <v>0</v>
      </c>
      <c r="U68" s="11">
        <v>285</v>
      </c>
      <c r="W68" s="6">
        <v>48</v>
      </c>
      <c r="X68" s="11">
        <f t="shared" si="37"/>
        <v>4</v>
      </c>
      <c r="AA68" s="13" t="str">
        <f t="shared" si="23"/>
        <v/>
      </c>
    </row>
    <row r="69" spans="2:27" x14ac:dyDescent="0.35">
      <c r="B69" s="6">
        <v>49</v>
      </c>
      <c r="C69" s="2" t="s">
        <v>22</v>
      </c>
      <c r="D69" s="6" t="str">
        <f t="shared" si="25"/>
        <v>1</v>
      </c>
      <c r="E69" s="6" t="str">
        <f t="shared" si="26"/>
        <v>1</v>
      </c>
      <c r="F69" s="6" t="str">
        <f t="shared" si="27"/>
        <v>0</v>
      </c>
      <c r="G69" s="6" t="str">
        <f t="shared" si="28"/>
        <v>0</v>
      </c>
      <c r="H69" s="6" t="str">
        <f t="shared" si="29"/>
        <v>0</v>
      </c>
      <c r="I69" s="6" t="str">
        <f t="shared" si="30"/>
        <v>1</v>
      </c>
      <c r="J69" s="10">
        <f t="shared" si="31"/>
        <v>8.5714285714285726E-5</v>
      </c>
      <c r="K69" s="10">
        <f t="shared" si="32"/>
        <v>6.3809523809523817E-5</v>
      </c>
      <c r="L69" s="10">
        <f t="shared" si="33"/>
        <v>6.3809523809523817E-5</v>
      </c>
      <c r="M69" s="10">
        <f t="shared" si="34"/>
        <v>4.1904761904761908E-5</v>
      </c>
      <c r="N69" s="10">
        <f t="shared" si="35"/>
        <v>3.723809523809524E-5</v>
      </c>
      <c r="O69" s="10">
        <f t="shared" si="36"/>
        <v>3.3238095238095245E-5</v>
      </c>
      <c r="P69" s="11">
        <f>ROUND(Table323[[#This Row],[I4]]+(Table323[[#This Row],[I3]]+Table323[[#This Row],[I2]]+Table323[[#This Row],[I1]]+Table323[[#This Row],[I5]]+Table323[[#This Row],[I6]])*1000000, 0)</f>
        <v>284</v>
      </c>
      <c r="Q69" s="18" t="s">
        <v>22</v>
      </c>
      <c r="R69" s="11">
        <v>284</v>
      </c>
      <c r="S69" s="13">
        <f t="shared" si="24"/>
        <v>0</v>
      </c>
      <c r="U69" s="11">
        <v>289</v>
      </c>
      <c r="W69" s="6">
        <v>49</v>
      </c>
      <c r="X69" s="11">
        <f t="shared" si="37"/>
        <v>1</v>
      </c>
      <c r="AA69" s="13" t="str">
        <f t="shared" si="23"/>
        <v/>
      </c>
    </row>
    <row r="70" spans="2:27" x14ac:dyDescent="0.35">
      <c r="B70" s="6">
        <v>50</v>
      </c>
      <c r="C70" s="2" t="s">
        <v>22</v>
      </c>
      <c r="D70" s="6" t="str">
        <f t="shared" si="25"/>
        <v>1</v>
      </c>
      <c r="E70" s="6" t="str">
        <f t="shared" si="26"/>
        <v>1</v>
      </c>
      <c r="F70" s="6" t="str">
        <f t="shared" si="27"/>
        <v>0</v>
      </c>
      <c r="G70" s="6" t="str">
        <f t="shared" si="28"/>
        <v>0</v>
      </c>
      <c r="H70" s="6" t="str">
        <f t="shared" si="29"/>
        <v>1</v>
      </c>
      <c r="I70" s="6" t="str">
        <f t="shared" si="30"/>
        <v>0</v>
      </c>
      <c r="J70" s="10">
        <f t="shared" si="31"/>
        <v>8.5714285714285726E-5</v>
      </c>
      <c r="K70" s="10">
        <f t="shared" si="32"/>
        <v>6.3809523809523817E-5</v>
      </c>
      <c r="L70" s="10">
        <f t="shared" si="33"/>
        <v>5.914285714285715E-5</v>
      </c>
      <c r="M70" s="10">
        <f t="shared" si="34"/>
        <v>3.723809523809524E-5</v>
      </c>
      <c r="N70" s="10">
        <f t="shared" si="35"/>
        <v>3.723809523809524E-5</v>
      </c>
      <c r="O70" s="10">
        <f t="shared" si="36"/>
        <v>3.3238095238095245E-5</v>
      </c>
      <c r="P70" s="11">
        <f>ROUND(Table323[[#This Row],[I4]]+(Table323[[#This Row],[I3]]+Table323[[#This Row],[I2]]+Table323[[#This Row],[I1]]+Table323[[#This Row],[I5]]+Table323[[#This Row],[I6]])*1000000, 0)</f>
        <v>279</v>
      </c>
      <c r="Q70" s="18" t="s">
        <v>22</v>
      </c>
      <c r="R70" s="11">
        <v>279</v>
      </c>
      <c r="S70" s="13">
        <f t="shared" si="24"/>
        <v>0</v>
      </c>
      <c r="U70" s="11">
        <v>290</v>
      </c>
      <c r="W70" s="6">
        <v>50</v>
      </c>
      <c r="X70" s="11">
        <f t="shared" si="37"/>
        <v>4</v>
      </c>
      <c r="AA70" s="13" t="str">
        <f t="shared" si="23"/>
        <v/>
      </c>
    </row>
    <row r="71" spans="2:27" x14ac:dyDescent="0.35">
      <c r="B71" s="6">
        <v>51</v>
      </c>
      <c r="C71" s="2" t="s">
        <v>22</v>
      </c>
      <c r="D71" s="6" t="str">
        <f t="shared" si="25"/>
        <v>1</v>
      </c>
      <c r="E71" s="6" t="str">
        <f t="shared" si="26"/>
        <v>1</v>
      </c>
      <c r="F71" s="6" t="str">
        <f t="shared" si="27"/>
        <v>0</v>
      </c>
      <c r="G71" s="6" t="str">
        <f t="shared" si="28"/>
        <v>0</v>
      </c>
      <c r="H71" s="6" t="str">
        <f t="shared" si="29"/>
        <v>1</v>
      </c>
      <c r="I71" s="6" t="str">
        <f t="shared" si="30"/>
        <v>1</v>
      </c>
      <c r="J71" s="10">
        <f t="shared" si="31"/>
        <v>1.142857142857143E-4</v>
      </c>
      <c r="K71" s="10">
        <f t="shared" si="32"/>
        <v>7.0476190476190478E-5</v>
      </c>
      <c r="L71" s="10">
        <f t="shared" si="33"/>
        <v>6.5809523809523811E-5</v>
      </c>
      <c r="M71" s="10">
        <f t="shared" si="34"/>
        <v>4.3904761904761909E-5</v>
      </c>
      <c r="N71" s="10">
        <f t="shared" si="35"/>
        <v>3.9238095238095242E-5</v>
      </c>
      <c r="O71" s="10">
        <f t="shared" si="36"/>
        <v>3.5238095238095246E-5</v>
      </c>
      <c r="P71" s="11">
        <f>ROUND(Table323[[#This Row],[I4]]+(Table323[[#This Row],[I3]]+Table323[[#This Row],[I2]]+Table323[[#This Row],[I1]]+Table323[[#This Row],[I5]]+Table323[[#This Row],[I6]])*1000000, 0)</f>
        <v>325</v>
      </c>
      <c r="Q71" s="18" t="s">
        <v>22</v>
      </c>
      <c r="R71" s="11">
        <v>325</v>
      </c>
      <c r="S71" s="13">
        <f t="shared" si="24"/>
        <v>0</v>
      </c>
      <c r="U71" s="11">
        <v>294</v>
      </c>
      <c r="W71" s="6">
        <v>51</v>
      </c>
      <c r="X71" s="11">
        <f t="shared" si="37"/>
        <v>27</v>
      </c>
      <c r="AA71" s="13" t="str">
        <f t="shared" si="23"/>
        <v/>
      </c>
    </row>
    <row r="72" spans="2:27" x14ac:dyDescent="0.35">
      <c r="B72" s="6">
        <v>52</v>
      </c>
      <c r="C72" s="2" t="s">
        <v>22</v>
      </c>
      <c r="D72" s="6" t="str">
        <f t="shared" si="25"/>
        <v>1</v>
      </c>
      <c r="E72" s="6" t="str">
        <f t="shared" si="26"/>
        <v>1</v>
      </c>
      <c r="F72" s="6" t="str">
        <f t="shared" si="27"/>
        <v>0</v>
      </c>
      <c r="G72" s="6" t="str">
        <f t="shared" si="28"/>
        <v>1</v>
      </c>
      <c r="H72" s="6" t="str">
        <f t="shared" si="29"/>
        <v>0</v>
      </c>
      <c r="I72" s="6" t="str">
        <f t="shared" si="30"/>
        <v>0</v>
      </c>
      <c r="J72" s="10">
        <f t="shared" si="31"/>
        <v>5.914285714285715E-5</v>
      </c>
      <c r="K72" s="10">
        <f t="shared" si="32"/>
        <v>5.914285714285715E-5</v>
      </c>
      <c r="L72" s="10">
        <f t="shared" si="33"/>
        <v>5.914285714285715E-5</v>
      </c>
      <c r="M72" s="10">
        <f t="shared" si="34"/>
        <v>3.723809523809524E-5</v>
      </c>
      <c r="N72" s="10">
        <f t="shared" si="35"/>
        <v>3.723809523809524E-5</v>
      </c>
      <c r="O72" s="10">
        <f t="shared" si="36"/>
        <v>3.3238095238095245E-5</v>
      </c>
      <c r="P72" s="11">
        <f>ROUND(Table323[[#This Row],[I4]]+(Table323[[#This Row],[I3]]+Table323[[#This Row],[I2]]+Table323[[#This Row],[I1]]+Table323[[#This Row],[I5]]+Table323[[#This Row],[I6]])*1000000, 0)</f>
        <v>248</v>
      </c>
      <c r="Q72" s="18" t="s">
        <v>22</v>
      </c>
      <c r="R72" s="11">
        <v>248</v>
      </c>
      <c r="S72" s="13">
        <f t="shared" si="24"/>
        <v>0</v>
      </c>
      <c r="U72" s="11">
        <v>321</v>
      </c>
      <c r="W72" s="6">
        <v>52</v>
      </c>
      <c r="X72" s="11">
        <f t="shared" si="37"/>
        <v>4</v>
      </c>
      <c r="AA72" s="13" t="str">
        <f t="shared" si="23"/>
        <v/>
      </c>
    </row>
    <row r="73" spans="2:27" x14ac:dyDescent="0.35">
      <c r="B73" s="6">
        <v>53</v>
      </c>
      <c r="C73" s="2" t="s">
        <v>22</v>
      </c>
      <c r="D73" s="6" t="str">
        <f t="shared" si="25"/>
        <v>1</v>
      </c>
      <c r="E73" s="6" t="str">
        <f t="shared" si="26"/>
        <v>1</v>
      </c>
      <c r="F73" s="6" t="str">
        <f t="shared" si="27"/>
        <v>0</v>
      </c>
      <c r="G73" s="6" t="str">
        <f t="shared" si="28"/>
        <v>1</v>
      </c>
      <c r="H73" s="6" t="str">
        <f t="shared" si="29"/>
        <v>0</v>
      </c>
      <c r="I73" s="6" t="str">
        <f t="shared" si="30"/>
        <v>1</v>
      </c>
      <c r="J73" s="10">
        <f t="shared" si="31"/>
        <v>8.7714285714285721E-5</v>
      </c>
      <c r="K73" s="10">
        <f t="shared" si="32"/>
        <v>6.5809523809523811E-5</v>
      </c>
      <c r="L73" s="10">
        <f t="shared" si="33"/>
        <v>6.5809523809523811E-5</v>
      </c>
      <c r="M73" s="10">
        <f t="shared" si="34"/>
        <v>4.3904761904761909E-5</v>
      </c>
      <c r="N73" s="10">
        <f t="shared" si="35"/>
        <v>3.9238095238095242E-5</v>
      </c>
      <c r="O73" s="10">
        <f t="shared" si="36"/>
        <v>3.5238095238095246E-5</v>
      </c>
      <c r="P73" s="11">
        <f>ROUND(Table323[[#This Row],[I4]]+(Table323[[#This Row],[I3]]+Table323[[#This Row],[I2]]+Table323[[#This Row],[I1]]+Table323[[#This Row],[I5]]+Table323[[#This Row],[I6]])*1000000, 0)</f>
        <v>294</v>
      </c>
      <c r="Q73" s="18" t="s">
        <v>22</v>
      </c>
      <c r="R73" s="11">
        <v>294</v>
      </c>
      <c r="S73" s="13">
        <f t="shared" si="24"/>
        <v>0</v>
      </c>
      <c r="U73" s="11">
        <v>325</v>
      </c>
      <c r="W73" s="6">
        <v>53</v>
      </c>
      <c r="X73" s="11">
        <f t="shared" si="37"/>
        <v>4</v>
      </c>
      <c r="AA73" s="13" t="str">
        <f t="shared" si="23"/>
        <v/>
      </c>
    </row>
    <row r="74" spans="2:27" x14ac:dyDescent="0.35">
      <c r="B74" s="6">
        <v>54</v>
      </c>
      <c r="C74" s="2" t="s">
        <v>22</v>
      </c>
      <c r="D74" s="6" t="str">
        <f t="shared" si="25"/>
        <v>1</v>
      </c>
      <c r="E74" s="6" t="str">
        <f t="shared" si="26"/>
        <v>1</v>
      </c>
      <c r="F74" s="6" t="str">
        <f t="shared" si="27"/>
        <v>0</v>
      </c>
      <c r="G74" s="6" t="str">
        <f t="shared" si="28"/>
        <v>1</v>
      </c>
      <c r="H74" s="6" t="str">
        <f t="shared" si="29"/>
        <v>1</v>
      </c>
      <c r="I74" s="6" t="str">
        <f t="shared" si="30"/>
        <v>0</v>
      </c>
      <c r="J74" s="10">
        <f t="shared" si="31"/>
        <v>8.7714285714285721E-5</v>
      </c>
      <c r="K74" s="10">
        <f t="shared" si="32"/>
        <v>6.5809523809523811E-5</v>
      </c>
      <c r="L74" s="10">
        <f t="shared" si="33"/>
        <v>6.1142857142857144E-5</v>
      </c>
      <c r="M74" s="10">
        <f t="shared" si="34"/>
        <v>3.9238095238095242E-5</v>
      </c>
      <c r="N74" s="10">
        <f t="shared" si="35"/>
        <v>3.9238095238095242E-5</v>
      </c>
      <c r="O74" s="10">
        <f t="shared" si="36"/>
        <v>3.5238095238095246E-5</v>
      </c>
      <c r="P74" s="11">
        <f>ROUND(Table323[[#This Row],[I4]]+(Table323[[#This Row],[I3]]+Table323[[#This Row],[I2]]+Table323[[#This Row],[I1]]+Table323[[#This Row],[I5]]+Table323[[#This Row],[I6]])*1000000, 0)</f>
        <v>289</v>
      </c>
      <c r="Q74" s="18" t="s">
        <v>22</v>
      </c>
      <c r="R74" s="11">
        <v>289</v>
      </c>
      <c r="S74" s="13">
        <f t="shared" si="24"/>
        <v>0</v>
      </c>
      <c r="U74" s="11">
        <v>329</v>
      </c>
      <c r="W74" s="6">
        <v>54</v>
      </c>
      <c r="X74" s="11">
        <f t="shared" si="37"/>
        <v>2</v>
      </c>
      <c r="AA74" s="13" t="str">
        <f t="shared" si="23"/>
        <v/>
      </c>
    </row>
    <row r="75" spans="2:27" x14ac:dyDescent="0.35">
      <c r="B75" s="6">
        <v>55</v>
      </c>
      <c r="C75" s="2" t="s">
        <v>22</v>
      </c>
      <c r="D75" s="6" t="str">
        <f t="shared" si="25"/>
        <v>1</v>
      </c>
      <c r="E75" s="6" t="str">
        <f t="shared" si="26"/>
        <v>1</v>
      </c>
      <c r="F75" s="6" t="str">
        <f t="shared" si="27"/>
        <v>0</v>
      </c>
      <c r="G75" s="6" t="str">
        <f t="shared" si="28"/>
        <v>1</v>
      </c>
      <c r="H75" s="6" t="str">
        <f t="shared" si="29"/>
        <v>1</v>
      </c>
      <c r="I75" s="6" t="str">
        <f t="shared" si="30"/>
        <v>1</v>
      </c>
      <c r="J75" s="10">
        <f t="shared" si="31"/>
        <v>1.1628571428571429E-4</v>
      </c>
      <c r="K75" s="10">
        <f t="shared" si="32"/>
        <v>7.2476190476190473E-5</v>
      </c>
      <c r="L75" s="10">
        <f t="shared" si="33"/>
        <v>6.7809523809523806E-5</v>
      </c>
      <c r="M75" s="10">
        <f t="shared" si="34"/>
        <v>4.590476190476191E-5</v>
      </c>
      <c r="N75" s="10">
        <f t="shared" si="35"/>
        <v>4.1238095238095243E-5</v>
      </c>
      <c r="O75" s="10">
        <f t="shared" si="36"/>
        <v>3.7238095238095247E-5</v>
      </c>
      <c r="P75" s="11">
        <f>ROUND(Table323[[#This Row],[I4]]+(Table323[[#This Row],[I3]]+Table323[[#This Row],[I2]]+Table323[[#This Row],[I1]]+Table323[[#This Row],[I5]]+Table323[[#This Row],[I6]])*1000000, 0)</f>
        <v>335</v>
      </c>
      <c r="Q75" s="18" t="s">
        <v>22</v>
      </c>
      <c r="R75" s="11">
        <v>335</v>
      </c>
      <c r="S75" s="13">
        <f t="shared" si="24"/>
        <v>0</v>
      </c>
      <c r="U75" s="11">
        <v>331</v>
      </c>
      <c r="W75" s="6">
        <v>55</v>
      </c>
      <c r="X75" s="11">
        <f t="shared" si="37"/>
        <v>4</v>
      </c>
      <c r="AA75" s="13" t="str">
        <f t="shared" si="23"/>
        <v/>
      </c>
    </row>
    <row r="76" spans="2:27" x14ac:dyDescent="0.35">
      <c r="B76" s="6">
        <v>56</v>
      </c>
      <c r="C76" s="2" t="s">
        <v>22</v>
      </c>
      <c r="D76" s="6" t="str">
        <f t="shared" si="25"/>
        <v>1</v>
      </c>
      <c r="E76" s="6" t="str">
        <f t="shared" si="26"/>
        <v>1</v>
      </c>
      <c r="F76" s="6" t="str">
        <f t="shared" si="27"/>
        <v>1</v>
      </c>
      <c r="G76" s="6" t="str">
        <f t="shared" si="28"/>
        <v>0</v>
      </c>
      <c r="H76" s="6" t="str">
        <f t="shared" si="29"/>
        <v>0</v>
      </c>
      <c r="I76" s="6" t="str">
        <f t="shared" si="30"/>
        <v>0</v>
      </c>
      <c r="J76" s="10">
        <f t="shared" si="31"/>
        <v>8.5714285714285726E-5</v>
      </c>
      <c r="K76" s="10">
        <f t="shared" si="32"/>
        <v>8.5714285714285726E-5</v>
      </c>
      <c r="L76" s="10">
        <f t="shared" si="33"/>
        <v>8.5714285714285726E-5</v>
      </c>
      <c r="M76" s="10">
        <f t="shared" si="34"/>
        <v>3.7904761904761905E-5</v>
      </c>
      <c r="N76" s="10">
        <f t="shared" si="35"/>
        <v>3.7904761904761905E-5</v>
      </c>
      <c r="O76" s="10">
        <f t="shared" si="36"/>
        <v>3.390476190476191E-5</v>
      </c>
      <c r="P76" s="11">
        <f>ROUND(Table323[[#This Row],[I4]]+(Table323[[#This Row],[I3]]+Table323[[#This Row],[I2]]+Table323[[#This Row],[I1]]+Table323[[#This Row],[I5]]+Table323[[#This Row],[I6]])*1000000, 0)</f>
        <v>329</v>
      </c>
      <c r="Q76" s="18" t="s">
        <v>22</v>
      </c>
      <c r="R76" s="11">
        <v>329</v>
      </c>
      <c r="S76" s="13">
        <f t="shared" si="24"/>
        <v>0</v>
      </c>
      <c r="U76" s="11">
        <v>335</v>
      </c>
      <c r="W76" s="6">
        <v>56</v>
      </c>
      <c r="X76" s="11">
        <f t="shared" si="37"/>
        <v>4</v>
      </c>
      <c r="AA76" s="13" t="str">
        <f t="shared" si="23"/>
        <v/>
      </c>
    </row>
    <row r="77" spans="2:27" x14ac:dyDescent="0.35">
      <c r="B77" s="6">
        <v>57</v>
      </c>
      <c r="C77" s="2" t="s">
        <v>22</v>
      </c>
      <c r="D77" s="6" t="str">
        <f t="shared" si="25"/>
        <v>1</v>
      </c>
      <c r="E77" s="6" t="str">
        <f t="shared" si="26"/>
        <v>1</v>
      </c>
      <c r="F77" s="6" t="str">
        <f t="shared" si="27"/>
        <v>1</v>
      </c>
      <c r="G77" s="6" t="str">
        <f t="shared" si="28"/>
        <v>0</v>
      </c>
      <c r="H77" s="6" t="str">
        <f t="shared" si="29"/>
        <v>0</v>
      </c>
      <c r="I77" s="6" t="str">
        <f t="shared" si="30"/>
        <v>1</v>
      </c>
      <c r="J77" s="10">
        <f t="shared" si="31"/>
        <v>1.142857142857143E-4</v>
      </c>
      <c r="K77" s="10">
        <f t="shared" si="32"/>
        <v>9.2380952380952388E-5</v>
      </c>
      <c r="L77" s="10">
        <f t="shared" si="33"/>
        <v>9.2380952380952388E-5</v>
      </c>
      <c r="M77" s="10">
        <f t="shared" si="34"/>
        <v>4.4571428571428574E-5</v>
      </c>
      <c r="N77" s="10">
        <f t="shared" si="35"/>
        <v>3.9904761904761906E-5</v>
      </c>
      <c r="O77" s="10">
        <f t="shared" si="36"/>
        <v>3.5904761904761911E-5</v>
      </c>
      <c r="P77" s="11">
        <f>ROUND(Table323[[#This Row],[I4]]+(Table323[[#This Row],[I3]]+Table323[[#This Row],[I2]]+Table323[[#This Row],[I1]]+Table323[[#This Row],[I5]]+Table323[[#This Row],[I6]])*1000000, 0)</f>
        <v>375</v>
      </c>
      <c r="Q77" s="18" t="s">
        <v>22</v>
      </c>
      <c r="R77" s="11">
        <v>375</v>
      </c>
      <c r="S77" s="13">
        <f t="shared" si="24"/>
        <v>0</v>
      </c>
      <c r="U77" s="11">
        <v>339</v>
      </c>
      <c r="W77" s="6">
        <v>57</v>
      </c>
      <c r="X77" s="11">
        <f t="shared" si="37"/>
        <v>31</v>
      </c>
      <c r="AA77" s="13" t="str">
        <f t="shared" si="23"/>
        <v/>
      </c>
    </row>
    <row r="78" spans="2:27" x14ac:dyDescent="0.35">
      <c r="B78" s="6">
        <v>58</v>
      </c>
      <c r="C78" s="2" t="s">
        <v>22</v>
      </c>
      <c r="D78" s="6" t="str">
        <f t="shared" si="25"/>
        <v>1</v>
      </c>
      <c r="E78" s="6" t="str">
        <f t="shared" si="26"/>
        <v>1</v>
      </c>
      <c r="F78" s="6" t="str">
        <f t="shared" si="27"/>
        <v>1</v>
      </c>
      <c r="G78" s="6" t="str">
        <f t="shared" si="28"/>
        <v>0</v>
      </c>
      <c r="H78" s="6" t="str">
        <f t="shared" si="29"/>
        <v>1</v>
      </c>
      <c r="I78" s="6" t="str">
        <f t="shared" si="30"/>
        <v>0</v>
      </c>
      <c r="J78" s="10">
        <f t="shared" si="31"/>
        <v>1.142857142857143E-4</v>
      </c>
      <c r="K78" s="10">
        <f t="shared" si="32"/>
        <v>9.2380952380952388E-5</v>
      </c>
      <c r="L78" s="10">
        <f t="shared" si="33"/>
        <v>8.7714285714285721E-5</v>
      </c>
      <c r="M78" s="10">
        <f t="shared" si="34"/>
        <v>3.9904761904761906E-5</v>
      </c>
      <c r="N78" s="10">
        <f t="shared" si="35"/>
        <v>3.9904761904761906E-5</v>
      </c>
      <c r="O78" s="10">
        <f t="shared" si="36"/>
        <v>3.5904761904761911E-5</v>
      </c>
      <c r="P78" s="11">
        <f>ROUND(Table323[[#This Row],[I4]]+(Table323[[#This Row],[I3]]+Table323[[#This Row],[I2]]+Table323[[#This Row],[I1]]+Table323[[#This Row],[I5]]+Table323[[#This Row],[I6]])*1000000, 0)</f>
        <v>370</v>
      </c>
      <c r="Q78" s="18" t="s">
        <v>22</v>
      </c>
      <c r="R78" s="11">
        <v>370</v>
      </c>
      <c r="S78" s="13">
        <f t="shared" si="24"/>
        <v>0</v>
      </c>
      <c r="U78" s="11">
        <v>370</v>
      </c>
      <c r="W78" s="6">
        <v>58</v>
      </c>
      <c r="X78" s="11">
        <f t="shared" si="37"/>
        <v>5</v>
      </c>
      <c r="AA78" s="13" t="str">
        <f t="shared" si="23"/>
        <v/>
      </c>
    </row>
    <row r="79" spans="2:27" x14ac:dyDescent="0.35">
      <c r="B79" s="6">
        <v>59</v>
      </c>
      <c r="C79" s="2" t="s">
        <v>22</v>
      </c>
      <c r="D79" s="6" t="str">
        <f t="shared" si="25"/>
        <v>1</v>
      </c>
      <c r="E79" s="6" t="str">
        <f t="shared" si="26"/>
        <v>1</v>
      </c>
      <c r="F79" s="6" t="str">
        <f t="shared" si="27"/>
        <v>1</v>
      </c>
      <c r="G79" s="6" t="str">
        <f t="shared" si="28"/>
        <v>0</v>
      </c>
      <c r="H79" s="6" t="str">
        <f t="shared" si="29"/>
        <v>1</v>
      </c>
      <c r="I79" s="6" t="str">
        <f t="shared" si="30"/>
        <v>1</v>
      </c>
      <c r="J79" s="10">
        <f t="shared" si="31"/>
        <v>1.4285714285714287E-4</v>
      </c>
      <c r="K79" s="10">
        <f t="shared" si="32"/>
        <v>9.9047619047619049E-5</v>
      </c>
      <c r="L79" s="10">
        <f t="shared" si="33"/>
        <v>9.4380952380952382E-5</v>
      </c>
      <c r="M79" s="10">
        <f t="shared" si="34"/>
        <v>4.6571428571428575E-5</v>
      </c>
      <c r="N79" s="10">
        <f t="shared" si="35"/>
        <v>4.1904761904761908E-5</v>
      </c>
      <c r="O79" s="10">
        <f t="shared" si="36"/>
        <v>3.7904761904761912E-5</v>
      </c>
      <c r="P79" s="11">
        <f>ROUND(Table323[[#This Row],[I4]]+(Table323[[#This Row],[I3]]+Table323[[#This Row],[I2]]+Table323[[#This Row],[I1]]+Table323[[#This Row],[I5]]+Table323[[#This Row],[I6]])*1000000, 0)</f>
        <v>416</v>
      </c>
      <c r="Q79" s="18" t="s">
        <v>22</v>
      </c>
      <c r="R79" s="11">
        <v>416</v>
      </c>
      <c r="S79" s="13">
        <f>IF(ISBLANK(R79), 0, COUNTIF($L$20:$L$83,R79))</f>
        <v>0</v>
      </c>
      <c r="U79" s="11">
        <v>375</v>
      </c>
      <c r="W79" s="6">
        <v>59</v>
      </c>
      <c r="X79" s="11">
        <f t="shared" si="37"/>
        <v>5</v>
      </c>
      <c r="AA79" s="13" t="str">
        <f t="shared" si="23"/>
        <v/>
      </c>
    </row>
    <row r="80" spans="2:27" x14ac:dyDescent="0.35">
      <c r="B80" s="6">
        <v>60</v>
      </c>
      <c r="C80" s="2" t="s">
        <v>22</v>
      </c>
      <c r="D80" s="6" t="str">
        <f t="shared" si="25"/>
        <v>1</v>
      </c>
      <c r="E80" s="6" t="str">
        <f t="shared" si="26"/>
        <v>1</v>
      </c>
      <c r="F80" s="6" t="str">
        <f t="shared" si="27"/>
        <v>1</v>
      </c>
      <c r="G80" s="6" t="str">
        <f t="shared" si="28"/>
        <v>1</v>
      </c>
      <c r="H80" s="6" t="str">
        <f t="shared" si="29"/>
        <v>0</v>
      </c>
      <c r="I80" s="6" t="str">
        <f t="shared" si="30"/>
        <v>0</v>
      </c>
      <c r="J80" s="10">
        <f t="shared" si="31"/>
        <v>8.7714285714285721E-5</v>
      </c>
      <c r="K80" s="10">
        <f t="shared" si="32"/>
        <v>8.7714285714285721E-5</v>
      </c>
      <c r="L80" s="10">
        <f t="shared" si="33"/>
        <v>8.7714285714285721E-5</v>
      </c>
      <c r="M80" s="10">
        <f t="shared" si="34"/>
        <v>3.9904761904761906E-5</v>
      </c>
      <c r="N80" s="10">
        <f t="shared" si="35"/>
        <v>3.9904761904761906E-5</v>
      </c>
      <c r="O80" s="10">
        <f t="shared" si="36"/>
        <v>3.5904761904761911E-5</v>
      </c>
      <c r="P80" s="11">
        <f>ROUND(Table323[[#This Row],[I4]]+(Table323[[#This Row],[I3]]+Table323[[#This Row],[I2]]+Table323[[#This Row],[I1]]+Table323[[#This Row],[I5]]+Table323[[#This Row],[I6]])*1000000, 0)</f>
        <v>339</v>
      </c>
      <c r="Q80" s="18" t="s">
        <v>22</v>
      </c>
      <c r="R80" s="11">
        <v>339</v>
      </c>
      <c r="S80" s="13">
        <f t="shared" ref="S80:S83" si="38">IF(ISBLANK(R80), 0, COUNTIF($L$20:$L$83,R80))</f>
        <v>0</v>
      </c>
      <c r="U80" s="11">
        <v>380</v>
      </c>
      <c r="W80" s="6">
        <v>60</v>
      </c>
      <c r="X80" s="11">
        <f t="shared" si="37"/>
        <v>5</v>
      </c>
      <c r="AA80" s="13" t="str">
        <f t="shared" si="23"/>
        <v/>
      </c>
    </row>
    <row r="81" spans="2:27" x14ac:dyDescent="0.35">
      <c r="B81" s="6">
        <v>61</v>
      </c>
      <c r="C81" s="2" t="s">
        <v>22</v>
      </c>
      <c r="D81" s="6" t="str">
        <f t="shared" si="25"/>
        <v>1</v>
      </c>
      <c r="E81" s="6" t="str">
        <f t="shared" si="26"/>
        <v>1</v>
      </c>
      <c r="F81" s="6" t="str">
        <f t="shared" si="27"/>
        <v>1</v>
      </c>
      <c r="G81" s="6" t="str">
        <f t="shared" si="28"/>
        <v>1</v>
      </c>
      <c r="H81" s="6" t="str">
        <f t="shared" si="29"/>
        <v>0</v>
      </c>
      <c r="I81" s="6" t="str">
        <f t="shared" si="30"/>
        <v>1</v>
      </c>
      <c r="J81" s="10">
        <f t="shared" si="31"/>
        <v>1.1628571428571429E-4</v>
      </c>
      <c r="K81" s="10">
        <f t="shared" si="32"/>
        <v>9.4380952380952382E-5</v>
      </c>
      <c r="L81" s="10">
        <f t="shared" si="33"/>
        <v>9.4380952380952382E-5</v>
      </c>
      <c r="M81" s="10">
        <f t="shared" si="34"/>
        <v>4.6571428571428575E-5</v>
      </c>
      <c r="N81" s="10">
        <f t="shared" si="35"/>
        <v>4.1904761904761908E-5</v>
      </c>
      <c r="O81" s="10">
        <f t="shared" si="36"/>
        <v>3.7904761904761912E-5</v>
      </c>
      <c r="P81" s="11">
        <f>ROUND(Table323[[#This Row],[I4]]+(Table323[[#This Row],[I3]]+Table323[[#This Row],[I2]]+Table323[[#This Row],[I1]]+Table323[[#This Row],[I5]]+Table323[[#This Row],[I6]])*1000000, 0)</f>
        <v>385</v>
      </c>
      <c r="Q81" s="18" t="s">
        <v>22</v>
      </c>
      <c r="R81" s="11">
        <v>385</v>
      </c>
      <c r="S81" s="13">
        <f t="shared" si="38"/>
        <v>0</v>
      </c>
      <c r="U81" s="11">
        <v>385</v>
      </c>
      <c r="W81" s="6">
        <v>61</v>
      </c>
      <c r="X81" s="11">
        <f t="shared" si="37"/>
        <v>31</v>
      </c>
      <c r="AA81" s="13" t="str">
        <f t="shared" si="23"/>
        <v/>
      </c>
    </row>
    <row r="82" spans="2:27" x14ac:dyDescent="0.35">
      <c r="B82" s="6">
        <v>62</v>
      </c>
      <c r="C82" s="2" t="s">
        <v>22</v>
      </c>
      <c r="D82" s="6" t="str">
        <f t="shared" si="25"/>
        <v>1</v>
      </c>
      <c r="E82" s="6" t="str">
        <f t="shared" si="26"/>
        <v>1</v>
      </c>
      <c r="F82" s="6" t="str">
        <f t="shared" si="27"/>
        <v>1</v>
      </c>
      <c r="G82" s="6" t="str">
        <f t="shared" si="28"/>
        <v>1</v>
      </c>
      <c r="H82" s="6" t="str">
        <f t="shared" si="29"/>
        <v>1</v>
      </c>
      <c r="I82" s="6" t="str">
        <f t="shared" si="30"/>
        <v>0</v>
      </c>
      <c r="J82" s="10">
        <f t="shared" si="31"/>
        <v>1.1628571428571429E-4</v>
      </c>
      <c r="K82" s="10">
        <f t="shared" si="32"/>
        <v>9.4380952380952382E-5</v>
      </c>
      <c r="L82" s="10">
        <f t="shared" si="33"/>
        <v>8.9714285714285715E-5</v>
      </c>
      <c r="M82" s="10">
        <f t="shared" si="34"/>
        <v>4.1904761904761908E-5</v>
      </c>
      <c r="N82" s="10">
        <f t="shared" si="35"/>
        <v>4.1904761904761908E-5</v>
      </c>
      <c r="O82" s="10">
        <f t="shared" si="36"/>
        <v>3.7904761904761912E-5</v>
      </c>
      <c r="P82" s="11">
        <f>ROUND(Table323[[#This Row],[I4]]+(Table323[[#This Row],[I3]]+Table323[[#This Row],[I2]]+Table323[[#This Row],[I1]]+Table323[[#This Row],[I5]]+Table323[[#This Row],[I6]])*1000000, 0)</f>
        <v>380</v>
      </c>
      <c r="Q82" s="18" t="s">
        <v>22</v>
      </c>
      <c r="R82" s="11">
        <v>380</v>
      </c>
      <c r="S82" s="13">
        <f t="shared" si="38"/>
        <v>0</v>
      </c>
      <c r="U82" s="11">
        <v>416</v>
      </c>
      <c r="W82" s="6">
        <v>62</v>
      </c>
      <c r="X82" s="11">
        <f t="shared" si="37"/>
        <v>10</v>
      </c>
      <c r="AA82" s="13" t="str">
        <f t="shared" si="23"/>
        <v/>
      </c>
    </row>
    <row r="83" spans="2:27" x14ac:dyDescent="0.35">
      <c r="B83" s="6">
        <v>63</v>
      </c>
      <c r="C83" s="2" t="s">
        <v>22</v>
      </c>
      <c r="D83" s="6" t="str">
        <f t="shared" si="25"/>
        <v>1</v>
      </c>
      <c r="E83" s="6" t="str">
        <f t="shared" si="26"/>
        <v>1</v>
      </c>
      <c r="F83" s="6" t="str">
        <f t="shared" si="27"/>
        <v>1</v>
      </c>
      <c r="G83" s="6" t="str">
        <f t="shared" si="28"/>
        <v>1</v>
      </c>
      <c r="H83" s="6" t="str">
        <f t="shared" si="29"/>
        <v>1</v>
      </c>
      <c r="I83" s="6" t="str">
        <f t="shared" si="30"/>
        <v>1</v>
      </c>
      <c r="J83" s="10">
        <f t="shared" si="31"/>
        <v>1.4485714285714286E-4</v>
      </c>
      <c r="K83" s="10">
        <f t="shared" si="32"/>
        <v>1.0104761904761904E-4</v>
      </c>
      <c r="L83" s="10">
        <f t="shared" si="33"/>
        <v>9.6380952380952377E-5</v>
      </c>
      <c r="M83" s="10">
        <f t="shared" si="34"/>
        <v>4.8571428571428576E-5</v>
      </c>
      <c r="N83" s="10">
        <f t="shared" si="35"/>
        <v>4.3904761904761909E-5</v>
      </c>
      <c r="O83" s="10">
        <f t="shared" si="36"/>
        <v>3.9904761904761913E-5</v>
      </c>
      <c r="P83" s="11">
        <f>ROUND(Table323[[#This Row],[I4]]+(Table323[[#This Row],[I3]]+Table323[[#This Row],[I2]]+Table323[[#This Row],[I1]]+Table323[[#This Row],[I5]]+Table323[[#This Row],[I6]])*1000000, 0)</f>
        <v>426</v>
      </c>
      <c r="Q83" s="18" t="s">
        <v>22</v>
      </c>
      <c r="R83" s="11">
        <v>426</v>
      </c>
      <c r="S83" s="13">
        <f t="shared" si="38"/>
        <v>0</v>
      </c>
      <c r="U83" s="11">
        <v>426</v>
      </c>
      <c r="W83" s="6">
        <v>63</v>
      </c>
      <c r="X83" s="11" t="str">
        <f t="shared" si="37"/>
        <v/>
      </c>
      <c r="AA83" s="13" t="str">
        <f t="shared" si="23"/>
        <v/>
      </c>
    </row>
  </sheetData>
  <autoFilter ref="W19:X19" xr:uid="{E5EDD65B-A940-4E3A-89F4-CACFE4CBC9AC}">
    <sortState xmlns:xlrd2="http://schemas.microsoft.com/office/spreadsheetml/2017/richdata2" ref="W20:X83">
      <sortCondition ref="W19"/>
    </sortState>
  </autoFilter>
  <phoneticPr fontId="5" type="noConversion"/>
  <conditionalFormatting sqref="P20:P83">
    <cfRule type="duplicateValues" dxfId="17" priority="1"/>
  </conditionalFormatting>
  <hyperlinks>
    <hyperlink ref="E10" r:id="rId1" display="R@" xr:uid="{25FC22AE-9758-4699-8BF6-E502338C7CA0}"/>
    <hyperlink ref="F10" r:id="rId2" display="R@" xr:uid="{9D9013D8-58AA-42CC-BFE0-16FB5C69EDF9}"/>
    <hyperlink ref="G10" r:id="rId3" display="R@" xr:uid="{B8ADA120-6B44-4349-8B02-86BC6340AA61}"/>
    <hyperlink ref="H10" r:id="rId4" display="R@" xr:uid="{7A5723C8-838B-4228-B9BE-7FCBB03E1E2E}"/>
    <hyperlink ref="I10" r:id="rId5" display="R@" xr:uid="{2B0A6F43-BC89-4F97-901C-157698409615}"/>
    <hyperlink ref="AG7" r:id="rId6" display="R@" xr:uid="{78F00A7D-0C95-4F01-A9D4-1B0BBCDF869A}"/>
    <hyperlink ref="AH7" r:id="rId7" display="R@" xr:uid="{7E9E2044-E466-4099-8E84-80A3BA1359EA}"/>
    <hyperlink ref="AI7" r:id="rId8" display="R@" xr:uid="{FBC926F2-F264-4BCA-B513-9FB1B924D458}"/>
    <hyperlink ref="AJ7" r:id="rId9" display="R@" xr:uid="{827E811D-463D-4892-8311-D8ACDCF4E4B0}"/>
    <hyperlink ref="AK7" r:id="rId10" display="R@" xr:uid="{D6031665-D52A-4EBB-A0F4-F339B20443F7}"/>
    <hyperlink ref="AO7" r:id="rId11" display="R@" xr:uid="{9AA637F5-0BFE-4BD6-983B-AF28CAEFC119}"/>
    <hyperlink ref="AP7" r:id="rId12" display="R@" xr:uid="{57A4356A-8EA5-4CD7-A681-99605B716504}"/>
    <hyperlink ref="AQ7" r:id="rId13" display="R@" xr:uid="{92CA5333-DEC8-4EB9-BD3A-702197A6B386}"/>
    <hyperlink ref="AR7" r:id="rId14" display="R@" xr:uid="{9C022A97-7308-4D64-813F-E7DC19B8BB1C}"/>
    <hyperlink ref="AS7" r:id="rId15" display="R@" xr:uid="{DC9D0F3C-CE5E-438F-AA92-F39BAC6F94EE}"/>
    <hyperlink ref="AV7" r:id="rId16" display="R@" xr:uid="{6D3F3CE6-B780-4853-AEB5-0669DB015219}"/>
    <hyperlink ref="AW7" r:id="rId17" display="R@" xr:uid="{B33FC430-0D6A-4910-84FF-1D0162936210}"/>
    <hyperlink ref="AX7" r:id="rId18" display="R@" xr:uid="{CB39A2C7-7C78-44E4-8D83-8039BCEECA01}"/>
    <hyperlink ref="AY7" r:id="rId19" display="R@" xr:uid="{B833A7F3-8C33-4F84-8B16-3C0FFCC783BB}"/>
    <hyperlink ref="AZ7" r:id="rId20" display="R@" xr:uid="{100FD77E-D49F-4348-8D1C-CF0CE5AEE3B0}"/>
    <hyperlink ref="BC7" r:id="rId21" display="R@" xr:uid="{866F521C-EA66-478E-8473-8390357D3292}"/>
    <hyperlink ref="BD7" r:id="rId22" display="R@" xr:uid="{25B519E5-5166-4AEF-8C6B-FA715EE9C83F}"/>
    <hyperlink ref="BE7" r:id="rId23" display="R@" xr:uid="{64064D3D-3925-46AB-954B-85951C0A8602}"/>
    <hyperlink ref="BF7" r:id="rId24" display="R@" xr:uid="{45AB19C8-0FE5-4B5F-AB48-9A4B23A17B69}"/>
    <hyperlink ref="BG7" r:id="rId25" display="R@" xr:uid="{BF534571-E220-4582-83E9-7835E895D706}"/>
    <hyperlink ref="BJ7" r:id="rId26" display="R@" xr:uid="{1CF18BA0-DD59-4A1C-BF9C-53D46D499A25}"/>
    <hyperlink ref="BK7" r:id="rId27" display="R@" xr:uid="{23DD1B35-2951-47CB-9718-2F5070A52869}"/>
    <hyperlink ref="BL7" r:id="rId28" display="R@" xr:uid="{A14308C2-7C66-40BC-B9F0-89D32EE0FDD3}"/>
    <hyperlink ref="BM7" r:id="rId29" display="R@" xr:uid="{912D7C09-E768-4F2C-9D85-1F942C4A0429}"/>
    <hyperlink ref="BN7" r:id="rId30" display="R@" xr:uid="{68DD3B25-6546-44B9-946B-FCD9CB62605C}"/>
    <hyperlink ref="BQ7" r:id="rId31" display="R@" xr:uid="{40ACD48A-B4D4-46CF-81B6-AA89C26EAE7A}"/>
    <hyperlink ref="BR7" r:id="rId32" display="R@" xr:uid="{255FE097-3385-4C5F-B3C5-7488BC4F78AB}"/>
    <hyperlink ref="BS7" r:id="rId33" display="R@" xr:uid="{14D49DCB-EBE6-4FE9-8C42-3852D46DBC46}"/>
    <hyperlink ref="BT7" r:id="rId34" display="R@" xr:uid="{6BCE3303-C548-4C4C-9980-C83F4DACCAFF}"/>
    <hyperlink ref="BU7" r:id="rId35" display="R@" xr:uid="{8BCFF9B9-5169-4456-9BD5-ACB578FB2724}"/>
    <hyperlink ref="E2" r:id="rId36" display="R@" xr:uid="{858DC8C3-4F39-4119-A69C-306594B55EAA}"/>
    <hyperlink ref="F2" r:id="rId37" display="R@" xr:uid="{DA90ADB2-773F-43C1-B6EF-4F187834B887}"/>
    <hyperlink ref="G2" r:id="rId38" display="R@" xr:uid="{698F7A1B-AC99-4A41-BF0D-E03EAA3DD387}"/>
    <hyperlink ref="H2" r:id="rId39" display="R@" xr:uid="{D5B3E61D-15F4-4BD2-A6FA-02DDD4428656}"/>
    <hyperlink ref="I2" r:id="rId40" display="R@" xr:uid="{471FA33C-9501-4E33-860A-B3632EC8F2A1}"/>
  </hyperlinks>
  <pageMargins left="0.7" right="0.7" top="0.75" bottom="0.75" header="0.3" footer="0.3"/>
  <drawing r:id="rId41"/>
  <tableParts count="1">
    <tablePart r:id="rId4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2565-A69F-491E-AD9B-F177D293AD53}">
  <dimension ref="B2:DJ83"/>
  <sheetViews>
    <sheetView topLeftCell="A12" workbookViewId="0">
      <selection activeCell="O10" sqref="O10"/>
    </sheetView>
  </sheetViews>
  <sheetFormatPr defaultRowHeight="14.5" x14ac:dyDescent="0.35"/>
  <cols>
    <col min="2" max="2" width="6.7265625" style="6" bestFit="1" customWidth="1"/>
    <col min="3" max="3" width="19.1796875" style="2" customWidth="1"/>
    <col min="4" max="4" width="12.1796875" customWidth="1"/>
    <col min="5" max="9" width="10.54296875" bestFit="1" customWidth="1"/>
    <col min="10" max="12" width="10.54296875" style="10" bestFit="1" customWidth="1"/>
    <col min="13" max="20" width="10.54296875" style="10" customWidth="1"/>
    <col min="21" max="23" width="10.54296875" style="10" bestFit="1" customWidth="1"/>
    <col min="24" max="24" width="10.54296875" style="10" customWidth="1"/>
    <col min="25" max="25" width="10" style="11" bestFit="1" customWidth="1"/>
    <col min="26" max="26" width="19.1796875" style="11" bestFit="1" customWidth="1"/>
    <col min="27" max="27" width="14.7265625" style="11" bestFit="1" customWidth="1"/>
    <col min="28" max="28" width="9.54296875" style="13" bestFit="1" customWidth="1"/>
    <col min="30" max="30" width="7.81640625" style="11" bestFit="1" customWidth="1"/>
    <col min="31" max="32" width="7.81640625" style="11" customWidth="1"/>
    <col min="33" max="34" width="10.81640625" style="11" customWidth="1"/>
    <col min="35" max="35" width="9.1796875" style="11"/>
  </cols>
  <sheetData>
    <row r="2" spans="3:114" x14ac:dyDescent="0.35">
      <c r="D2" s="15" t="s">
        <v>10</v>
      </c>
      <c r="E2" s="5" t="s">
        <v>11</v>
      </c>
      <c r="F2" s="5" t="s">
        <v>13</v>
      </c>
      <c r="G2" s="5" t="s">
        <v>25</v>
      </c>
      <c r="H2" s="5" t="s">
        <v>27</v>
      </c>
      <c r="I2" s="5" t="s">
        <v>28</v>
      </c>
      <c r="J2" s="5" t="s">
        <v>34</v>
      </c>
    </row>
    <row r="3" spans="3:114" x14ac:dyDescent="0.35">
      <c r="D3">
        <v>7</v>
      </c>
      <c r="E3">
        <v>7</v>
      </c>
      <c r="F3">
        <v>7</v>
      </c>
      <c r="G3">
        <v>7</v>
      </c>
      <c r="H3">
        <v>7</v>
      </c>
      <c r="I3">
        <v>7</v>
      </c>
      <c r="J3">
        <v>7</v>
      </c>
      <c r="K3">
        <f>SUM(D3:J3)</f>
        <v>49</v>
      </c>
      <c r="L3">
        <v>32</v>
      </c>
      <c r="M3"/>
      <c r="N3"/>
      <c r="O3"/>
      <c r="P3"/>
      <c r="Q3"/>
      <c r="R3"/>
      <c r="S3"/>
      <c r="T3"/>
    </row>
    <row r="4" spans="3:114" x14ac:dyDescent="0.35">
      <c r="D4">
        <v>7</v>
      </c>
      <c r="E4">
        <v>7</v>
      </c>
      <c r="F4">
        <v>7</v>
      </c>
      <c r="G4">
        <v>7</v>
      </c>
      <c r="H4">
        <v>7</v>
      </c>
      <c r="I4">
        <v>30</v>
      </c>
      <c r="J4">
        <v>100</v>
      </c>
      <c r="K4">
        <f t="shared" ref="K4:K8" si="0">SUM(D4:J4)</f>
        <v>165</v>
      </c>
      <c r="L4">
        <v>16</v>
      </c>
      <c r="M4"/>
      <c r="N4"/>
      <c r="O4"/>
      <c r="P4"/>
      <c r="Q4"/>
      <c r="R4"/>
      <c r="S4"/>
      <c r="T4"/>
    </row>
    <row r="5" spans="3:114" x14ac:dyDescent="0.35">
      <c r="D5">
        <v>7</v>
      </c>
      <c r="E5">
        <v>7</v>
      </c>
      <c r="F5">
        <v>7</v>
      </c>
      <c r="G5">
        <v>15</v>
      </c>
      <c r="H5">
        <v>15</v>
      </c>
      <c r="I5">
        <v>100</v>
      </c>
      <c r="J5">
        <v>100</v>
      </c>
      <c r="K5">
        <f t="shared" si="0"/>
        <v>251</v>
      </c>
      <c r="L5">
        <v>8</v>
      </c>
      <c r="M5"/>
      <c r="N5"/>
      <c r="O5"/>
      <c r="P5"/>
      <c r="Q5"/>
      <c r="R5"/>
      <c r="S5"/>
      <c r="T5"/>
    </row>
    <row r="6" spans="3:114" x14ac:dyDescent="0.35"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f t="shared" si="0"/>
        <v>700</v>
      </c>
      <c r="L6">
        <v>4</v>
      </c>
      <c r="M6"/>
      <c r="N6"/>
      <c r="O6"/>
      <c r="P6"/>
      <c r="Q6"/>
      <c r="R6"/>
      <c r="S6"/>
      <c r="T6"/>
    </row>
    <row r="7" spans="3:114" x14ac:dyDescent="0.35">
      <c r="D7">
        <v>15</v>
      </c>
      <c r="E7">
        <v>30</v>
      </c>
      <c r="F7">
        <v>100</v>
      </c>
      <c r="G7">
        <v>100</v>
      </c>
      <c r="H7">
        <v>100</v>
      </c>
      <c r="I7">
        <v>100</v>
      </c>
      <c r="J7">
        <v>100</v>
      </c>
      <c r="K7">
        <f t="shared" si="0"/>
        <v>545</v>
      </c>
      <c r="L7">
        <v>2</v>
      </c>
      <c r="M7"/>
      <c r="N7"/>
      <c r="O7"/>
      <c r="P7"/>
      <c r="Q7"/>
      <c r="R7"/>
      <c r="S7"/>
      <c r="T7"/>
      <c r="AO7" s="15" t="s">
        <v>10</v>
      </c>
      <c r="AP7" s="5" t="s">
        <v>11</v>
      </c>
      <c r="AQ7" s="5" t="s">
        <v>13</v>
      </c>
      <c r="AR7" s="5" t="s">
        <v>25</v>
      </c>
      <c r="AS7" s="5" t="s">
        <v>27</v>
      </c>
      <c r="AT7" s="5" t="s">
        <v>28</v>
      </c>
      <c r="AW7" s="15" t="s">
        <v>10</v>
      </c>
      <c r="AX7" s="5" t="s">
        <v>11</v>
      </c>
      <c r="AY7" s="5" t="s">
        <v>13</v>
      </c>
      <c r="AZ7" s="5" t="s">
        <v>25</v>
      </c>
      <c r="BA7" s="5" t="s">
        <v>27</v>
      </c>
      <c r="BB7" s="5" t="s">
        <v>28</v>
      </c>
      <c r="BD7" s="15" t="s">
        <v>10</v>
      </c>
      <c r="BE7" s="5" t="s">
        <v>11</v>
      </c>
      <c r="BF7" s="5" t="s">
        <v>13</v>
      </c>
      <c r="BG7" s="5" t="s">
        <v>25</v>
      </c>
      <c r="BH7" s="5" t="s">
        <v>27</v>
      </c>
      <c r="BI7" s="5" t="s">
        <v>28</v>
      </c>
      <c r="BK7" s="15" t="s">
        <v>10</v>
      </c>
      <c r="BL7" s="5" t="s">
        <v>11</v>
      </c>
      <c r="BM7" s="5" t="s">
        <v>13</v>
      </c>
      <c r="BN7" s="5" t="s">
        <v>25</v>
      </c>
      <c r="BO7" s="5" t="s">
        <v>27</v>
      </c>
      <c r="BP7" s="5" t="s">
        <v>28</v>
      </c>
      <c r="BR7" s="15" t="s">
        <v>10</v>
      </c>
      <c r="BS7" s="5" t="s">
        <v>11</v>
      </c>
      <c r="BT7" s="5" t="s">
        <v>13</v>
      </c>
      <c r="BU7" s="5" t="s">
        <v>25</v>
      </c>
      <c r="BV7" s="5" t="s">
        <v>27</v>
      </c>
      <c r="BW7" s="5" t="s">
        <v>28</v>
      </c>
      <c r="BY7" s="15" t="s">
        <v>10</v>
      </c>
      <c r="BZ7" s="5" t="s">
        <v>11</v>
      </c>
      <c r="CA7" s="5" t="s">
        <v>13</v>
      </c>
      <c r="CB7" s="5" t="s">
        <v>25</v>
      </c>
      <c r="CC7" s="5" t="s">
        <v>27</v>
      </c>
      <c r="CD7" s="5" t="s">
        <v>28</v>
      </c>
      <c r="CF7" s="15" t="s">
        <v>10</v>
      </c>
      <c r="CG7" s="5" t="s">
        <v>11</v>
      </c>
      <c r="CH7" s="5" t="s">
        <v>13</v>
      </c>
      <c r="CI7" s="5" t="s">
        <v>25</v>
      </c>
      <c r="CJ7" s="5" t="s">
        <v>27</v>
      </c>
      <c r="CK7" s="5" t="s">
        <v>28</v>
      </c>
      <c r="CL7" s="5" t="s">
        <v>34</v>
      </c>
      <c r="CN7" s="15" t="s">
        <v>10</v>
      </c>
      <c r="CO7" s="5" t="s">
        <v>11</v>
      </c>
      <c r="CP7" s="5" t="s">
        <v>13</v>
      </c>
      <c r="CQ7" s="5" t="s">
        <v>25</v>
      </c>
      <c r="CR7" s="5" t="s">
        <v>27</v>
      </c>
      <c r="CS7" s="5" t="s">
        <v>28</v>
      </c>
      <c r="CT7" s="5" t="s">
        <v>34</v>
      </c>
      <c r="CV7" s="15" t="s">
        <v>10</v>
      </c>
      <c r="CW7" s="5" t="s">
        <v>11</v>
      </c>
      <c r="CX7" s="5" t="s">
        <v>13</v>
      </c>
      <c r="CY7" s="5" t="s">
        <v>25</v>
      </c>
      <c r="CZ7" s="5" t="s">
        <v>27</v>
      </c>
      <c r="DA7" s="5" t="s">
        <v>28</v>
      </c>
      <c r="DB7" s="5" t="s">
        <v>34</v>
      </c>
      <c r="DD7" s="15" t="s">
        <v>10</v>
      </c>
      <c r="DE7" s="5" t="s">
        <v>11</v>
      </c>
      <c r="DF7" s="5" t="s">
        <v>13</v>
      </c>
      <c r="DG7" s="5" t="s">
        <v>25</v>
      </c>
      <c r="DH7" s="5" t="s">
        <v>27</v>
      </c>
      <c r="DI7" s="5" t="s">
        <v>28</v>
      </c>
      <c r="DJ7" s="5" t="s">
        <v>34</v>
      </c>
    </row>
    <row r="8" spans="3:114" x14ac:dyDescent="0.35">
      <c r="D8">
        <v>7</v>
      </c>
      <c r="E8">
        <v>15</v>
      </c>
      <c r="F8">
        <v>30</v>
      </c>
      <c r="G8">
        <v>100</v>
      </c>
      <c r="H8">
        <v>100</v>
      </c>
      <c r="I8">
        <v>100</v>
      </c>
      <c r="J8">
        <v>100</v>
      </c>
      <c r="K8">
        <f t="shared" si="0"/>
        <v>452</v>
      </c>
      <c r="L8">
        <v>1</v>
      </c>
      <c r="M8"/>
      <c r="N8"/>
      <c r="O8"/>
      <c r="P8"/>
      <c r="Q8"/>
      <c r="R8"/>
      <c r="S8"/>
      <c r="T8"/>
      <c r="AO8">
        <v>7</v>
      </c>
      <c r="AP8">
        <v>7</v>
      </c>
      <c r="AQ8">
        <v>7</v>
      </c>
      <c r="AR8">
        <v>7</v>
      </c>
      <c r="AS8">
        <v>7</v>
      </c>
      <c r="AT8">
        <v>7</v>
      </c>
      <c r="AW8">
        <v>7</v>
      </c>
      <c r="AX8">
        <v>7</v>
      </c>
      <c r="AY8">
        <v>7</v>
      </c>
      <c r="AZ8">
        <v>7</v>
      </c>
      <c r="BA8">
        <v>7</v>
      </c>
      <c r="BB8">
        <v>100</v>
      </c>
      <c r="BD8">
        <v>7</v>
      </c>
      <c r="BE8">
        <v>7</v>
      </c>
      <c r="BF8">
        <v>7</v>
      </c>
      <c r="BG8">
        <v>7</v>
      </c>
      <c r="BH8">
        <v>7</v>
      </c>
      <c r="BI8">
        <v>100</v>
      </c>
      <c r="BK8">
        <v>7</v>
      </c>
      <c r="BL8">
        <v>7</v>
      </c>
      <c r="BM8">
        <v>7</v>
      </c>
      <c r="BN8">
        <v>7</v>
      </c>
      <c r="BO8">
        <v>7</v>
      </c>
      <c r="BP8">
        <v>100</v>
      </c>
      <c r="BR8">
        <v>7</v>
      </c>
      <c r="BS8">
        <v>7</v>
      </c>
      <c r="BT8">
        <v>7</v>
      </c>
      <c r="BU8">
        <v>7</v>
      </c>
      <c r="BV8">
        <v>7</v>
      </c>
      <c r="BW8">
        <v>20</v>
      </c>
      <c r="BY8">
        <v>7</v>
      </c>
      <c r="BZ8">
        <v>7</v>
      </c>
      <c r="CA8">
        <v>7</v>
      </c>
      <c r="CB8">
        <v>7</v>
      </c>
      <c r="CC8">
        <v>7</v>
      </c>
      <c r="CD8">
        <v>7</v>
      </c>
      <c r="CF8">
        <v>7</v>
      </c>
      <c r="CG8">
        <v>7</v>
      </c>
      <c r="CH8">
        <v>7</v>
      </c>
      <c r="CI8">
        <v>7</v>
      </c>
      <c r="CJ8">
        <v>7</v>
      </c>
      <c r="CK8">
        <v>7</v>
      </c>
      <c r="CL8">
        <v>7</v>
      </c>
      <c r="CN8">
        <v>7</v>
      </c>
      <c r="CO8">
        <v>7</v>
      </c>
      <c r="CP8">
        <v>7</v>
      </c>
      <c r="CQ8">
        <v>7</v>
      </c>
      <c r="CR8">
        <v>7</v>
      </c>
      <c r="CS8">
        <v>7</v>
      </c>
      <c r="CT8">
        <v>7</v>
      </c>
      <c r="CV8">
        <v>7</v>
      </c>
      <c r="CW8">
        <v>7</v>
      </c>
      <c r="CX8">
        <v>7</v>
      </c>
      <c r="CY8">
        <v>7</v>
      </c>
      <c r="CZ8">
        <v>7</v>
      </c>
      <c r="DA8">
        <v>7</v>
      </c>
      <c r="DB8">
        <v>7</v>
      </c>
      <c r="DD8">
        <v>7</v>
      </c>
      <c r="DE8">
        <v>7</v>
      </c>
      <c r="DF8">
        <v>7</v>
      </c>
      <c r="DG8">
        <v>7</v>
      </c>
      <c r="DH8">
        <v>7</v>
      </c>
      <c r="DI8">
        <v>7</v>
      </c>
      <c r="DJ8">
        <v>7</v>
      </c>
    </row>
    <row r="9" spans="3:114" x14ac:dyDescent="0.35">
      <c r="J9"/>
      <c r="L9"/>
      <c r="M9"/>
      <c r="N9"/>
      <c r="O9"/>
      <c r="P9"/>
      <c r="Q9"/>
      <c r="R9"/>
      <c r="S9"/>
      <c r="T9"/>
      <c r="AO9">
        <v>7</v>
      </c>
      <c r="AP9">
        <v>7</v>
      </c>
      <c r="AQ9">
        <v>7</v>
      </c>
      <c r="AR9">
        <v>7</v>
      </c>
      <c r="AS9">
        <v>100</v>
      </c>
      <c r="AT9">
        <v>100</v>
      </c>
      <c r="AW9">
        <v>7</v>
      </c>
      <c r="AX9">
        <v>7</v>
      </c>
      <c r="AY9">
        <v>7</v>
      </c>
      <c r="AZ9">
        <v>7</v>
      </c>
      <c r="BA9">
        <v>100</v>
      </c>
      <c r="BB9">
        <v>20</v>
      </c>
      <c r="BD9">
        <v>7</v>
      </c>
      <c r="BE9">
        <v>7</v>
      </c>
      <c r="BF9">
        <v>7</v>
      </c>
      <c r="BG9">
        <v>100</v>
      </c>
      <c r="BH9">
        <v>100</v>
      </c>
      <c r="BI9">
        <v>20</v>
      </c>
      <c r="BK9">
        <v>7</v>
      </c>
      <c r="BL9">
        <v>7</v>
      </c>
      <c r="BM9">
        <v>7</v>
      </c>
      <c r="BN9">
        <v>100</v>
      </c>
      <c r="BO9">
        <v>100</v>
      </c>
      <c r="BP9">
        <v>20</v>
      </c>
      <c r="BR9">
        <v>7</v>
      </c>
      <c r="BS9">
        <v>7</v>
      </c>
      <c r="BT9">
        <v>7</v>
      </c>
      <c r="BU9">
        <v>7</v>
      </c>
      <c r="BV9">
        <v>20</v>
      </c>
      <c r="BW9">
        <v>100</v>
      </c>
      <c r="BY9">
        <v>7</v>
      </c>
      <c r="BZ9">
        <v>7</v>
      </c>
      <c r="CA9">
        <v>7</v>
      </c>
      <c r="CB9">
        <v>100</v>
      </c>
      <c r="CC9">
        <v>100</v>
      </c>
      <c r="CD9">
        <v>100</v>
      </c>
      <c r="CF9">
        <v>7</v>
      </c>
      <c r="CG9">
        <v>7</v>
      </c>
      <c r="CH9">
        <v>7</v>
      </c>
      <c r="CI9">
        <v>20</v>
      </c>
      <c r="CJ9">
        <v>100</v>
      </c>
      <c r="CK9">
        <v>150</v>
      </c>
      <c r="CL9">
        <v>150</v>
      </c>
      <c r="CN9">
        <v>7</v>
      </c>
      <c r="CO9">
        <v>7</v>
      </c>
      <c r="CP9">
        <v>7</v>
      </c>
      <c r="CQ9">
        <v>20</v>
      </c>
      <c r="CR9">
        <v>100</v>
      </c>
      <c r="CS9">
        <v>150</v>
      </c>
      <c r="CT9">
        <v>150</v>
      </c>
      <c r="CV9">
        <v>7</v>
      </c>
      <c r="CW9">
        <v>7</v>
      </c>
      <c r="CX9">
        <v>7</v>
      </c>
      <c r="CY9">
        <v>7</v>
      </c>
      <c r="CZ9">
        <v>7</v>
      </c>
      <c r="DA9">
        <v>30</v>
      </c>
      <c r="DB9">
        <v>100</v>
      </c>
      <c r="DD9">
        <v>7</v>
      </c>
      <c r="DE9">
        <v>7</v>
      </c>
      <c r="DF9">
        <v>7</v>
      </c>
      <c r="DG9">
        <v>7</v>
      </c>
      <c r="DH9">
        <v>7</v>
      </c>
      <c r="DI9">
        <v>30</v>
      </c>
      <c r="DJ9">
        <v>100</v>
      </c>
    </row>
    <row r="10" spans="3:114" x14ac:dyDescent="0.35">
      <c r="D10" s="16" t="s">
        <v>7</v>
      </c>
      <c r="E10" s="9" t="s">
        <v>8</v>
      </c>
      <c r="F10" s="9" t="s">
        <v>12</v>
      </c>
      <c r="G10" s="9" t="s">
        <v>26</v>
      </c>
      <c r="H10" s="9" t="s">
        <v>29</v>
      </c>
      <c r="I10" s="9" t="s">
        <v>30</v>
      </c>
      <c r="J10" s="9" t="s">
        <v>35</v>
      </c>
      <c r="L10"/>
      <c r="M10"/>
      <c r="N10"/>
      <c r="O10"/>
      <c r="P10"/>
      <c r="Q10"/>
      <c r="R10"/>
      <c r="S10"/>
      <c r="T10"/>
      <c r="AO10">
        <v>7</v>
      </c>
      <c r="AP10">
        <v>7</v>
      </c>
      <c r="AQ10">
        <v>20</v>
      </c>
      <c r="AR10">
        <v>20</v>
      </c>
      <c r="AS10">
        <v>100</v>
      </c>
      <c r="AT10">
        <v>100</v>
      </c>
      <c r="AW10">
        <v>7</v>
      </c>
      <c r="AX10">
        <v>7</v>
      </c>
      <c r="AY10">
        <v>7</v>
      </c>
      <c r="AZ10">
        <v>100</v>
      </c>
      <c r="BA10">
        <v>20</v>
      </c>
      <c r="BB10">
        <v>20</v>
      </c>
      <c r="BD10">
        <v>7</v>
      </c>
      <c r="BE10">
        <v>7</v>
      </c>
      <c r="BF10">
        <v>100</v>
      </c>
      <c r="BG10">
        <v>100</v>
      </c>
      <c r="BH10">
        <v>100</v>
      </c>
      <c r="BI10">
        <v>20</v>
      </c>
      <c r="BK10">
        <v>7</v>
      </c>
      <c r="BL10">
        <v>7</v>
      </c>
      <c r="BM10">
        <v>100</v>
      </c>
      <c r="BN10">
        <v>100</v>
      </c>
      <c r="BO10">
        <v>100</v>
      </c>
      <c r="BP10">
        <v>20</v>
      </c>
      <c r="BR10">
        <v>7</v>
      </c>
      <c r="BS10">
        <v>7</v>
      </c>
      <c r="BT10">
        <v>7</v>
      </c>
      <c r="BU10">
        <v>20</v>
      </c>
      <c r="BV10">
        <v>100</v>
      </c>
      <c r="BW10">
        <v>100</v>
      </c>
      <c r="BY10">
        <v>7</v>
      </c>
      <c r="BZ10">
        <v>100</v>
      </c>
      <c r="CA10">
        <v>100</v>
      </c>
      <c r="CB10">
        <v>100</v>
      </c>
      <c r="CC10">
        <v>100</v>
      </c>
      <c r="CD10">
        <v>100</v>
      </c>
      <c r="CF10">
        <v>7</v>
      </c>
      <c r="CG10">
        <v>20</v>
      </c>
      <c r="CH10">
        <v>20</v>
      </c>
      <c r="CI10">
        <v>20</v>
      </c>
      <c r="CJ10">
        <v>20</v>
      </c>
      <c r="CK10">
        <v>20</v>
      </c>
      <c r="CL10">
        <v>150</v>
      </c>
      <c r="CN10">
        <v>7</v>
      </c>
      <c r="CO10">
        <v>20</v>
      </c>
      <c r="CP10">
        <v>20</v>
      </c>
      <c r="CQ10">
        <v>20</v>
      </c>
      <c r="CR10">
        <v>20</v>
      </c>
      <c r="CS10">
        <v>20</v>
      </c>
      <c r="CT10">
        <v>150</v>
      </c>
      <c r="CV10">
        <v>7</v>
      </c>
      <c r="CW10">
        <v>7</v>
      </c>
      <c r="CX10">
        <v>7</v>
      </c>
      <c r="CY10">
        <v>30</v>
      </c>
      <c r="CZ10">
        <v>30</v>
      </c>
      <c r="DA10">
        <v>30</v>
      </c>
      <c r="DB10">
        <v>100</v>
      </c>
      <c r="DD10">
        <v>7</v>
      </c>
      <c r="DE10">
        <v>7</v>
      </c>
      <c r="DF10">
        <v>7</v>
      </c>
      <c r="DG10">
        <v>15</v>
      </c>
      <c r="DH10">
        <v>15</v>
      </c>
      <c r="DI10">
        <v>100</v>
      </c>
      <c r="DJ10">
        <v>100</v>
      </c>
    </row>
    <row r="11" spans="3:114" x14ac:dyDescent="0.35">
      <c r="D11" s="10">
        <f>0.2/(D3*1000)</f>
        <v>2.8571428571428574E-5</v>
      </c>
      <c r="E11" s="10">
        <f t="shared" ref="E11:J11" si="1">0.2/(E3*1000)</f>
        <v>2.8571428571428574E-5</v>
      </c>
      <c r="F11" s="10">
        <f t="shared" si="1"/>
        <v>2.8571428571428574E-5</v>
      </c>
      <c r="G11" s="10">
        <f t="shared" si="1"/>
        <v>2.8571428571428574E-5</v>
      </c>
      <c r="H11" s="10">
        <f t="shared" si="1"/>
        <v>2.8571428571428574E-5</v>
      </c>
      <c r="I11" s="10">
        <f t="shared" si="1"/>
        <v>2.8571428571428574E-5</v>
      </c>
      <c r="J11" s="10">
        <f t="shared" si="1"/>
        <v>2.8571428571428574E-5</v>
      </c>
      <c r="K11" s="10">
        <f>SUM(D11:J11)</f>
        <v>2.0000000000000004E-4</v>
      </c>
      <c r="L11"/>
      <c r="M11"/>
      <c r="N11"/>
      <c r="O11"/>
      <c r="P11"/>
      <c r="Q11"/>
      <c r="R11"/>
      <c r="S11"/>
      <c r="T11"/>
      <c r="AO11">
        <v>100</v>
      </c>
      <c r="AP11">
        <v>100</v>
      </c>
      <c r="AQ11">
        <v>100</v>
      </c>
      <c r="AR11">
        <v>100</v>
      </c>
      <c r="AS11">
        <v>100</v>
      </c>
      <c r="AT11">
        <v>100</v>
      </c>
      <c r="AW11">
        <v>7</v>
      </c>
      <c r="AX11">
        <v>7</v>
      </c>
      <c r="AY11">
        <v>100</v>
      </c>
      <c r="AZ11">
        <v>20</v>
      </c>
      <c r="BA11">
        <v>20</v>
      </c>
      <c r="BB11">
        <v>20</v>
      </c>
      <c r="BD11">
        <v>7</v>
      </c>
      <c r="BE11">
        <v>100</v>
      </c>
      <c r="BF11">
        <v>100</v>
      </c>
      <c r="BG11">
        <v>100</v>
      </c>
      <c r="BH11">
        <v>20</v>
      </c>
      <c r="BI11">
        <v>20</v>
      </c>
      <c r="BK11">
        <v>100</v>
      </c>
      <c r="BL11">
        <v>100</v>
      </c>
      <c r="BM11">
        <v>100</v>
      </c>
      <c r="BN11">
        <v>100</v>
      </c>
      <c r="BO11">
        <v>100</v>
      </c>
      <c r="BP11">
        <v>100</v>
      </c>
      <c r="BR11">
        <v>20</v>
      </c>
      <c r="BS11">
        <v>20</v>
      </c>
      <c r="BT11">
        <v>20</v>
      </c>
      <c r="BU11">
        <v>100</v>
      </c>
      <c r="BV11">
        <v>100</v>
      </c>
      <c r="BW11">
        <v>100</v>
      </c>
      <c r="BY11">
        <v>100</v>
      </c>
      <c r="BZ11">
        <v>100</v>
      </c>
      <c r="CA11">
        <v>100</v>
      </c>
      <c r="CB11">
        <v>100</v>
      </c>
      <c r="CC11">
        <v>100</v>
      </c>
      <c r="CD11">
        <v>100</v>
      </c>
      <c r="CF11">
        <v>150</v>
      </c>
      <c r="CG11">
        <v>150</v>
      </c>
      <c r="CH11">
        <v>150</v>
      </c>
      <c r="CI11">
        <v>150</v>
      </c>
      <c r="CJ11">
        <v>150</v>
      </c>
      <c r="CK11">
        <v>150</v>
      </c>
      <c r="CL11">
        <v>150</v>
      </c>
      <c r="CN11">
        <v>150</v>
      </c>
      <c r="CO11">
        <v>150</v>
      </c>
      <c r="CP11">
        <v>150</v>
      </c>
      <c r="CQ11">
        <v>150</v>
      </c>
      <c r="CR11">
        <v>150</v>
      </c>
      <c r="CS11">
        <v>150</v>
      </c>
      <c r="CT11">
        <v>150</v>
      </c>
      <c r="CV11">
        <v>100</v>
      </c>
      <c r="CW11">
        <v>100</v>
      </c>
      <c r="CX11">
        <v>100</v>
      </c>
      <c r="CY11">
        <v>100</v>
      </c>
      <c r="CZ11">
        <v>100</v>
      </c>
      <c r="DA11">
        <v>100</v>
      </c>
      <c r="DB11">
        <v>100</v>
      </c>
      <c r="DD11">
        <v>100</v>
      </c>
      <c r="DE11">
        <v>100</v>
      </c>
      <c r="DF11">
        <v>100</v>
      </c>
      <c r="DG11">
        <v>100</v>
      </c>
      <c r="DH11">
        <v>100</v>
      </c>
      <c r="DI11">
        <v>100</v>
      </c>
      <c r="DJ11">
        <v>100</v>
      </c>
    </row>
    <row r="12" spans="3:114" x14ac:dyDescent="0.35">
      <c r="D12" s="10">
        <f t="shared" ref="D12:J12" si="2">0.2/(D4*1000)</f>
        <v>2.8571428571428574E-5</v>
      </c>
      <c r="E12" s="10">
        <f t="shared" si="2"/>
        <v>2.8571428571428574E-5</v>
      </c>
      <c r="F12" s="10">
        <f t="shared" si="2"/>
        <v>2.8571428571428574E-5</v>
      </c>
      <c r="G12" s="10">
        <f t="shared" si="2"/>
        <v>2.8571428571428574E-5</v>
      </c>
      <c r="H12" s="10">
        <f t="shared" si="2"/>
        <v>2.8571428571428574E-5</v>
      </c>
      <c r="I12" s="10">
        <f t="shared" si="2"/>
        <v>6.6666666666666666E-6</v>
      </c>
      <c r="J12" s="10">
        <f t="shared" si="2"/>
        <v>1.9999999999999999E-6</v>
      </c>
      <c r="K12" s="10">
        <f t="shared" ref="K12:K13" si="3">SUM(D12:J12)</f>
        <v>1.5152380952380954E-4</v>
      </c>
      <c r="L12"/>
      <c r="M12"/>
      <c r="N12"/>
      <c r="O12"/>
      <c r="P12"/>
      <c r="Q12"/>
      <c r="R12"/>
      <c r="S12"/>
      <c r="T12"/>
      <c r="AO12">
        <v>20</v>
      </c>
      <c r="AP12">
        <v>100</v>
      </c>
      <c r="AQ12">
        <v>100</v>
      </c>
      <c r="AR12">
        <v>100</v>
      </c>
      <c r="AS12">
        <v>100</v>
      </c>
      <c r="AT12">
        <v>100</v>
      </c>
      <c r="AW12">
        <v>7</v>
      </c>
      <c r="AX12">
        <v>100</v>
      </c>
      <c r="AY12">
        <v>20</v>
      </c>
      <c r="AZ12">
        <v>20</v>
      </c>
      <c r="BA12">
        <v>20</v>
      </c>
      <c r="BB12">
        <v>20</v>
      </c>
      <c r="BD12">
        <v>100</v>
      </c>
      <c r="BE12">
        <v>100</v>
      </c>
      <c r="BF12">
        <v>100</v>
      </c>
      <c r="BG12">
        <v>20</v>
      </c>
      <c r="BH12">
        <v>20</v>
      </c>
      <c r="BI12">
        <v>20</v>
      </c>
      <c r="BK12">
        <v>100</v>
      </c>
      <c r="BL12">
        <v>100</v>
      </c>
      <c r="BM12">
        <v>100</v>
      </c>
      <c r="BN12">
        <v>20</v>
      </c>
      <c r="BO12">
        <v>20</v>
      </c>
      <c r="BP12">
        <v>20</v>
      </c>
      <c r="BR12">
        <v>20</v>
      </c>
      <c r="BS12">
        <v>20</v>
      </c>
      <c r="BT12">
        <v>100</v>
      </c>
      <c r="BU12">
        <v>100</v>
      </c>
      <c r="BV12">
        <v>100</v>
      </c>
      <c r="BW12">
        <v>100</v>
      </c>
      <c r="BY12">
        <v>20</v>
      </c>
      <c r="BZ12">
        <v>100</v>
      </c>
      <c r="CA12">
        <v>100</v>
      </c>
      <c r="CB12">
        <v>100</v>
      </c>
      <c r="CC12">
        <v>100</v>
      </c>
      <c r="CD12">
        <v>100</v>
      </c>
      <c r="CF12">
        <v>20</v>
      </c>
      <c r="CG12">
        <v>150</v>
      </c>
      <c r="CH12">
        <v>150</v>
      </c>
      <c r="CI12">
        <v>150</v>
      </c>
      <c r="CJ12">
        <v>150</v>
      </c>
      <c r="CK12">
        <v>150</v>
      </c>
      <c r="CL12">
        <v>150</v>
      </c>
      <c r="CN12">
        <v>20</v>
      </c>
      <c r="CO12">
        <v>150</v>
      </c>
      <c r="CP12">
        <v>150</v>
      </c>
      <c r="CQ12">
        <v>150</v>
      </c>
      <c r="CR12">
        <v>150</v>
      </c>
      <c r="CS12">
        <v>150</v>
      </c>
      <c r="CT12">
        <v>150</v>
      </c>
      <c r="CV12">
        <v>30</v>
      </c>
      <c r="CW12">
        <v>30</v>
      </c>
      <c r="CX12">
        <v>100</v>
      </c>
      <c r="CY12">
        <v>100</v>
      </c>
      <c r="CZ12">
        <v>100</v>
      </c>
      <c r="DA12">
        <v>100</v>
      </c>
      <c r="DB12">
        <v>100</v>
      </c>
      <c r="DD12">
        <v>15</v>
      </c>
      <c r="DE12">
        <v>30</v>
      </c>
      <c r="DF12">
        <v>100</v>
      </c>
      <c r="DG12">
        <v>100</v>
      </c>
      <c r="DH12">
        <v>100</v>
      </c>
      <c r="DI12">
        <v>100</v>
      </c>
      <c r="DJ12">
        <v>100</v>
      </c>
    </row>
    <row r="13" spans="3:114" x14ac:dyDescent="0.35">
      <c r="C13" s="2">
        <v>0</v>
      </c>
      <c r="D13" s="10">
        <f t="shared" ref="D13:J13" si="4">0.2/(D5*1000)</f>
        <v>2.8571428571428574E-5</v>
      </c>
      <c r="E13" s="10">
        <f t="shared" si="4"/>
        <v>2.8571428571428574E-5</v>
      </c>
      <c r="F13" s="10">
        <f t="shared" si="4"/>
        <v>2.8571428571428574E-5</v>
      </c>
      <c r="G13" s="10">
        <f t="shared" si="4"/>
        <v>1.3333333333333333E-5</v>
      </c>
      <c r="H13" s="10">
        <f t="shared" si="4"/>
        <v>1.3333333333333333E-5</v>
      </c>
      <c r="I13" s="10">
        <f t="shared" si="4"/>
        <v>1.9999999999999999E-6</v>
      </c>
      <c r="J13" s="10">
        <f t="shared" si="4"/>
        <v>1.9999999999999999E-6</v>
      </c>
      <c r="K13" s="10">
        <f t="shared" si="3"/>
        <v>1.1638095238095239E-4</v>
      </c>
      <c r="AO13">
        <v>7</v>
      </c>
      <c r="AP13">
        <v>20</v>
      </c>
      <c r="AQ13">
        <v>100</v>
      </c>
      <c r="AR13">
        <v>100</v>
      </c>
      <c r="AS13">
        <v>100</v>
      </c>
      <c r="AT13">
        <v>100</v>
      </c>
      <c r="AW13">
        <v>100</v>
      </c>
      <c r="AX13">
        <v>20</v>
      </c>
      <c r="AY13">
        <v>20</v>
      </c>
      <c r="AZ13">
        <v>20</v>
      </c>
      <c r="BA13">
        <v>20</v>
      </c>
      <c r="BB13">
        <v>20</v>
      </c>
      <c r="BD13">
        <v>100</v>
      </c>
      <c r="BE13">
        <v>100</v>
      </c>
      <c r="BF13">
        <v>20</v>
      </c>
      <c r="BG13">
        <v>20</v>
      </c>
      <c r="BH13">
        <v>20</v>
      </c>
      <c r="BI13">
        <v>20</v>
      </c>
      <c r="BK13">
        <v>100</v>
      </c>
      <c r="BL13">
        <v>100</v>
      </c>
      <c r="BM13">
        <v>20</v>
      </c>
      <c r="BN13">
        <v>20</v>
      </c>
      <c r="BO13">
        <v>20</v>
      </c>
      <c r="BP13">
        <v>20</v>
      </c>
      <c r="BR13">
        <v>20</v>
      </c>
      <c r="BS13">
        <v>100</v>
      </c>
      <c r="BT13">
        <v>100</v>
      </c>
      <c r="BU13">
        <v>100</v>
      </c>
      <c r="BV13">
        <v>100</v>
      </c>
      <c r="BW13">
        <v>100</v>
      </c>
      <c r="BY13">
        <v>20</v>
      </c>
      <c r="BZ13">
        <v>20</v>
      </c>
      <c r="CA13">
        <v>100</v>
      </c>
      <c r="CB13">
        <v>100</v>
      </c>
      <c r="CC13">
        <v>100</v>
      </c>
      <c r="CD13">
        <v>100</v>
      </c>
      <c r="CF13">
        <v>7</v>
      </c>
      <c r="CG13">
        <v>100</v>
      </c>
      <c r="CH13">
        <v>150</v>
      </c>
      <c r="CI13">
        <v>150</v>
      </c>
      <c r="CJ13">
        <v>150</v>
      </c>
      <c r="CK13">
        <v>150</v>
      </c>
      <c r="CL13">
        <v>150</v>
      </c>
      <c r="CN13">
        <v>7</v>
      </c>
      <c r="CO13">
        <v>100</v>
      </c>
      <c r="CP13">
        <v>150</v>
      </c>
      <c r="CQ13">
        <v>150</v>
      </c>
      <c r="CR13">
        <v>150</v>
      </c>
      <c r="CS13">
        <v>150</v>
      </c>
      <c r="CT13">
        <v>150</v>
      </c>
      <c r="CV13">
        <v>7</v>
      </c>
      <c r="CW13">
        <v>30</v>
      </c>
      <c r="CX13">
        <v>30</v>
      </c>
      <c r="CY13">
        <v>30</v>
      </c>
      <c r="CZ13">
        <v>100</v>
      </c>
      <c r="DA13">
        <v>100</v>
      </c>
      <c r="DB13">
        <v>100</v>
      </c>
      <c r="DD13">
        <v>7</v>
      </c>
      <c r="DE13">
        <v>15</v>
      </c>
      <c r="DF13">
        <v>30</v>
      </c>
      <c r="DG13">
        <v>100</v>
      </c>
      <c r="DH13">
        <v>100</v>
      </c>
      <c r="DI13">
        <v>100</v>
      </c>
      <c r="DJ13">
        <v>100</v>
      </c>
    </row>
    <row r="14" spans="3:114" x14ac:dyDescent="0.35">
      <c r="C14" s="2">
        <v>1</v>
      </c>
      <c r="D14" s="10">
        <f t="shared" ref="D14:J14" si="5">0.2/(D6*1000)</f>
        <v>1.9999999999999999E-6</v>
      </c>
      <c r="E14" s="10">
        <f t="shared" si="5"/>
        <v>1.9999999999999999E-6</v>
      </c>
      <c r="F14" s="10">
        <f t="shared" si="5"/>
        <v>1.9999999999999999E-6</v>
      </c>
      <c r="G14" s="10">
        <f t="shared" si="5"/>
        <v>1.9999999999999999E-6</v>
      </c>
      <c r="H14" s="10">
        <f t="shared" si="5"/>
        <v>1.9999999999999999E-6</v>
      </c>
      <c r="I14" s="10">
        <f t="shared" si="5"/>
        <v>1.9999999999999999E-6</v>
      </c>
      <c r="J14" s="10">
        <f t="shared" si="5"/>
        <v>1.9999999999999999E-6</v>
      </c>
      <c r="K14" s="10">
        <f t="shared" ref="K14:K16" si="6">SUM(D14:J14)</f>
        <v>1.3999999999999998E-5</v>
      </c>
    </row>
    <row r="15" spans="3:114" x14ac:dyDescent="0.35">
      <c r="C15" s="2">
        <v>1</v>
      </c>
      <c r="D15" s="10">
        <f t="shared" ref="D15:J15" si="7">0.2/(D7*1000)</f>
        <v>1.3333333333333333E-5</v>
      </c>
      <c r="E15" s="10">
        <f t="shared" si="7"/>
        <v>6.6666666666666666E-6</v>
      </c>
      <c r="F15" s="10">
        <f t="shared" si="7"/>
        <v>1.9999999999999999E-6</v>
      </c>
      <c r="G15" s="10">
        <f t="shared" si="7"/>
        <v>1.9999999999999999E-6</v>
      </c>
      <c r="H15" s="10">
        <f t="shared" si="7"/>
        <v>1.9999999999999999E-6</v>
      </c>
      <c r="I15" s="10">
        <f t="shared" si="7"/>
        <v>1.9999999999999999E-6</v>
      </c>
      <c r="J15" s="10">
        <f t="shared" si="7"/>
        <v>1.9999999999999999E-6</v>
      </c>
      <c r="K15" s="10">
        <f t="shared" si="6"/>
        <v>3.0000000000000004E-5</v>
      </c>
    </row>
    <row r="16" spans="3:114" x14ac:dyDescent="0.35">
      <c r="C16" s="2">
        <v>0</v>
      </c>
      <c r="D16" s="10">
        <f t="shared" ref="D16:J16" si="8">0.2/(D8*1000)</f>
        <v>2.8571428571428574E-5</v>
      </c>
      <c r="E16" s="10">
        <f t="shared" si="8"/>
        <v>1.3333333333333333E-5</v>
      </c>
      <c r="F16" s="10">
        <f t="shared" si="8"/>
        <v>6.6666666666666666E-6</v>
      </c>
      <c r="G16" s="10">
        <f t="shared" si="8"/>
        <v>1.9999999999999999E-6</v>
      </c>
      <c r="H16" s="10">
        <f t="shared" si="8"/>
        <v>1.9999999999999999E-6</v>
      </c>
      <c r="I16" s="10">
        <f t="shared" si="8"/>
        <v>1.9999999999999999E-6</v>
      </c>
      <c r="J16" s="10">
        <f t="shared" si="8"/>
        <v>1.9999999999999999E-6</v>
      </c>
      <c r="K16" s="10">
        <f t="shared" si="6"/>
        <v>5.6571428571428581E-5</v>
      </c>
    </row>
    <row r="17" spans="2:76" x14ac:dyDescent="0.35">
      <c r="K17" s="10">
        <f>SUM(K12:K16)</f>
        <v>3.6847619047619055E-4</v>
      </c>
      <c r="L17" s="10">
        <f>K15-K16</f>
        <v>-2.6571428571428576E-5</v>
      </c>
    </row>
    <row r="19" spans="2:76" s="2" customFormat="1" x14ac:dyDescent="0.35">
      <c r="B19" s="3" t="s">
        <v>6</v>
      </c>
      <c r="C19" s="4" t="s">
        <v>23</v>
      </c>
      <c r="D19" s="3" t="s">
        <v>5</v>
      </c>
      <c r="E19" s="3" t="s">
        <v>0</v>
      </c>
      <c r="F19" s="3" t="s">
        <v>1</v>
      </c>
      <c r="G19" s="3" t="s">
        <v>2</v>
      </c>
      <c r="H19" s="3" t="s">
        <v>3</v>
      </c>
      <c r="I19" s="3" t="s">
        <v>4</v>
      </c>
      <c r="J19" s="8" t="s">
        <v>7</v>
      </c>
      <c r="K19" s="8" t="s">
        <v>8</v>
      </c>
      <c r="L19" s="8" t="s">
        <v>12</v>
      </c>
      <c r="M19" s="8" t="s">
        <v>26</v>
      </c>
      <c r="N19" s="8" t="s">
        <v>29</v>
      </c>
      <c r="O19" s="8" t="s">
        <v>30</v>
      </c>
      <c r="P19" s="8" t="s">
        <v>35</v>
      </c>
      <c r="Q19" s="12" t="s">
        <v>37</v>
      </c>
      <c r="R19" s="8" t="s">
        <v>43</v>
      </c>
      <c r="S19" s="8" t="s">
        <v>44</v>
      </c>
      <c r="T19" s="8" t="s">
        <v>45</v>
      </c>
      <c r="U19" s="8" t="s">
        <v>46</v>
      </c>
      <c r="V19" s="8" t="s">
        <v>47</v>
      </c>
      <c r="W19" s="8" t="s">
        <v>48</v>
      </c>
      <c r="X19" s="8" t="s">
        <v>49</v>
      </c>
      <c r="Y19" s="12" t="s">
        <v>50</v>
      </c>
      <c r="Z19" s="8" t="s">
        <v>36</v>
      </c>
      <c r="AA19" s="12" t="s">
        <v>14</v>
      </c>
      <c r="AB19" s="14" t="s">
        <v>15</v>
      </c>
      <c r="AD19" s="12"/>
      <c r="AE19" s="12"/>
      <c r="AF19" s="12" t="s">
        <v>33</v>
      </c>
      <c r="AG19" s="12"/>
      <c r="AH19" s="12"/>
      <c r="AI19" s="12" t="s">
        <v>24</v>
      </c>
      <c r="AJ19" s="14" t="s">
        <v>15</v>
      </c>
    </row>
    <row r="20" spans="2:76" x14ac:dyDescent="0.35">
      <c r="B20" s="6">
        <v>0</v>
      </c>
      <c r="C20" s="2" t="s">
        <v>16</v>
      </c>
      <c r="D20" s="6" t="str">
        <f t="shared" ref="D20:D51" si="9">LEFT(RIGHT(DEC2BIN($B20,3),3),1)</f>
        <v>0</v>
      </c>
      <c r="E20" s="6" t="str">
        <f t="shared" ref="E20:E51" si="10">LEFT(RIGHT(DEC2BIN($B20,3),2),1)</f>
        <v>0</v>
      </c>
      <c r="F20" s="6" t="str">
        <f t="shared" ref="F20:F51" si="11">LEFT(RIGHT(DEC2BIN($B20,3),1),1)</f>
        <v>0</v>
      </c>
      <c r="G20" s="6" t="str">
        <f t="shared" ref="G20:G51" si="12">LEFT(RIGHT(DEC2BIN($B20,3),3),1)</f>
        <v>0</v>
      </c>
      <c r="H20" s="6" t="str">
        <f t="shared" ref="H20:H51" si="13">LEFT(RIGHT(DEC2BIN($B20,3),2),1)</f>
        <v>0</v>
      </c>
      <c r="I20" s="6" t="str">
        <f t="shared" ref="I20:I51" si="14">LEFT(RIGHT(DEC2BIN($B20,3),1),1)</f>
        <v>0</v>
      </c>
      <c r="J20" s="10">
        <f t="shared" ref="J20:J51" si="15">(($D20*$D$11)+($E20*$D$12)+($F20*$D$13))</f>
        <v>0</v>
      </c>
      <c r="K20" s="10">
        <f t="shared" ref="K20:K51" si="16">(($D20*$E$11)+($E20*$E$12)+($F20*$E$13))</f>
        <v>0</v>
      </c>
      <c r="L20" s="10">
        <f t="shared" ref="L20:L51" si="17">(($D20*$F$11)+($E20*$F$12)+($F20*$F$13))</f>
        <v>0</v>
      </c>
      <c r="M20" s="10">
        <f t="shared" ref="M20:M51" si="18">(($D20*$G$11)+($E20*$G$12)+($F20*$G$13))</f>
        <v>0</v>
      </c>
      <c r="N20" s="10">
        <f t="shared" ref="N20:N51" si="19">(($D20*$H$11)+($E20*$H$12)+($F20*$H$13))</f>
        <v>0</v>
      </c>
      <c r="O20" s="10">
        <f t="shared" ref="O20:O51" si="20">(($D20*$I$11)+($E20*$I$12)+($F20*$I$13))</f>
        <v>0</v>
      </c>
      <c r="P20" s="10">
        <f t="shared" ref="P20:P51" si="21">(($D20*$J$11)+($E20*$J$12)+($F20*$J$13))</f>
        <v>0</v>
      </c>
      <c r="Q20" s="11">
        <f>ROUND(( SUM(Table32315[[#This Row],[I1]:[I7]]))*1000000, 0)</f>
        <v>0</v>
      </c>
      <c r="R20" s="10">
        <f t="shared" ref="R20:R51" si="22">(($G20*$D$14)+($H20*$D$15)+($I20*$D$16))</f>
        <v>0</v>
      </c>
      <c r="S20" s="10">
        <f t="shared" ref="S20:S51" si="23">(($G20*$E$14)+($H20*$E$15)+($I20*$E$16))</f>
        <v>0</v>
      </c>
      <c r="T20" s="10">
        <f t="shared" ref="T20:T51" si="24">(($G20*$F$14)+($H20*$F$15)+($I20*$F$16))</f>
        <v>0</v>
      </c>
      <c r="U20" s="10">
        <f t="shared" ref="U20:U51" si="25">(($G20*$G$14)+($H20*$G$15)+($I20*$G$16))</f>
        <v>0</v>
      </c>
      <c r="V20" s="10">
        <f t="shared" ref="V20:V51" si="26">(($G20*$H$14)+($H20*$H$15)+($I20*$H$16))</f>
        <v>0</v>
      </c>
      <c r="W20" s="10">
        <f t="shared" ref="W20:W51" si="27">(($G20*$I$14)+($H20*$I$15)+($I20*$I$16))</f>
        <v>0</v>
      </c>
      <c r="X20" s="10">
        <f t="shared" ref="X20:X51" si="28">(($G20*$J$14)+($H20*$J$15)+($I20*$J$16))</f>
        <v>0</v>
      </c>
      <c r="Y20" s="11">
        <f>ROUND((SUM(Table32315[[#This Row],[II1]:[II7]]))*1000000, 0)</f>
        <v>0</v>
      </c>
      <c r="Z20" s="18" t="s">
        <v>16</v>
      </c>
      <c r="AA20" s="11" cm="1">
        <f t="array" ref="AA20:AA28" xml:space="preserve"> _xlfn.UNIQUE(Y20:Y83)</f>
        <v>0</v>
      </c>
      <c r="AB20" s="13">
        <f>IF(ISBLANK(AA20), "", COUNTIF($Y$20:$Y$83,AA20))</f>
        <v>1</v>
      </c>
      <c r="AD20" s="11" cm="1">
        <f t="array" ref="AD20:AD83">_xlfn._xlws.SORT(Table32315[I-Total2])</f>
        <v>0</v>
      </c>
      <c r="AF20" s="6">
        <v>0</v>
      </c>
      <c r="AG20" s="11">
        <f t="shared" ref="AG20:AG83" si="29">IF(ISBLANK(AD21),"",AD21-AD20)</f>
        <v>14</v>
      </c>
      <c r="AI20" s="11" cm="1">
        <f t="array" ref="AI20:AI24">_xlfn.UNIQUE(AG20:AG83)</f>
        <v>14</v>
      </c>
      <c r="AJ20" s="13">
        <f t="shared" ref="AJ20:AJ24" si="30">IF(OR(ISBLANK(AI20), AI20 = ""),"",COUNTIF($AG$20:$AG$83,AI20))</f>
        <v>4</v>
      </c>
      <c r="BS20" s="15" t="s">
        <v>10</v>
      </c>
      <c r="BT20" s="5" t="s">
        <v>11</v>
      </c>
      <c r="BU20" s="5" t="s">
        <v>13</v>
      </c>
      <c r="BV20" s="5" t="s">
        <v>25</v>
      </c>
      <c r="BW20" s="5" t="s">
        <v>27</v>
      </c>
      <c r="BX20" s="5" t="s">
        <v>28</v>
      </c>
    </row>
    <row r="21" spans="2:76" x14ac:dyDescent="0.35">
      <c r="B21" s="6">
        <v>1</v>
      </c>
      <c r="C21" s="2" t="s">
        <v>16</v>
      </c>
      <c r="D21" s="6" t="str">
        <f t="shared" si="9"/>
        <v>0</v>
      </c>
      <c r="E21" s="6" t="str">
        <f t="shared" si="10"/>
        <v>0</v>
      </c>
      <c r="F21" s="6" t="str">
        <f t="shared" si="11"/>
        <v>1</v>
      </c>
      <c r="G21" s="6" t="str">
        <f t="shared" si="12"/>
        <v>0</v>
      </c>
      <c r="H21" s="6" t="str">
        <f t="shared" si="13"/>
        <v>0</v>
      </c>
      <c r="I21" s="6" t="str">
        <f t="shared" si="14"/>
        <v>1</v>
      </c>
      <c r="J21" s="10">
        <f t="shared" si="15"/>
        <v>2.8571428571428574E-5</v>
      </c>
      <c r="K21" s="10">
        <f t="shared" si="16"/>
        <v>2.8571428571428574E-5</v>
      </c>
      <c r="L21" s="10">
        <f t="shared" si="17"/>
        <v>2.8571428571428574E-5</v>
      </c>
      <c r="M21" s="10">
        <f t="shared" si="18"/>
        <v>1.3333333333333333E-5</v>
      </c>
      <c r="N21" s="10">
        <f t="shared" si="19"/>
        <v>1.3333333333333333E-5</v>
      </c>
      <c r="O21" s="10">
        <f t="shared" si="20"/>
        <v>1.9999999999999999E-6</v>
      </c>
      <c r="P21" s="10">
        <f t="shared" si="21"/>
        <v>1.9999999999999999E-6</v>
      </c>
      <c r="Q21" s="11">
        <f>ROUND(( SUM(Table32315[[#This Row],[I1]:[I7]]))*1000000, 0)</f>
        <v>116</v>
      </c>
      <c r="R21" s="10">
        <f t="shared" si="22"/>
        <v>2.8571428571428574E-5</v>
      </c>
      <c r="S21" s="10">
        <f t="shared" si="23"/>
        <v>1.3333333333333333E-5</v>
      </c>
      <c r="T21" s="10">
        <f t="shared" si="24"/>
        <v>6.6666666666666666E-6</v>
      </c>
      <c r="U21" s="10">
        <f t="shared" si="25"/>
        <v>1.9999999999999999E-6</v>
      </c>
      <c r="V21" s="10">
        <f t="shared" si="26"/>
        <v>1.9999999999999999E-6</v>
      </c>
      <c r="W21" s="10">
        <f t="shared" si="27"/>
        <v>1.9999999999999999E-6</v>
      </c>
      <c r="X21" s="10">
        <f t="shared" si="28"/>
        <v>1.9999999999999999E-6</v>
      </c>
      <c r="Y21" s="11">
        <f>ROUND((SUM(Table32315[[#This Row],[II1]:[II7]]))*1000000, 0)</f>
        <v>57</v>
      </c>
      <c r="Z21" s="18" t="s">
        <v>16</v>
      </c>
      <c r="AA21" s="11">
        <v>57</v>
      </c>
      <c r="AB21" s="13">
        <f t="shared" ref="AB21:AB41" si="31">IF(ISBLANK(AA21), "", COUNTIF($Y$20:$Y$83,AA21))</f>
        <v>1</v>
      </c>
      <c r="AD21" s="11">
        <v>14</v>
      </c>
      <c r="AF21" s="6">
        <v>1</v>
      </c>
      <c r="AG21" s="11">
        <f t="shared" si="29"/>
        <v>16</v>
      </c>
      <c r="AI21" s="11">
        <v>16</v>
      </c>
      <c r="AJ21" s="13">
        <f t="shared" si="30"/>
        <v>2</v>
      </c>
      <c r="BS21">
        <v>7</v>
      </c>
      <c r="BT21">
        <v>7</v>
      </c>
      <c r="BU21">
        <v>7</v>
      </c>
      <c r="BV21">
        <v>7</v>
      </c>
      <c r="BW21">
        <v>7</v>
      </c>
      <c r="BX21">
        <v>7</v>
      </c>
    </row>
    <row r="22" spans="2:76" x14ac:dyDescent="0.35">
      <c r="B22" s="6">
        <v>2</v>
      </c>
      <c r="C22" s="2" t="s">
        <v>17</v>
      </c>
      <c r="D22" s="6" t="str">
        <f t="shared" si="9"/>
        <v>0</v>
      </c>
      <c r="E22" s="6" t="str">
        <f t="shared" si="10"/>
        <v>1</v>
      </c>
      <c r="F22" s="6" t="str">
        <f t="shared" si="11"/>
        <v>0</v>
      </c>
      <c r="G22" s="6" t="str">
        <f t="shared" si="12"/>
        <v>0</v>
      </c>
      <c r="H22" s="6" t="str">
        <f t="shared" si="13"/>
        <v>1</v>
      </c>
      <c r="I22" s="6" t="str">
        <f t="shared" si="14"/>
        <v>0</v>
      </c>
      <c r="J22" s="10">
        <f t="shared" si="15"/>
        <v>2.8571428571428574E-5</v>
      </c>
      <c r="K22" s="10">
        <f t="shared" si="16"/>
        <v>2.8571428571428574E-5</v>
      </c>
      <c r="L22" s="10">
        <f t="shared" si="17"/>
        <v>2.8571428571428574E-5</v>
      </c>
      <c r="M22" s="10">
        <f t="shared" si="18"/>
        <v>2.8571428571428574E-5</v>
      </c>
      <c r="N22" s="10">
        <f t="shared" si="19"/>
        <v>2.8571428571428574E-5</v>
      </c>
      <c r="O22" s="10">
        <f t="shared" si="20"/>
        <v>6.6666666666666666E-6</v>
      </c>
      <c r="P22" s="10">
        <f t="shared" si="21"/>
        <v>1.9999999999999999E-6</v>
      </c>
      <c r="Q22" s="11">
        <f>ROUND(( SUM(Table32315[[#This Row],[I1]:[I7]]))*1000000, 0)</f>
        <v>152</v>
      </c>
      <c r="R22" s="10">
        <f t="shared" si="22"/>
        <v>1.3333333333333333E-5</v>
      </c>
      <c r="S22" s="10">
        <f t="shared" si="23"/>
        <v>6.6666666666666666E-6</v>
      </c>
      <c r="T22" s="10">
        <f t="shared" si="24"/>
        <v>1.9999999999999999E-6</v>
      </c>
      <c r="U22" s="10">
        <f t="shared" si="25"/>
        <v>1.9999999999999999E-6</v>
      </c>
      <c r="V22" s="10">
        <f t="shared" si="26"/>
        <v>1.9999999999999999E-6</v>
      </c>
      <c r="W22" s="10">
        <f t="shared" si="27"/>
        <v>1.9999999999999999E-6</v>
      </c>
      <c r="X22" s="10">
        <f t="shared" si="28"/>
        <v>1.9999999999999999E-6</v>
      </c>
      <c r="Y22" s="11">
        <f>ROUND((SUM(Table32315[[#This Row],[II1]:[II7]]))*1000000, 0)</f>
        <v>30</v>
      </c>
      <c r="Z22" s="18" t="s">
        <v>17</v>
      </c>
      <c r="AA22" s="11">
        <v>30</v>
      </c>
      <c r="AB22" s="13">
        <f t="shared" si="31"/>
        <v>1</v>
      </c>
      <c r="AD22" s="11">
        <v>30</v>
      </c>
      <c r="AF22" s="6">
        <v>2</v>
      </c>
      <c r="AG22" s="11">
        <f t="shared" si="29"/>
        <v>14</v>
      </c>
      <c r="AI22" s="11">
        <v>13</v>
      </c>
      <c r="AJ22" s="13">
        <f t="shared" si="30"/>
        <v>1</v>
      </c>
      <c r="BS22">
        <v>7</v>
      </c>
      <c r="BT22">
        <v>7</v>
      </c>
      <c r="BU22">
        <v>7</v>
      </c>
      <c r="BV22">
        <v>150</v>
      </c>
      <c r="BW22">
        <v>150</v>
      </c>
      <c r="BX22">
        <v>150</v>
      </c>
    </row>
    <row r="23" spans="2:76" x14ac:dyDescent="0.35">
      <c r="B23" s="6">
        <v>3</v>
      </c>
      <c r="C23" s="2" t="s">
        <v>16</v>
      </c>
      <c r="D23" s="6" t="str">
        <f t="shared" si="9"/>
        <v>0</v>
      </c>
      <c r="E23" s="6" t="str">
        <f t="shared" si="10"/>
        <v>1</v>
      </c>
      <c r="F23" s="6" t="str">
        <f t="shared" si="11"/>
        <v>1</v>
      </c>
      <c r="G23" s="6" t="str">
        <f t="shared" si="12"/>
        <v>0</v>
      </c>
      <c r="H23" s="6" t="str">
        <f t="shared" si="13"/>
        <v>1</v>
      </c>
      <c r="I23" s="6" t="str">
        <f t="shared" si="14"/>
        <v>1</v>
      </c>
      <c r="J23" s="10">
        <f t="shared" si="15"/>
        <v>5.7142857142857148E-5</v>
      </c>
      <c r="K23" s="10">
        <f t="shared" si="16"/>
        <v>5.7142857142857148E-5</v>
      </c>
      <c r="L23" s="10">
        <f t="shared" si="17"/>
        <v>5.7142857142857148E-5</v>
      </c>
      <c r="M23" s="10">
        <f t="shared" si="18"/>
        <v>4.1904761904761908E-5</v>
      </c>
      <c r="N23" s="10">
        <f t="shared" si="19"/>
        <v>4.1904761904761908E-5</v>
      </c>
      <c r="O23" s="10">
        <f t="shared" si="20"/>
        <v>8.6666666666666661E-6</v>
      </c>
      <c r="P23" s="10">
        <f t="shared" si="21"/>
        <v>3.9999999999999998E-6</v>
      </c>
      <c r="Q23" s="11">
        <f>ROUND(( SUM(Table32315[[#This Row],[I1]:[I7]]))*1000000, 0)</f>
        <v>268</v>
      </c>
      <c r="R23" s="10">
        <f t="shared" si="22"/>
        <v>4.1904761904761908E-5</v>
      </c>
      <c r="S23" s="10">
        <f t="shared" si="23"/>
        <v>1.9999999999999998E-5</v>
      </c>
      <c r="T23" s="10">
        <f t="shared" si="24"/>
        <v>8.6666666666666661E-6</v>
      </c>
      <c r="U23" s="10">
        <f t="shared" si="25"/>
        <v>3.9999999999999998E-6</v>
      </c>
      <c r="V23" s="10">
        <f t="shared" si="26"/>
        <v>3.9999999999999998E-6</v>
      </c>
      <c r="W23" s="10">
        <f t="shared" si="27"/>
        <v>3.9999999999999998E-6</v>
      </c>
      <c r="X23" s="10">
        <f t="shared" si="28"/>
        <v>3.9999999999999998E-6</v>
      </c>
      <c r="Y23" s="11">
        <f>ROUND((SUM(Table32315[[#This Row],[II1]:[II7]]))*1000000, 0)</f>
        <v>87</v>
      </c>
      <c r="Z23" s="18" t="s">
        <v>16</v>
      </c>
      <c r="AA23" s="11">
        <v>87</v>
      </c>
      <c r="AB23" s="13">
        <f t="shared" si="31"/>
        <v>1</v>
      </c>
      <c r="AD23" s="11">
        <v>44</v>
      </c>
      <c r="AF23" s="6">
        <v>3</v>
      </c>
      <c r="AG23" s="11">
        <f t="shared" si="29"/>
        <v>13</v>
      </c>
      <c r="AI23" s="11" t="e">
        <v>#NUM!</v>
      </c>
      <c r="AJ23" s="13" t="e">
        <f t="shared" si="30"/>
        <v>#NUM!</v>
      </c>
      <c r="BS23">
        <v>7</v>
      </c>
      <c r="BT23">
        <v>7</v>
      </c>
      <c r="BU23">
        <v>20</v>
      </c>
      <c r="BV23">
        <v>150</v>
      </c>
      <c r="BW23">
        <v>150</v>
      </c>
      <c r="BX23">
        <v>150</v>
      </c>
    </row>
    <row r="24" spans="2:76" x14ac:dyDescent="0.35">
      <c r="B24" s="6">
        <v>4</v>
      </c>
      <c r="C24" s="2" t="s">
        <v>18</v>
      </c>
      <c r="D24" s="6" t="str">
        <f t="shared" si="9"/>
        <v>1</v>
      </c>
      <c r="E24" s="6" t="str">
        <f t="shared" si="10"/>
        <v>0</v>
      </c>
      <c r="F24" s="6" t="str">
        <f t="shared" si="11"/>
        <v>0</v>
      </c>
      <c r="G24" s="6" t="str">
        <f t="shared" si="12"/>
        <v>1</v>
      </c>
      <c r="H24" s="6" t="str">
        <f t="shared" si="13"/>
        <v>0</v>
      </c>
      <c r="I24" s="6" t="str">
        <f t="shared" si="14"/>
        <v>0</v>
      </c>
      <c r="J24" s="10">
        <f t="shared" si="15"/>
        <v>2.8571428571428574E-5</v>
      </c>
      <c r="K24" s="10">
        <f t="shared" si="16"/>
        <v>2.8571428571428574E-5</v>
      </c>
      <c r="L24" s="10">
        <f t="shared" si="17"/>
        <v>2.8571428571428574E-5</v>
      </c>
      <c r="M24" s="10">
        <f t="shared" si="18"/>
        <v>2.8571428571428574E-5</v>
      </c>
      <c r="N24" s="10">
        <f t="shared" si="19"/>
        <v>2.8571428571428574E-5</v>
      </c>
      <c r="O24" s="10">
        <f t="shared" si="20"/>
        <v>2.8571428571428574E-5</v>
      </c>
      <c r="P24" s="10">
        <f t="shared" si="21"/>
        <v>2.8571428571428574E-5</v>
      </c>
      <c r="Q24" s="11">
        <f>ROUND(( SUM(Table32315[[#This Row],[I1]:[I7]]))*1000000, 0)</f>
        <v>200</v>
      </c>
      <c r="R24" s="10">
        <f t="shared" si="22"/>
        <v>1.9999999999999999E-6</v>
      </c>
      <c r="S24" s="10">
        <f t="shared" si="23"/>
        <v>1.9999999999999999E-6</v>
      </c>
      <c r="T24" s="10">
        <f t="shared" si="24"/>
        <v>1.9999999999999999E-6</v>
      </c>
      <c r="U24" s="10">
        <f t="shared" si="25"/>
        <v>1.9999999999999999E-6</v>
      </c>
      <c r="V24" s="10">
        <f t="shared" si="26"/>
        <v>1.9999999999999999E-6</v>
      </c>
      <c r="W24" s="10">
        <f t="shared" si="27"/>
        <v>1.9999999999999999E-6</v>
      </c>
      <c r="X24" s="10">
        <f t="shared" si="28"/>
        <v>1.9999999999999999E-6</v>
      </c>
      <c r="Y24" s="11">
        <f>ROUND((SUM(Table32315[[#This Row],[II1]:[II7]]))*1000000, 0)</f>
        <v>14</v>
      </c>
      <c r="Z24" s="18" t="s">
        <v>18</v>
      </c>
      <c r="AA24" s="11">
        <v>14</v>
      </c>
      <c r="AB24" s="13">
        <f t="shared" si="31"/>
        <v>1</v>
      </c>
      <c r="AD24" s="11">
        <v>57</v>
      </c>
      <c r="AF24" s="6">
        <v>4</v>
      </c>
      <c r="AG24" s="11">
        <f t="shared" si="29"/>
        <v>14</v>
      </c>
      <c r="AI24" s="11" t="str">
        <v/>
      </c>
      <c r="AJ24" s="13" t="str">
        <f t="shared" si="30"/>
        <v/>
      </c>
      <c r="BS24">
        <v>7</v>
      </c>
      <c r="BT24">
        <v>20</v>
      </c>
      <c r="BU24">
        <v>20</v>
      </c>
      <c r="BV24">
        <v>150</v>
      </c>
      <c r="BW24">
        <v>150</v>
      </c>
      <c r="BX24">
        <v>150</v>
      </c>
    </row>
    <row r="25" spans="2:76" x14ac:dyDescent="0.35">
      <c r="B25" s="6">
        <v>5</v>
      </c>
      <c r="C25" s="2" t="s">
        <v>20</v>
      </c>
      <c r="D25" s="6" t="str">
        <f t="shared" si="9"/>
        <v>1</v>
      </c>
      <c r="E25" s="6" t="str">
        <f t="shared" si="10"/>
        <v>0</v>
      </c>
      <c r="F25" s="6" t="str">
        <f t="shared" si="11"/>
        <v>1</v>
      </c>
      <c r="G25" s="6" t="str">
        <f t="shared" si="12"/>
        <v>1</v>
      </c>
      <c r="H25" s="6" t="str">
        <f t="shared" si="13"/>
        <v>0</v>
      </c>
      <c r="I25" s="6" t="str">
        <f t="shared" si="14"/>
        <v>1</v>
      </c>
      <c r="J25" s="10">
        <f t="shared" si="15"/>
        <v>5.7142857142857148E-5</v>
      </c>
      <c r="K25" s="10">
        <f t="shared" si="16"/>
        <v>5.7142857142857148E-5</v>
      </c>
      <c r="L25" s="10">
        <f t="shared" si="17"/>
        <v>5.7142857142857148E-5</v>
      </c>
      <c r="M25" s="10">
        <f t="shared" si="18"/>
        <v>4.1904761904761908E-5</v>
      </c>
      <c r="N25" s="10">
        <f t="shared" si="19"/>
        <v>4.1904761904761908E-5</v>
      </c>
      <c r="O25" s="10">
        <f t="shared" si="20"/>
        <v>3.0571428571428572E-5</v>
      </c>
      <c r="P25" s="10">
        <f t="shared" si="21"/>
        <v>3.0571428571428572E-5</v>
      </c>
      <c r="Q25" s="11">
        <f>ROUND(( SUM(Table32315[[#This Row],[I1]:[I7]]))*1000000, 0)</f>
        <v>316</v>
      </c>
      <c r="R25" s="10">
        <f t="shared" si="22"/>
        <v>3.0571428571428572E-5</v>
      </c>
      <c r="S25" s="10">
        <f t="shared" si="23"/>
        <v>1.5333333333333334E-5</v>
      </c>
      <c r="T25" s="10">
        <f t="shared" si="24"/>
        <v>8.6666666666666661E-6</v>
      </c>
      <c r="U25" s="10">
        <f t="shared" si="25"/>
        <v>3.9999999999999998E-6</v>
      </c>
      <c r="V25" s="10">
        <f t="shared" si="26"/>
        <v>3.9999999999999998E-6</v>
      </c>
      <c r="W25" s="10">
        <f t="shared" si="27"/>
        <v>3.9999999999999998E-6</v>
      </c>
      <c r="X25" s="10">
        <f t="shared" si="28"/>
        <v>3.9999999999999998E-6</v>
      </c>
      <c r="Y25" s="11">
        <f>ROUND((SUM(Table32315[[#This Row],[II1]:[II7]]))*1000000, 0)</f>
        <v>71</v>
      </c>
      <c r="Z25" s="18" t="s">
        <v>20</v>
      </c>
      <c r="AA25" s="11">
        <v>71</v>
      </c>
      <c r="AB25" s="13">
        <f t="shared" si="31"/>
        <v>1</v>
      </c>
      <c r="AD25" s="11">
        <v>71</v>
      </c>
      <c r="AF25" s="6">
        <v>5</v>
      </c>
      <c r="AG25" s="11">
        <f t="shared" si="29"/>
        <v>16</v>
      </c>
      <c r="AJ25" s="13" t="str">
        <f>IF(OR(ISBLANK(AI25), AI25 = ""),"",COUNTIF($AG$20:$AG$83,AI25))</f>
        <v/>
      </c>
      <c r="BS25">
        <v>20</v>
      </c>
      <c r="BT25">
        <v>20</v>
      </c>
      <c r="BU25">
        <v>150</v>
      </c>
      <c r="BV25">
        <v>150</v>
      </c>
      <c r="BW25">
        <v>150</v>
      </c>
      <c r="BX25">
        <v>150</v>
      </c>
    </row>
    <row r="26" spans="2:76" x14ac:dyDescent="0.35">
      <c r="B26" s="6">
        <v>6</v>
      </c>
      <c r="C26" s="2" t="s">
        <v>17</v>
      </c>
      <c r="D26" s="6" t="str">
        <f t="shared" si="9"/>
        <v>1</v>
      </c>
      <c r="E26" s="6" t="str">
        <f t="shared" si="10"/>
        <v>1</v>
      </c>
      <c r="F26" s="6" t="str">
        <f t="shared" si="11"/>
        <v>0</v>
      </c>
      <c r="G26" s="6" t="str">
        <f t="shared" si="12"/>
        <v>1</v>
      </c>
      <c r="H26" s="6" t="str">
        <f t="shared" si="13"/>
        <v>1</v>
      </c>
      <c r="I26" s="6" t="str">
        <f t="shared" si="14"/>
        <v>0</v>
      </c>
      <c r="J26" s="10">
        <f t="shared" si="15"/>
        <v>5.7142857142857148E-5</v>
      </c>
      <c r="K26" s="10">
        <f t="shared" si="16"/>
        <v>5.7142857142857148E-5</v>
      </c>
      <c r="L26" s="10">
        <f t="shared" si="17"/>
        <v>5.7142857142857148E-5</v>
      </c>
      <c r="M26" s="10">
        <f t="shared" si="18"/>
        <v>5.7142857142857148E-5</v>
      </c>
      <c r="N26" s="10">
        <f t="shared" si="19"/>
        <v>5.7142857142857148E-5</v>
      </c>
      <c r="O26" s="10">
        <f t="shared" si="20"/>
        <v>3.5238095238095239E-5</v>
      </c>
      <c r="P26" s="10">
        <f t="shared" si="21"/>
        <v>3.0571428571428572E-5</v>
      </c>
      <c r="Q26" s="11">
        <f>ROUND(( SUM(Table32315[[#This Row],[I1]:[I7]]))*1000000, 0)</f>
        <v>352</v>
      </c>
      <c r="R26" s="10">
        <f t="shared" si="22"/>
        <v>1.5333333333333334E-5</v>
      </c>
      <c r="S26" s="10">
        <f t="shared" si="23"/>
        <v>8.6666666666666661E-6</v>
      </c>
      <c r="T26" s="10">
        <f t="shared" si="24"/>
        <v>3.9999999999999998E-6</v>
      </c>
      <c r="U26" s="10">
        <f t="shared" si="25"/>
        <v>3.9999999999999998E-6</v>
      </c>
      <c r="V26" s="10">
        <f t="shared" si="26"/>
        <v>3.9999999999999998E-6</v>
      </c>
      <c r="W26" s="10">
        <f t="shared" si="27"/>
        <v>3.9999999999999998E-6</v>
      </c>
      <c r="X26" s="10">
        <f t="shared" si="28"/>
        <v>3.9999999999999998E-6</v>
      </c>
      <c r="Y26" s="11">
        <f>ROUND((SUM(Table32315[[#This Row],[II1]:[II7]]))*1000000, 0)</f>
        <v>44</v>
      </c>
      <c r="Z26" s="18" t="s">
        <v>17</v>
      </c>
      <c r="AA26" s="11">
        <v>44</v>
      </c>
      <c r="AB26" s="13">
        <f t="shared" si="31"/>
        <v>1</v>
      </c>
      <c r="AD26" s="11">
        <v>87</v>
      </c>
      <c r="AF26" s="6">
        <v>6</v>
      </c>
      <c r="AG26" s="11">
        <f t="shared" si="29"/>
        <v>14</v>
      </c>
      <c r="AJ26" s="13" t="str">
        <f t="shared" ref="AJ26:AJ83" si="32">IF(OR(ISBLANK(AI26), AI26 = ""),"",COUNTIF($AG$20:$AG$83,AI26))</f>
        <v/>
      </c>
      <c r="BS26">
        <v>150</v>
      </c>
      <c r="BT26">
        <v>150</v>
      </c>
      <c r="BU26">
        <v>150</v>
      </c>
      <c r="BV26">
        <v>150</v>
      </c>
      <c r="BW26">
        <v>150</v>
      </c>
      <c r="BX26">
        <v>150</v>
      </c>
    </row>
    <row r="27" spans="2:76" x14ac:dyDescent="0.35">
      <c r="B27" s="6">
        <v>7</v>
      </c>
      <c r="C27" s="2" t="s">
        <v>16</v>
      </c>
      <c r="D27" s="6" t="str">
        <f t="shared" si="9"/>
        <v>1</v>
      </c>
      <c r="E27" s="6" t="str">
        <f t="shared" si="10"/>
        <v>1</v>
      </c>
      <c r="F27" s="6" t="str">
        <f t="shared" si="11"/>
        <v>1</v>
      </c>
      <c r="G27" s="6" t="str">
        <f t="shared" si="12"/>
        <v>1</v>
      </c>
      <c r="H27" s="6" t="str">
        <f t="shared" si="13"/>
        <v>1</v>
      </c>
      <c r="I27" s="6" t="str">
        <f t="shared" si="14"/>
        <v>1</v>
      </c>
      <c r="J27" s="10">
        <f t="shared" si="15"/>
        <v>8.5714285714285726E-5</v>
      </c>
      <c r="K27" s="10">
        <f t="shared" si="16"/>
        <v>8.5714285714285726E-5</v>
      </c>
      <c r="L27" s="10">
        <f t="shared" si="17"/>
        <v>8.5714285714285726E-5</v>
      </c>
      <c r="M27" s="10">
        <f t="shared" si="18"/>
        <v>7.0476190476190478E-5</v>
      </c>
      <c r="N27" s="10">
        <f t="shared" si="19"/>
        <v>7.0476190476190478E-5</v>
      </c>
      <c r="O27" s="10">
        <f t="shared" si="20"/>
        <v>3.723809523809524E-5</v>
      </c>
      <c r="P27" s="10">
        <f t="shared" si="21"/>
        <v>3.2571428571428573E-5</v>
      </c>
      <c r="Q27" s="11">
        <f>ROUND(( SUM(Table32315[[#This Row],[I1]:[I7]]))*1000000, 0)</f>
        <v>468</v>
      </c>
      <c r="R27" s="10">
        <f t="shared" si="22"/>
        <v>4.3904761904761909E-5</v>
      </c>
      <c r="S27" s="10">
        <f t="shared" si="23"/>
        <v>2.1999999999999999E-5</v>
      </c>
      <c r="T27" s="10">
        <f t="shared" si="24"/>
        <v>1.0666666666666667E-5</v>
      </c>
      <c r="U27" s="10">
        <f t="shared" si="25"/>
        <v>6.0000000000000002E-6</v>
      </c>
      <c r="V27" s="10">
        <f t="shared" si="26"/>
        <v>6.0000000000000002E-6</v>
      </c>
      <c r="W27" s="10">
        <f t="shared" si="27"/>
        <v>6.0000000000000002E-6</v>
      </c>
      <c r="X27" s="10">
        <f t="shared" si="28"/>
        <v>6.0000000000000002E-6</v>
      </c>
      <c r="Y27" s="11">
        <f>ROUND((SUM(Table32315[[#This Row],[II1]:[II7]]))*1000000, 0)</f>
        <v>101</v>
      </c>
      <c r="Z27" s="18" t="s">
        <v>16</v>
      </c>
      <c r="AA27" s="11">
        <v>101</v>
      </c>
      <c r="AB27" s="13">
        <f t="shared" si="31"/>
        <v>1</v>
      </c>
      <c r="AD27" s="11">
        <v>101</v>
      </c>
      <c r="AF27" s="6">
        <v>7</v>
      </c>
      <c r="AG27" s="11" t="e">
        <f t="shared" si="29"/>
        <v>#NUM!</v>
      </c>
      <c r="AJ27" s="13" t="str">
        <f t="shared" si="32"/>
        <v/>
      </c>
    </row>
    <row r="28" spans="2:76" x14ac:dyDescent="0.35">
      <c r="B28" s="6">
        <v>8</v>
      </c>
      <c r="C28" s="2" t="s">
        <v>19</v>
      </c>
      <c r="D28" s="6" t="e">
        <f t="shared" si="9"/>
        <v>#NUM!</v>
      </c>
      <c r="E28" s="6" t="e">
        <f t="shared" si="10"/>
        <v>#NUM!</v>
      </c>
      <c r="F28" s="6" t="e">
        <f t="shared" si="11"/>
        <v>#NUM!</v>
      </c>
      <c r="G28" s="6" t="e">
        <f t="shared" si="12"/>
        <v>#NUM!</v>
      </c>
      <c r="H28" s="6" t="e">
        <f t="shared" si="13"/>
        <v>#NUM!</v>
      </c>
      <c r="I28" s="6" t="e">
        <f t="shared" si="14"/>
        <v>#NUM!</v>
      </c>
      <c r="J28" s="10" t="e">
        <f t="shared" si="15"/>
        <v>#NUM!</v>
      </c>
      <c r="K28" s="10" t="e">
        <f t="shared" si="16"/>
        <v>#NUM!</v>
      </c>
      <c r="L28" s="10" t="e">
        <f t="shared" si="17"/>
        <v>#NUM!</v>
      </c>
      <c r="M28" s="10" t="e">
        <f t="shared" si="18"/>
        <v>#NUM!</v>
      </c>
      <c r="N28" s="10" t="e">
        <f t="shared" si="19"/>
        <v>#NUM!</v>
      </c>
      <c r="O28" s="10" t="e">
        <f t="shared" si="20"/>
        <v>#NUM!</v>
      </c>
      <c r="P28" s="10" t="e">
        <f t="shared" si="21"/>
        <v>#NUM!</v>
      </c>
      <c r="Q28" s="11" t="e">
        <f>ROUND(( SUM(Table32315[[#This Row],[I1]:[I7]]))*1000000, 0)</f>
        <v>#NUM!</v>
      </c>
      <c r="R28" s="10" t="e">
        <f t="shared" si="22"/>
        <v>#NUM!</v>
      </c>
      <c r="S28" s="10" t="e">
        <f t="shared" si="23"/>
        <v>#NUM!</v>
      </c>
      <c r="T28" s="10" t="e">
        <f t="shared" si="24"/>
        <v>#NUM!</v>
      </c>
      <c r="U28" s="10" t="e">
        <f t="shared" si="25"/>
        <v>#NUM!</v>
      </c>
      <c r="V28" s="10" t="e">
        <f t="shared" si="26"/>
        <v>#NUM!</v>
      </c>
      <c r="W28" s="10" t="e">
        <f t="shared" si="27"/>
        <v>#NUM!</v>
      </c>
      <c r="X28" s="10" t="e">
        <f t="shared" si="28"/>
        <v>#NUM!</v>
      </c>
      <c r="Y28" s="11" t="e">
        <f>ROUND((SUM(Table32315[[#This Row],[II1]:[II7]]))*1000000, 0)</f>
        <v>#NUM!</v>
      </c>
      <c r="Z28" s="18" t="s">
        <v>19</v>
      </c>
      <c r="AA28" s="11" t="e">
        <v>#NUM!</v>
      </c>
      <c r="AB28" s="13">
        <f t="shared" si="31"/>
        <v>56</v>
      </c>
      <c r="AD28" s="11" t="e">
        <v>#NUM!</v>
      </c>
      <c r="AF28" s="6">
        <v>8</v>
      </c>
      <c r="AG28" s="11" t="e">
        <f t="shared" si="29"/>
        <v>#NUM!</v>
      </c>
      <c r="AJ28" s="13" t="str">
        <f t="shared" si="32"/>
        <v/>
      </c>
    </row>
    <row r="29" spans="2:76" ht="15" customHeight="1" x14ac:dyDescent="0.35">
      <c r="B29" s="6">
        <v>9</v>
      </c>
      <c r="C29" s="2" t="s">
        <v>20</v>
      </c>
      <c r="D29" s="6" t="e">
        <f t="shared" si="9"/>
        <v>#NUM!</v>
      </c>
      <c r="E29" s="6" t="e">
        <f t="shared" si="10"/>
        <v>#NUM!</v>
      </c>
      <c r="F29" s="6" t="e">
        <f t="shared" si="11"/>
        <v>#NUM!</v>
      </c>
      <c r="G29" s="6" t="e">
        <f t="shared" si="12"/>
        <v>#NUM!</v>
      </c>
      <c r="H29" s="6" t="e">
        <f t="shared" si="13"/>
        <v>#NUM!</v>
      </c>
      <c r="I29" s="6" t="e">
        <f t="shared" si="14"/>
        <v>#NUM!</v>
      </c>
      <c r="J29" s="10" t="e">
        <f t="shared" si="15"/>
        <v>#NUM!</v>
      </c>
      <c r="K29" s="10" t="e">
        <f t="shared" si="16"/>
        <v>#NUM!</v>
      </c>
      <c r="L29" s="10" t="e">
        <f t="shared" si="17"/>
        <v>#NUM!</v>
      </c>
      <c r="M29" s="10" t="e">
        <f t="shared" si="18"/>
        <v>#NUM!</v>
      </c>
      <c r="N29" s="10" t="e">
        <f t="shared" si="19"/>
        <v>#NUM!</v>
      </c>
      <c r="O29" s="10" t="e">
        <f t="shared" si="20"/>
        <v>#NUM!</v>
      </c>
      <c r="P29" s="10" t="e">
        <f t="shared" si="21"/>
        <v>#NUM!</v>
      </c>
      <c r="Q29" s="11" t="e">
        <f>ROUND(( SUM(Table32315[[#This Row],[I1]:[I7]]))*1000000, 0)</f>
        <v>#NUM!</v>
      </c>
      <c r="R29" s="10" t="e">
        <f t="shared" si="22"/>
        <v>#NUM!</v>
      </c>
      <c r="S29" s="10" t="e">
        <f t="shared" si="23"/>
        <v>#NUM!</v>
      </c>
      <c r="T29" s="10" t="e">
        <f t="shared" si="24"/>
        <v>#NUM!</v>
      </c>
      <c r="U29" s="10" t="e">
        <f t="shared" si="25"/>
        <v>#NUM!</v>
      </c>
      <c r="V29" s="10" t="e">
        <f t="shared" si="26"/>
        <v>#NUM!</v>
      </c>
      <c r="W29" s="10" t="e">
        <f t="shared" si="27"/>
        <v>#NUM!</v>
      </c>
      <c r="X29" s="10" t="e">
        <f t="shared" si="28"/>
        <v>#NUM!</v>
      </c>
      <c r="Y29" s="11" t="e">
        <f>ROUND((SUM(Table32315[[#This Row],[II1]:[II7]]))*1000000, 0)</f>
        <v>#NUM!</v>
      </c>
      <c r="Z29" s="18" t="s">
        <v>20</v>
      </c>
      <c r="AB29" s="13" t="str">
        <f t="shared" si="31"/>
        <v/>
      </c>
      <c r="AD29" s="11" t="e">
        <v>#NUM!</v>
      </c>
      <c r="AF29" s="6">
        <v>9</v>
      </c>
      <c r="AG29" s="11" t="e">
        <f t="shared" si="29"/>
        <v>#NUM!</v>
      </c>
      <c r="AJ29" s="13" t="str">
        <f t="shared" si="32"/>
        <v/>
      </c>
    </row>
    <row r="30" spans="2:76" ht="15" customHeight="1" x14ac:dyDescent="0.35">
      <c r="B30" s="6">
        <v>10</v>
      </c>
      <c r="C30" s="2" t="s">
        <v>20</v>
      </c>
      <c r="D30" s="6" t="e">
        <f t="shared" si="9"/>
        <v>#NUM!</v>
      </c>
      <c r="E30" s="6" t="e">
        <f t="shared" si="10"/>
        <v>#NUM!</v>
      </c>
      <c r="F30" s="6" t="e">
        <f t="shared" si="11"/>
        <v>#NUM!</v>
      </c>
      <c r="G30" s="6" t="e">
        <f t="shared" si="12"/>
        <v>#NUM!</v>
      </c>
      <c r="H30" s="6" t="e">
        <f t="shared" si="13"/>
        <v>#NUM!</v>
      </c>
      <c r="I30" s="6" t="e">
        <f t="shared" si="14"/>
        <v>#NUM!</v>
      </c>
      <c r="J30" s="10" t="e">
        <f t="shared" si="15"/>
        <v>#NUM!</v>
      </c>
      <c r="K30" s="10" t="e">
        <f t="shared" si="16"/>
        <v>#NUM!</v>
      </c>
      <c r="L30" s="10" t="e">
        <f t="shared" si="17"/>
        <v>#NUM!</v>
      </c>
      <c r="M30" s="10" t="e">
        <f t="shared" si="18"/>
        <v>#NUM!</v>
      </c>
      <c r="N30" s="10" t="e">
        <f t="shared" si="19"/>
        <v>#NUM!</v>
      </c>
      <c r="O30" s="10" t="e">
        <f t="shared" si="20"/>
        <v>#NUM!</v>
      </c>
      <c r="P30" s="10" t="e">
        <f t="shared" si="21"/>
        <v>#NUM!</v>
      </c>
      <c r="Q30" s="11" t="e">
        <f>ROUND(( SUM(Table32315[[#This Row],[I1]:[I7]]))*1000000, 0)</f>
        <v>#NUM!</v>
      </c>
      <c r="R30" s="10" t="e">
        <f t="shared" si="22"/>
        <v>#NUM!</v>
      </c>
      <c r="S30" s="10" t="e">
        <f t="shared" si="23"/>
        <v>#NUM!</v>
      </c>
      <c r="T30" s="10" t="e">
        <f t="shared" si="24"/>
        <v>#NUM!</v>
      </c>
      <c r="U30" s="10" t="e">
        <f t="shared" si="25"/>
        <v>#NUM!</v>
      </c>
      <c r="V30" s="10" t="e">
        <f t="shared" si="26"/>
        <v>#NUM!</v>
      </c>
      <c r="W30" s="10" t="e">
        <f t="shared" si="27"/>
        <v>#NUM!</v>
      </c>
      <c r="X30" s="10" t="e">
        <f t="shared" si="28"/>
        <v>#NUM!</v>
      </c>
      <c r="Y30" s="11" t="e">
        <f>ROUND((SUM(Table32315[[#This Row],[II1]:[II7]]))*1000000, 0)</f>
        <v>#NUM!</v>
      </c>
      <c r="Z30" s="18" t="s">
        <v>20</v>
      </c>
      <c r="AB30" s="13" t="str">
        <f t="shared" si="31"/>
        <v/>
      </c>
      <c r="AD30" s="11" t="e">
        <v>#NUM!</v>
      </c>
      <c r="AF30" s="6">
        <v>10</v>
      </c>
      <c r="AG30" s="11" t="e">
        <f t="shared" si="29"/>
        <v>#NUM!</v>
      </c>
      <c r="AJ30" s="13" t="str">
        <f t="shared" si="32"/>
        <v/>
      </c>
      <c r="BW30">
        <v>150</v>
      </c>
    </row>
    <row r="31" spans="2:76" ht="15" customHeight="1" x14ac:dyDescent="0.35">
      <c r="B31" s="6">
        <v>11</v>
      </c>
      <c r="C31" s="2" t="s">
        <v>20</v>
      </c>
      <c r="D31" s="6" t="e">
        <f t="shared" si="9"/>
        <v>#NUM!</v>
      </c>
      <c r="E31" s="6" t="e">
        <f t="shared" si="10"/>
        <v>#NUM!</v>
      </c>
      <c r="F31" s="6" t="e">
        <f t="shared" si="11"/>
        <v>#NUM!</v>
      </c>
      <c r="G31" s="6" t="e">
        <f t="shared" si="12"/>
        <v>#NUM!</v>
      </c>
      <c r="H31" s="6" t="e">
        <f t="shared" si="13"/>
        <v>#NUM!</v>
      </c>
      <c r="I31" s="6" t="e">
        <f t="shared" si="14"/>
        <v>#NUM!</v>
      </c>
      <c r="J31" s="10" t="e">
        <f t="shared" si="15"/>
        <v>#NUM!</v>
      </c>
      <c r="K31" s="10" t="e">
        <f t="shared" si="16"/>
        <v>#NUM!</v>
      </c>
      <c r="L31" s="10" t="e">
        <f t="shared" si="17"/>
        <v>#NUM!</v>
      </c>
      <c r="M31" s="10" t="e">
        <f t="shared" si="18"/>
        <v>#NUM!</v>
      </c>
      <c r="N31" s="10" t="e">
        <f t="shared" si="19"/>
        <v>#NUM!</v>
      </c>
      <c r="O31" s="10" t="e">
        <f t="shared" si="20"/>
        <v>#NUM!</v>
      </c>
      <c r="P31" s="10" t="e">
        <f t="shared" si="21"/>
        <v>#NUM!</v>
      </c>
      <c r="Q31" s="11" t="e">
        <f>ROUND(( SUM(Table32315[[#This Row],[I1]:[I7]]))*1000000, 0)</f>
        <v>#NUM!</v>
      </c>
      <c r="R31" s="10" t="e">
        <f t="shared" si="22"/>
        <v>#NUM!</v>
      </c>
      <c r="S31" s="10" t="e">
        <f t="shared" si="23"/>
        <v>#NUM!</v>
      </c>
      <c r="T31" s="10" t="e">
        <f t="shared" si="24"/>
        <v>#NUM!</v>
      </c>
      <c r="U31" s="10" t="e">
        <f t="shared" si="25"/>
        <v>#NUM!</v>
      </c>
      <c r="V31" s="10" t="e">
        <f t="shared" si="26"/>
        <v>#NUM!</v>
      </c>
      <c r="W31" s="10" t="e">
        <f t="shared" si="27"/>
        <v>#NUM!</v>
      </c>
      <c r="X31" s="10" t="e">
        <f t="shared" si="28"/>
        <v>#NUM!</v>
      </c>
      <c r="Y31" s="11" t="e">
        <f>ROUND((SUM(Table32315[[#This Row],[II1]:[II7]]))*1000000, 0)</f>
        <v>#NUM!</v>
      </c>
      <c r="Z31" s="18" t="s">
        <v>20</v>
      </c>
      <c r="AB31" s="13" t="str">
        <f t="shared" si="31"/>
        <v/>
      </c>
      <c r="AD31" s="11" t="e">
        <v>#NUM!</v>
      </c>
      <c r="AF31" s="6">
        <v>11</v>
      </c>
      <c r="AG31" s="11" t="e">
        <f t="shared" si="29"/>
        <v>#NUM!</v>
      </c>
      <c r="AJ31" s="13" t="str">
        <f t="shared" si="32"/>
        <v/>
      </c>
    </row>
    <row r="32" spans="2:76" x14ac:dyDescent="0.35">
      <c r="B32" s="6">
        <v>12</v>
      </c>
      <c r="C32" s="2" t="s">
        <v>19</v>
      </c>
      <c r="D32" s="6" t="e">
        <f t="shared" si="9"/>
        <v>#NUM!</v>
      </c>
      <c r="E32" s="6" t="e">
        <f t="shared" si="10"/>
        <v>#NUM!</v>
      </c>
      <c r="F32" s="6" t="e">
        <f t="shared" si="11"/>
        <v>#NUM!</v>
      </c>
      <c r="G32" s="6" t="e">
        <f t="shared" si="12"/>
        <v>#NUM!</v>
      </c>
      <c r="H32" s="6" t="e">
        <f t="shared" si="13"/>
        <v>#NUM!</v>
      </c>
      <c r="I32" s="6" t="e">
        <f t="shared" si="14"/>
        <v>#NUM!</v>
      </c>
      <c r="J32" s="10" t="e">
        <f t="shared" si="15"/>
        <v>#NUM!</v>
      </c>
      <c r="K32" s="10" t="e">
        <f t="shared" si="16"/>
        <v>#NUM!</v>
      </c>
      <c r="L32" s="10" t="e">
        <f t="shared" si="17"/>
        <v>#NUM!</v>
      </c>
      <c r="M32" s="10" t="e">
        <f t="shared" si="18"/>
        <v>#NUM!</v>
      </c>
      <c r="N32" s="10" t="e">
        <f t="shared" si="19"/>
        <v>#NUM!</v>
      </c>
      <c r="O32" s="10" t="e">
        <f t="shared" si="20"/>
        <v>#NUM!</v>
      </c>
      <c r="P32" s="10" t="e">
        <f t="shared" si="21"/>
        <v>#NUM!</v>
      </c>
      <c r="Q32" s="11" t="e">
        <f>ROUND(( SUM(Table32315[[#This Row],[I1]:[I7]]))*1000000, 0)</f>
        <v>#NUM!</v>
      </c>
      <c r="R32" s="10" t="e">
        <f t="shared" si="22"/>
        <v>#NUM!</v>
      </c>
      <c r="S32" s="10" t="e">
        <f t="shared" si="23"/>
        <v>#NUM!</v>
      </c>
      <c r="T32" s="10" t="e">
        <f t="shared" si="24"/>
        <v>#NUM!</v>
      </c>
      <c r="U32" s="10" t="e">
        <f t="shared" si="25"/>
        <v>#NUM!</v>
      </c>
      <c r="V32" s="10" t="e">
        <f t="shared" si="26"/>
        <v>#NUM!</v>
      </c>
      <c r="W32" s="10" t="e">
        <f t="shared" si="27"/>
        <v>#NUM!</v>
      </c>
      <c r="X32" s="10" t="e">
        <f t="shared" si="28"/>
        <v>#NUM!</v>
      </c>
      <c r="Y32" s="11" t="e">
        <f>ROUND((SUM(Table32315[[#This Row],[II1]:[II7]]))*1000000, 0)</f>
        <v>#NUM!</v>
      </c>
      <c r="Z32" s="18" t="s">
        <v>19</v>
      </c>
      <c r="AB32" s="13" t="str">
        <f t="shared" si="31"/>
        <v/>
      </c>
      <c r="AD32" s="11" t="e">
        <v>#NUM!</v>
      </c>
      <c r="AF32" s="6">
        <v>12</v>
      </c>
      <c r="AG32" s="11" t="e">
        <f t="shared" si="29"/>
        <v>#NUM!</v>
      </c>
      <c r="AJ32" s="13" t="str">
        <f t="shared" si="32"/>
        <v/>
      </c>
    </row>
    <row r="33" spans="2:36" s="25" customFormat="1" ht="15" customHeight="1" x14ac:dyDescent="0.35">
      <c r="B33" s="6">
        <v>13</v>
      </c>
      <c r="C33" s="2" t="s">
        <v>20</v>
      </c>
      <c r="D33" s="6" t="e">
        <f t="shared" si="9"/>
        <v>#NUM!</v>
      </c>
      <c r="E33" s="6" t="e">
        <f t="shared" si="10"/>
        <v>#NUM!</v>
      </c>
      <c r="F33" s="6" t="e">
        <f t="shared" si="11"/>
        <v>#NUM!</v>
      </c>
      <c r="G33" s="6" t="e">
        <f t="shared" si="12"/>
        <v>#NUM!</v>
      </c>
      <c r="H33" s="6" t="e">
        <f t="shared" si="13"/>
        <v>#NUM!</v>
      </c>
      <c r="I33" s="6" t="e">
        <f t="shared" si="14"/>
        <v>#NUM!</v>
      </c>
      <c r="J33" s="10" t="e">
        <f t="shared" si="15"/>
        <v>#NUM!</v>
      </c>
      <c r="K33" s="10" t="e">
        <f t="shared" si="16"/>
        <v>#NUM!</v>
      </c>
      <c r="L33" s="10" t="e">
        <f t="shared" si="17"/>
        <v>#NUM!</v>
      </c>
      <c r="M33" s="10" t="e">
        <f t="shared" si="18"/>
        <v>#NUM!</v>
      </c>
      <c r="N33" s="10" t="e">
        <f t="shared" si="19"/>
        <v>#NUM!</v>
      </c>
      <c r="O33" s="10" t="e">
        <f t="shared" si="20"/>
        <v>#NUM!</v>
      </c>
      <c r="P33" s="10" t="e">
        <f t="shared" si="21"/>
        <v>#NUM!</v>
      </c>
      <c r="Q33" s="11" t="e">
        <f>ROUND(( SUM(Table32315[[#This Row],[I1]:[I7]]))*1000000, 0)</f>
        <v>#NUM!</v>
      </c>
      <c r="R33" s="10" t="e">
        <f t="shared" si="22"/>
        <v>#NUM!</v>
      </c>
      <c r="S33" s="10" t="e">
        <f t="shared" si="23"/>
        <v>#NUM!</v>
      </c>
      <c r="T33" s="10" t="e">
        <f t="shared" si="24"/>
        <v>#NUM!</v>
      </c>
      <c r="U33" s="10" t="e">
        <f t="shared" si="25"/>
        <v>#NUM!</v>
      </c>
      <c r="V33" s="10" t="e">
        <f t="shared" si="26"/>
        <v>#NUM!</v>
      </c>
      <c r="W33" s="10" t="e">
        <f t="shared" si="27"/>
        <v>#NUM!</v>
      </c>
      <c r="X33" s="10" t="e">
        <f t="shared" si="28"/>
        <v>#NUM!</v>
      </c>
      <c r="Y33" s="11" t="e">
        <f>ROUND((SUM(Table32315[[#This Row],[II1]:[II7]]))*1000000, 0)</f>
        <v>#NUM!</v>
      </c>
      <c r="Z33" s="18" t="s">
        <v>20</v>
      </c>
      <c r="AA33" s="22"/>
      <c r="AB33" s="24" t="str">
        <f t="shared" si="31"/>
        <v/>
      </c>
      <c r="AD33" s="22" t="e">
        <v>#NUM!</v>
      </c>
      <c r="AE33" s="22"/>
      <c r="AF33" s="19">
        <v>13</v>
      </c>
      <c r="AG33" s="22" t="e">
        <f t="shared" si="29"/>
        <v>#NUM!</v>
      </c>
      <c r="AH33" s="22"/>
      <c r="AI33" s="22"/>
      <c r="AJ33" s="24" t="str">
        <f t="shared" si="32"/>
        <v/>
      </c>
    </row>
    <row r="34" spans="2:36" x14ac:dyDescent="0.35">
      <c r="B34" s="6">
        <v>14</v>
      </c>
      <c r="C34" s="2" t="s">
        <v>20</v>
      </c>
      <c r="D34" s="6" t="e">
        <f t="shared" si="9"/>
        <v>#NUM!</v>
      </c>
      <c r="E34" s="6" t="e">
        <f t="shared" si="10"/>
        <v>#NUM!</v>
      </c>
      <c r="F34" s="6" t="e">
        <f t="shared" si="11"/>
        <v>#NUM!</v>
      </c>
      <c r="G34" s="6" t="e">
        <f t="shared" si="12"/>
        <v>#NUM!</v>
      </c>
      <c r="H34" s="6" t="e">
        <f t="shared" si="13"/>
        <v>#NUM!</v>
      </c>
      <c r="I34" s="6" t="e">
        <f t="shared" si="14"/>
        <v>#NUM!</v>
      </c>
      <c r="J34" s="10" t="e">
        <f t="shared" si="15"/>
        <v>#NUM!</v>
      </c>
      <c r="K34" s="10" t="e">
        <f t="shared" si="16"/>
        <v>#NUM!</v>
      </c>
      <c r="L34" s="10" t="e">
        <f t="shared" si="17"/>
        <v>#NUM!</v>
      </c>
      <c r="M34" s="10" t="e">
        <f t="shared" si="18"/>
        <v>#NUM!</v>
      </c>
      <c r="N34" s="10" t="e">
        <f t="shared" si="19"/>
        <v>#NUM!</v>
      </c>
      <c r="O34" s="10" t="e">
        <f t="shared" si="20"/>
        <v>#NUM!</v>
      </c>
      <c r="P34" s="10" t="e">
        <f t="shared" si="21"/>
        <v>#NUM!</v>
      </c>
      <c r="Q34" s="11" t="e">
        <f>ROUND(( SUM(Table32315[[#This Row],[I1]:[I7]]))*1000000, 0)</f>
        <v>#NUM!</v>
      </c>
      <c r="R34" s="10" t="e">
        <f t="shared" si="22"/>
        <v>#NUM!</v>
      </c>
      <c r="S34" s="10" t="e">
        <f t="shared" si="23"/>
        <v>#NUM!</v>
      </c>
      <c r="T34" s="10" t="e">
        <f t="shared" si="24"/>
        <v>#NUM!</v>
      </c>
      <c r="U34" s="10" t="e">
        <f t="shared" si="25"/>
        <v>#NUM!</v>
      </c>
      <c r="V34" s="10" t="e">
        <f t="shared" si="26"/>
        <v>#NUM!</v>
      </c>
      <c r="W34" s="10" t="e">
        <f t="shared" si="27"/>
        <v>#NUM!</v>
      </c>
      <c r="X34" s="10" t="e">
        <f t="shared" si="28"/>
        <v>#NUM!</v>
      </c>
      <c r="Y34" s="11" t="e">
        <f>ROUND((SUM(Table32315[[#This Row],[II1]:[II7]]))*1000000, 0)</f>
        <v>#NUM!</v>
      </c>
      <c r="Z34" s="18" t="s">
        <v>20</v>
      </c>
      <c r="AB34" s="13" t="str">
        <f t="shared" si="31"/>
        <v/>
      </c>
      <c r="AD34" s="11" t="e">
        <v>#NUM!</v>
      </c>
      <c r="AF34" s="6">
        <v>14</v>
      </c>
      <c r="AG34" s="11" t="e">
        <f t="shared" si="29"/>
        <v>#NUM!</v>
      </c>
      <c r="AJ34" s="13" t="str">
        <f t="shared" si="32"/>
        <v/>
      </c>
    </row>
    <row r="35" spans="2:36" s="25" customFormat="1" x14ac:dyDescent="0.35">
      <c r="B35" s="6">
        <v>15</v>
      </c>
      <c r="C35" s="2" t="s">
        <v>20</v>
      </c>
      <c r="D35" s="6" t="e">
        <f t="shared" si="9"/>
        <v>#NUM!</v>
      </c>
      <c r="E35" s="6" t="e">
        <f t="shared" si="10"/>
        <v>#NUM!</v>
      </c>
      <c r="F35" s="6" t="e">
        <f t="shared" si="11"/>
        <v>#NUM!</v>
      </c>
      <c r="G35" s="6" t="e">
        <f t="shared" si="12"/>
        <v>#NUM!</v>
      </c>
      <c r="H35" s="6" t="e">
        <f t="shared" si="13"/>
        <v>#NUM!</v>
      </c>
      <c r="I35" s="6" t="e">
        <f t="shared" si="14"/>
        <v>#NUM!</v>
      </c>
      <c r="J35" s="10" t="e">
        <f t="shared" si="15"/>
        <v>#NUM!</v>
      </c>
      <c r="K35" s="10" t="e">
        <f t="shared" si="16"/>
        <v>#NUM!</v>
      </c>
      <c r="L35" s="10" t="e">
        <f t="shared" si="17"/>
        <v>#NUM!</v>
      </c>
      <c r="M35" s="10" t="e">
        <f t="shared" si="18"/>
        <v>#NUM!</v>
      </c>
      <c r="N35" s="10" t="e">
        <f t="shared" si="19"/>
        <v>#NUM!</v>
      </c>
      <c r="O35" s="10" t="e">
        <f t="shared" si="20"/>
        <v>#NUM!</v>
      </c>
      <c r="P35" s="10" t="e">
        <f t="shared" si="21"/>
        <v>#NUM!</v>
      </c>
      <c r="Q35" s="11" t="e">
        <f>ROUND(( SUM(Table32315[[#This Row],[I1]:[I7]]))*1000000, 0)</f>
        <v>#NUM!</v>
      </c>
      <c r="R35" s="10" t="e">
        <f t="shared" si="22"/>
        <v>#NUM!</v>
      </c>
      <c r="S35" s="10" t="e">
        <f t="shared" si="23"/>
        <v>#NUM!</v>
      </c>
      <c r="T35" s="10" t="e">
        <f t="shared" si="24"/>
        <v>#NUM!</v>
      </c>
      <c r="U35" s="10" t="e">
        <f t="shared" si="25"/>
        <v>#NUM!</v>
      </c>
      <c r="V35" s="10" t="e">
        <f t="shared" si="26"/>
        <v>#NUM!</v>
      </c>
      <c r="W35" s="10" t="e">
        <f t="shared" si="27"/>
        <v>#NUM!</v>
      </c>
      <c r="X35" s="10" t="e">
        <f t="shared" si="28"/>
        <v>#NUM!</v>
      </c>
      <c r="Y35" s="11" t="e">
        <f>ROUND((SUM(Table32315[[#This Row],[II1]:[II7]]))*1000000, 0)</f>
        <v>#NUM!</v>
      </c>
      <c r="Z35" s="18" t="s">
        <v>20</v>
      </c>
      <c r="AA35" s="22"/>
      <c r="AB35" s="24" t="str">
        <f t="shared" si="31"/>
        <v/>
      </c>
      <c r="AD35" s="22" t="e">
        <v>#NUM!</v>
      </c>
      <c r="AE35" s="22"/>
      <c r="AF35" s="19">
        <v>15</v>
      </c>
      <c r="AG35" s="22" t="e">
        <f t="shared" si="29"/>
        <v>#NUM!</v>
      </c>
      <c r="AH35" s="22"/>
      <c r="AI35" s="22"/>
      <c r="AJ35" s="24" t="str">
        <f t="shared" si="32"/>
        <v/>
      </c>
    </row>
    <row r="36" spans="2:36" x14ac:dyDescent="0.35">
      <c r="B36" s="6">
        <v>16</v>
      </c>
      <c r="C36" s="2" t="s">
        <v>21</v>
      </c>
      <c r="D36" s="6" t="e">
        <f t="shared" si="9"/>
        <v>#NUM!</v>
      </c>
      <c r="E36" s="6" t="e">
        <f t="shared" si="10"/>
        <v>#NUM!</v>
      </c>
      <c r="F36" s="6" t="e">
        <f t="shared" si="11"/>
        <v>#NUM!</v>
      </c>
      <c r="G36" s="6" t="e">
        <f t="shared" si="12"/>
        <v>#NUM!</v>
      </c>
      <c r="H36" s="6" t="e">
        <f t="shared" si="13"/>
        <v>#NUM!</v>
      </c>
      <c r="I36" s="6" t="e">
        <f t="shared" si="14"/>
        <v>#NUM!</v>
      </c>
      <c r="J36" s="10" t="e">
        <f t="shared" si="15"/>
        <v>#NUM!</v>
      </c>
      <c r="K36" s="10" t="e">
        <f t="shared" si="16"/>
        <v>#NUM!</v>
      </c>
      <c r="L36" s="10" t="e">
        <f t="shared" si="17"/>
        <v>#NUM!</v>
      </c>
      <c r="M36" s="10" t="e">
        <f t="shared" si="18"/>
        <v>#NUM!</v>
      </c>
      <c r="N36" s="10" t="e">
        <f t="shared" si="19"/>
        <v>#NUM!</v>
      </c>
      <c r="O36" s="10" t="e">
        <f t="shared" si="20"/>
        <v>#NUM!</v>
      </c>
      <c r="P36" s="10" t="e">
        <f t="shared" si="21"/>
        <v>#NUM!</v>
      </c>
      <c r="Q36" s="11" t="e">
        <f>ROUND(( SUM(Table32315[[#This Row],[I1]:[I7]]))*1000000, 0)</f>
        <v>#NUM!</v>
      </c>
      <c r="R36" s="10" t="e">
        <f t="shared" si="22"/>
        <v>#NUM!</v>
      </c>
      <c r="S36" s="10" t="e">
        <f t="shared" si="23"/>
        <v>#NUM!</v>
      </c>
      <c r="T36" s="10" t="e">
        <f t="shared" si="24"/>
        <v>#NUM!</v>
      </c>
      <c r="U36" s="10" t="e">
        <f t="shared" si="25"/>
        <v>#NUM!</v>
      </c>
      <c r="V36" s="10" t="e">
        <f t="shared" si="26"/>
        <v>#NUM!</v>
      </c>
      <c r="W36" s="10" t="e">
        <f t="shared" si="27"/>
        <v>#NUM!</v>
      </c>
      <c r="X36" s="10" t="e">
        <f t="shared" si="28"/>
        <v>#NUM!</v>
      </c>
      <c r="Y36" s="11" t="e">
        <f>ROUND((SUM(Table32315[[#This Row],[II1]:[II7]]))*1000000, 0)</f>
        <v>#NUM!</v>
      </c>
      <c r="Z36" s="18" t="s">
        <v>21</v>
      </c>
      <c r="AB36" s="13" t="str">
        <f t="shared" si="31"/>
        <v/>
      </c>
      <c r="AD36" s="11" t="e">
        <v>#NUM!</v>
      </c>
      <c r="AF36" s="6">
        <v>16</v>
      </c>
      <c r="AG36" s="11" t="e">
        <f t="shared" si="29"/>
        <v>#NUM!</v>
      </c>
      <c r="AJ36" s="13" t="str">
        <f t="shared" si="32"/>
        <v/>
      </c>
    </row>
    <row r="37" spans="2:36" ht="15" customHeight="1" x14ac:dyDescent="0.35">
      <c r="B37" s="6">
        <v>17</v>
      </c>
      <c r="C37" s="2" t="s">
        <v>20</v>
      </c>
      <c r="D37" s="6" t="e">
        <f t="shared" si="9"/>
        <v>#NUM!</v>
      </c>
      <c r="E37" s="6" t="e">
        <f t="shared" si="10"/>
        <v>#NUM!</v>
      </c>
      <c r="F37" s="6" t="e">
        <f t="shared" si="11"/>
        <v>#NUM!</v>
      </c>
      <c r="G37" s="6" t="e">
        <f t="shared" si="12"/>
        <v>#NUM!</v>
      </c>
      <c r="H37" s="6" t="e">
        <f t="shared" si="13"/>
        <v>#NUM!</v>
      </c>
      <c r="I37" s="6" t="e">
        <f t="shared" si="14"/>
        <v>#NUM!</v>
      </c>
      <c r="J37" s="10" t="e">
        <f t="shared" si="15"/>
        <v>#NUM!</v>
      </c>
      <c r="K37" s="10" t="e">
        <f t="shared" si="16"/>
        <v>#NUM!</v>
      </c>
      <c r="L37" s="10" t="e">
        <f t="shared" si="17"/>
        <v>#NUM!</v>
      </c>
      <c r="M37" s="10" t="e">
        <f t="shared" si="18"/>
        <v>#NUM!</v>
      </c>
      <c r="N37" s="10" t="e">
        <f t="shared" si="19"/>
        <v>#NUM!</v>
      </c>
      <c r="O37" s="10" t="e">
        <f t="shared" si="20"/>
        <v>#NUM!</v>
      </c>
      <c r="P37" s="10" t="e">
        <f t="shared" si="21"/>
        <v>#NUM!</v>
      </c>
      <c r="Q37" s="11" t="e">
        <f>ROUND(( SUM(Table32315[[#This Row],[I1]:[I7]]))*1000000, 0)</f>
        <v>#NUM!</v>
      </c>
      <c r="R37" s="10" t="e">
        <f t="shared" si="22"/>
        <v>#NUM!</v>
      </c>
      <c r="S37" s="10" t="e">
        <f t="shared" si="23"/>
        <v>#NUM!</v>
      </c>
      <c r="T37" s="10" t="e">
        <f t="shared" si="24"/>
        <v>#NUM!</v>
      </c>
      <c r="U37" s="10" t="e">
        <f t="shared" si="25"/>
        <v>#NUM!</v>
      </c>
      <c r="V37" s="10" t="e">
        <f t="shared" si="26"/>
        <v>#NUM!</v>
      </c>
      <c r="W37" s="10" t="e">
        <f t="shared" si="27"/>
        <v>#NUM!</v>
      </c>
      <c r="X37" s="10" t="e">
        <f t="shared" si="28"/>
        <v>#NUM!</v>
      </c>
      <c r="Y37" s="11" t="e">
        <f>ROUND((SUM(Table32315[[#This Row],[II1]:[II7]]))*1000000, 0)</f>
        <v>#NUM!</v>
      </c>
      <c r="Z37" s="18" t="s">
        <v>20</v>
      </c>
      <c r="AB37" s="13" t="str">
        <f t="shared" si="31"/>
        <v/>
      </c>
      <c r="AD37" s="11" t="e">
        <v>#NUM!</v>
      </c>
      <c r="AF37" s="6">
        <v>17</v>
      </c>
      <c r="AG37" s="11" t="e">
        <f t="shared" si="29"/>
        <v>#NUM!</v>
      </c>
      <c r="AJ37" s="13" t="str">
        <f t="shared" si="32"/>
        <v/>
      </c>
    </row>
    <row r="38" spans="2:36" ht="15" customHeight="1" x14ac:dyDescent="0.35">
      <c r="B38" s="6">
        <v>18</v>
      </c>
      <c r="C38" s="2" t="s">
        <v>20</v>
      </c>
      <c r="D38" s="6" t="e">
        <f t="shared" si="9"/>
        <v>#NUM!</v>
      </c>
      <c r="E38" s="6" t="e">
        <f t="shared" si="10"/>
        <v>#NUM!</v>
      </c>
      <c r="F38" s="6" t="e">
        <f t="shared" si="11"/>
        <v>#NUM!</v>
      </c>
      <c r="G38" s="6" t="e">
        <f t="shared" si="12"/>
        <v>#NUM!</v>
      </c>
      <c r="H38" s="6" t="e">
        <f t="shared" si="13"/>
        <v>#NUM!</v>
      </c>
      <c r="I38" s="6" t="e">
        <f t="shared" si="14"/>
        <v>#NUM!</v>
      </c>
      <c r="J38" s="10" t="e">
        <f t="shared" si="15"/>
        <v>#NUM!</v>
      </c>
      <c r="K38" s="10" t="e">
        <f t="shared" si="16"/>
        <v>#NUM!</v>
      </c>
      <c r="L38" s="10" t="e">
        <f t="shared" si="17"/>
        <v>#NUM!</v>
      </c>
      <c r="M38" s="10" t="e">
        <f t="shared" si="18"/>
        <v>#NUM!</v>
      </c>
      <c r="N38" s="10" t="e">
        <f t="shared" si="19"/>
        <v>#NUM!</v>
      </c>
      <c r="O38" s="10" t="e">
        <f t="shared" si="20"/>
        <v>#NUM!</v>
      </c>
      <c r="P38" s="10" t="e">
        <f t="shared" si="21"/>
        <v>#NUM!</v>
      </c>
      <c r="Q38" s="11" t="e">
        <f>ROUND(( SUM(Table32315[[#This Row],[I1]:[I7]]))*1000000, 0)</f>
        <v>#NUM!</v>
      </c>
      <c r="R38" s="10" t="e">
        <f t="shared" si="22"/>
        <v>#NUM!</v>
      </c>
      <c r="S38" s="10" t="e">
        <f t="shared" si="23"/>
        <v>#NUM!</v>
      </c>
      <c r="T38" s="10" t="e">
        <f t="shared" si="24"/>
        <v>#NUM!</v>
      </c>
      <c r="U38" s="10" t="e">
        <f t="shared" si="25"/>
        <v>#NUM!</v>
      </c>
      <c r="V38" s="10" t="e">
        <f t="shared" si="26"/>
        <v>#NUM!</v>
      </c>
      <c r="W38" s="10" t="e">
        <f t="shared" si="27"/>
        <v>#NUM!</v>
      </c>
      <c r="X38" s="10" t="e">
        <f t="shared" si="28"/>
        <v>#NUM!</v>
      </c>
      <c r="Y38" s="11" t="e">
        <f>ROUND((SUM(Table32315[[#This Row],[II1]:[II7]]))*1000000, 0)</f>
        <v>#NUM!</v>
      </c>
      <c r="Z38" s="18" t="s">
        <v>20</v>
      </c>
      <c r="AB38" s="13" t="str">
        <f t="shared" si="31"/>
        <v/>
      </c>
      <c r="AD38" s="11" t="e">
        <v>#NUM!</v>
      </c>
      <c r="AF38" s="6">
        <v>18</v>
      </c>
      <c r="AG38" s="11" t="e">
        <f t="shared" si="29"/>
        <v>#NUM!</v>
      </c>
      <c r="AJ38" s="13" t="str">
        <f t="shared" si="32"/>
        <v/>
      </c>
    </row>
    <row r="39" spans="2:36" ht="15" customHeight="1" x14ac:dyDescent="0.35">
      <c r="B39" s="6">
        <v>19</v>
      </c>
      <c r="C39" s="2" t="s">
        <v>20</v>
      </c>
      <c r="D39" s="6" t="e">
        <f t="shared" si="9"/>
        <v>#NUM!</v>
      </c>
      <c r="E39" s="6" t="e">
        <f t="shared" si="10"/>
        <v>#NUM!</v>
      </c>
      <c r="F39" s="6" t="e">
        <f t="shared" si="11"/>
        <v>#NUM!</v>
      </c>
      <c r="G39" s="6" t="e">
        <f t="shared" si="12"/>
        <v>#NUM!</v>
      </c>
      <c r="H39" s="6" t="e">
        <f t="shared" si="13"/>
        <v>#NUM!</v>
      </c>
      <c r="I39" s="6" t="e">
        <f t="shared" si="14"/>
        <v>#NUM!</v>
      </c>
      <c r="J39" s="10" t="e">
        <f t="shared" si="15"/>
        <v>#NUM!</v>
      </c>
      <c r="K39" s="10" t="e">
        <f t="shared" si="16"/>
        <v>#NUM!</v>
      </c>
      <c r="L39" s="10" t="e">
        <f t="shared" si="17"/>
        <v>#NUM!</v>
      </c>
      <c r="M39" s="10" t="e">
        <f t="shared" si="18"/>
        <v>#NUM!</v>
      </c>
      <c r="N39" s="10" t="e">
        <f t="shared" si="19"/>
        <v>#NUM!</v>
      </c>
      <c r="O39" s="10" t="e">
        <f t="shared" si="20"/>
        <v>#NUM!</v>
      </c>
      <c r="P39" s="10" t="e">
        <f t="shared" si="21"/>
        <v>#NUM!</v>
      </c>
      <c r="Q39" s="11" t="e">
        <f>ROUND(( SUM(Table32315[[#This Row],[I1]:[I7]]))*1000000, 0)</f>
        <v>#NUM!</v>
      </c>
      <c r="R39" s="10" t="e">
        <f t="shared" si="22"/>
        <v>#NUM!</v>
      </c>
      <c r="S39" s="10" t="e">
        <f t="shared" si="23"/>
        <v>#NUM!</v>
      </c>
      <c r="T39" s="10" t="e">
        <f t="shared" si="24"/>
        <v>#NUM!</v>
      </c>
      <c r="U39" s="10" t="e">
        <f t="shared" si="25"/>
        <v>#NUM!</v>
      </c>
      <c r="V39" s="10" t="e">
        <f t="shared" si="26"/>
        <v>#NUM!</v>
      </c>
      <c r="W39" s="10" t="e">
        <f t="shared" si="27"/>
        <v>#NUM!</v>
      </c>
      <c r="X39" s="10" t="e">
        <f t="shared" si="28"/>
        <v>#NUM!</v>
      </c>
      <c r="Y39" s="11" t="e">
        <f>ROUND((SUM(Table32315[[#This Row],[II1]:[II7]]))*1000000, 0)</f>
        <v>#NUM!</v>
      </c>
      <c r="Z39" s="18" t="s">
        <v>20</v>
      </c>
      <c r="AB39" s="13" t="str">
        <f t="shared" si="31"/>
        <v/>
      </c>
      <c r="AD39" s="11" t="e">
        <v>#NUM!</v>
      </c>
      <c r="AF39" s="6">
        <v>19</v>
      </c>
      <c r="AG39" s="11" t="e">
        <f t="shared" si="29"/>
        <v>#NUM!</v>
      </c>
      <c r="AJ39" s="13" t="str">
        <f t="shared" si="32"/>
        <v/>
      </c>
    </row>
    <row r="40" spans="2:36" ht="15" customHeight="1" x14ac:dyDescent="0.35">
      <c r="B40" s="6">
        <v>20</v>
      </c>
      <c r="C40" s="2" t="s">
        <v>20</v>
      </c>
      <c r="D40" s="6" t="e">
        <f t="shared" si="9"/>
        <v>#NUM!</v>
      </c>
      <c r="E40" s="6" t="e">
        <f t="shared" si="10"/>
        <v>#NUM!</v>
      </c>
      <c r="F40" s="6" t="e">
        <f t="shared" si="11"/>
        <v>#NUM!</v>
      </c>
      <c r="G40" s="6" t="e">
        <f t="shared" si="12"/>
        <v>#NUM!</v>
      </c>
      <c r="H40" s="6" t="e">
        <f t="shared" si="13"/>
        <v>#NUM!</v>
      </c>
      <c r="I40" s="6" t="e">
        <f t="shared" si="14"/>
        <v>#NUM!</v>
      </c>
      <c r="J40" s="10" t="e">
        <f t="shared" si="15"/>
        <v>#NUM!</v>
      </c>
      <c r="K40" s="10" t="e">
        <f t="shared" si="16"/>
        <v>#NUM!</v>
      </c>
      <c r="L40" s="10" t="e">
        <f t="shared" si="17"/>
        <v>#NUM!</v>
      </c>
      <c r="M40" s="10" t="e">
        <f t="shared" si="18"/>
        <v>#NUM!</v>
      </c>
      <c r="N40" s="10" t="e">
        <f t="shared" si="19"/>
        <v>#NUM!</v>
      </c>
      <c r="O40" s="10" t="e">
        <f t="shared" si="20"/>
        <v>#NUM!</v>
      </c>
      <c r="P40" s="10" t="e">
        <f t="shared" si="21"/>
        <v>#NUM!</v>
      </c>
      <c r="Q40" s="11" t="e">
        <f>ROUND(( SUM(Table32315[[#This Row],[I1]:[I7]]))*1000000, 0)</f>
        <v>#NUM!</v>
      </c>
      <c r="R40" s="10" t="e">
        <f t="shared" si="22"/>
        <v>#NUM!</v>
      </c>
      <c r="S40" s="10" t="e">
        <f t="shared" si="23"/>
        <v>#NUM!</v>
      </c>
      <c r="T40" s="10" t="e">
        <f t="shared" si="24"/>
        <v>#NUM!</v>
      </c>
      <c r="U40" s="10" t="e">
        <f t="shared" si="25"/>
        <v>#NUM!</v>
      </c>
      <c r="V40" s="10" t="e">
        <f t="shared" si="26"/>
        <v>#NUM!</v>
      </c>
      <c r="W40" s="10" t="e">
        <f t="shared" si="27"/>
        <v>#NUM!</v>
      </c>
      <c r="X40" s="10" t="e">
        <f t="shared" si="28"/>
        <v>#NUM!</v>
      </c>
      <c r="Y40" s="11" t="e">
        <f>ROUND((SUM(Table32315[[#This Row],[II1]:[II7]]))*1000000, 0)</f>
        <v>#NUM!</v>
      </c>
      <c r="Z40" s="18" t="s">
        <v>20</v>
      </c>
      <c r="AB40" s="13" t="str">
        <f t="shared" si="31"/>
        <v/>
      </c>
      <c r="AD40" s="11" t="e">
        <v>#NUM!</v>
      </c>
      <c r="AF40" s="6">
        <v>20</v>
      </c>
      <c r="AG40" s="11" t="e">
        <f t="shared" si="29"/>
        <v>#NUM!</v>
      </c>
      <c r="AJ40" s="13" t="str">
        <f t="shared" si="32"/>
        <v/>
      </c>
    </row>
    <row r="41" spans="2:36" ht="15" customHeight="1" x14ac:dyDescent="0.35">
      <c r="B41" s="6">
        <v>21</v>
      </c>
      <c r="C41" s="2" t="s">
        <v>20</v>
      </c>
      <c r="D41" s="6" t="e">
        <f t="shared" si="9"/>
        <v>#NUM!</v>
      </c>
      <c r="E41" s="6" t="e">
        <f t="shared" si="10"/>
        <v>#NUM!</v>
      </c>
      <c r="F41" s="6" t="e">
        <f t="shared" si="11"/>
        <v>#NUM!</v>
      </c>
      <c r="G41" s="6" t="e">
        <f t="shared" si="12"/>
        <v>#NUM!</v>
      </c>
      <c r="H41" s="6" t="e">
        <f t="shared" si="13"/>
        <v>#NUM!</v>
      </c>
      <c r="I41" s="6" t="e">
        <f t="shared" si="14"/>
        <v>#NUM!</v>
      </c>
      <c r="J41" s="10" t="e">
        <f t="shared" si="15"/>
        <v>#NUM!</v>
      </c>
      <c r="K41" s="10" t="e">
        <f t="shared" si="16"/>
        <v>#NUM!</v>
      </c>
      <c r="L41" s="10" t="e">
        <f t="shared" si="17"/>
        <v>#NUM!</v>
      </c>
      <c r="M41" s="10" t="e">
        <f t="shared" si="18"/>
        <v>#NUM!</v>
      </c>
      <c r="N41" s="10" t="e">
        <f t="shared" si="19"/>
        <v>#NUM!</v>
      </c>
      <c r="O41" s="10" t="e">
        <f t="shared" si="20"/>
        <v>#NUM!</v>
      </c>
      <c r="P41" s="10" t="e">
        <f t="shared" si="21"/>
        <v>#NUM!</v>
      </c>
      <c r="Q41" s="11" t="e">
        <f>ROUND(( SUM(Table32315[[#This Row],[I1]:[I7]]))*1000000, 0)</f>
        <v>#NUM!</v>
      </c>
      <c r="R41" s="10" t="e">
        <f t="shared" si="22"/>
        <v>#NUM!</v>
      </c>
      <c r="S41" s="10" t="e">
        <f t="shared" si="23"/>
        <v>#NUM!</v>
      </c>
      <c r="T41" s="10" t="e">
        <f t="shared" si="24"/>
        <v>#NUM!</v>
      </c>
      <c r="U41" s="10" t="e">
        <f t="shared" si="25"/>
        <v>#NUM!</v>
      </c>
      <c r="V41" s="10" t="e">
        <f t="shared" si="26"/>
        <v>#NUM!</v>
      </c>
      <c r="W41" s="10" t="e">
        <f t="shared" si="27"/>
        <v>#NUM!</v>
      </c>
      <c r="X41" s="10" t="e">
        <f t="shared" si="28"/>
        <v>#NUM!</v>
      </c>
      <c r="Y41" s="11" t="e">
        <f>ROUND((SUM(Table32315[[#This Row],[II1]:[II7]]))*1000000, 0)</f>
        <v>#NUM!</v>
      </c>
      <c r="Z41" s="18" t="s">
        <v>20</v>
      </c>
      <c r="AB41" s="13" t="str">
        <f t="shared" si="31"/>
        <v/>
      </c>
      <c r="AD41" s="11" t="e">
        <v>#NUM!</v>
      </c>
      <c r="AF41" s="6">
        <v>21</v>
      </c>
      <c r="AG41" s="11" t="e">
        <f t="shared" si="29"/>
        <v>#NUM!</v>
      </c>
      <c r="AJ41" s="13" t="str">
        <f t="shared" si="32"/>
        <v/>
      </c>
    </row>
    <row r="42" spans="2:36" ht="15" customHeight="1" x14ac:dyDescent="0.35">
      <c r="B42" s="6">
        <v>22</v>
      </c>
      <c r="C42" s="2" t="s">
        <v>20</v>
      </c>
      <c r="D42" s="6" t="e">
        <f t="shared" si="9"/>
        <v>#NUM!</v>
      </c>
      <c r="E42" s="6" t="e">
        <f t="shared" si="10"/>
        <v>#NUM!</v>
      </c>
      <c r="F42" s="6" t="e">
        <f t="shared" si="11"/>
        <v>#NUM!</v>
      </c>
      <c r="G42" s="6" t="e">
        <f t="shared" si="12"/>
        <v>#NUM!</v>
      </c>
      <c r="H42" s="6" t="e">
        <f t="shared" si="13"/>
        <v>#NUM!</v>
      </c>
      <c r="I42" s="6" t="e">
        <f t="shared" si="14"/>
        <v>#NUM!</v>
      </c>
      <c r="J42" s="10" t="e">
        <f t="shared" si="15"/>
        <v>#NUM!</v>
      </c>
      <c r="K42" s="10" t="e">
        <f t="shared" si="16"/>
        <v>#NUM!</v>
      </c>
      <c r="L42" s="10" t="e">
        <f t="shared" si="17"/>
        <v>#NUM!</v>
      </c>
      <c r="M42" s="10" t="e">
        <f t="shared" si="18"/>
        <v>#NUM!</v>
      </c>
      <c r="N42" s="10" t="e">
        <f t="shared" si="19"/>
        <v>#NUM!</v>
      </c>
      <c r="O42" s="10" t="e">
        <f t="shared" si="20"/>
        <v>#NUM!</v>
      </c>
      <c r="P42" s="10" t="e">
        <f t="shared" si="21"/>
        <v>#NUM!</v>
      </c>
      <c r="Q42" s="11" t="e">
        <f>ROUND(( SUM(Table32315[[#This Row],[I1]:[I7]]))*1000000, 0)</f>
        <v>#NUM!</v>
      </c>
      <c r="R42" s="10" t="e">
        <f t="shared" si="22"/>
        <v>#NUM!</v>
      </c>
      <c r="S42" s="10" t="e">
        <f t="shared" si="23"/>
        <v>#NUM!</v>
      </c>
      <c r="T42" s="10" t="e">
        <f t="shared" si="24"/>
        <v>#NUM!</v>
      </c>
      <c r="U42" s="10" t="e">
        <f t="shared" si="25"/>
        <v>#NUM!</v>
      </c>
      <c r="V42" s="10" t="e">
        <f t="shared" si="26"/>
        <v>#NUM!</v>
      </c>
      <c r="W42" s="10" t="e">
        <f t="shared" si="27"/>
        <v>#NUM!</v>
      </c>
      <c r="X42" s="10" t="e">
        <f t="shared" si="28"/>
        <v>#NUM!</v>
      </c>
      <c r="Y42" s="11" t="e">
        <f>ROUND((SUM(Table32315[[#This Row],[II1]:[II7]]))*1000000, 0)</f>
        <v>#NUM!</v>
      </c>
      <c r="Z42" s="18" t="s">
        <v>20</v>
      </c>
      <c r="AB42" s="13" t="str">
        <f t="shared" ref="AB42:AB78" si="33">IF(ISBLANK(AA42), "", COUNTIF($L$20:$L$83,AA42))</f>
        <v/>
      </c>
      <c r="AD42" s="11" t="e">
        <v>#NUM!</v>
      </c>
      <c r="AF42" s="6">
        <v>22</v>
      </c>
      <c r="AG42" s="11" t="e">
        <f t="shared" si="29"/>
        <v>#NUM!</v>
      </c>
      <c r="AJ42" s="13" t="str">
        <f t="shared" si="32"/>
        <v/>
      </c>
    </row>
    <row r="43" spans="2:36" ht="15" customHeight="1" x14ac:dyDescent="0.35">
      <c r="B43" s="6">
        <v>23</v>
      </c>
      <c r="C43" s="2" t="s">
        <v>20</v>
      </c>
      <c r="D43" s="6" t="e">
        <f t="shared" si="9"/>
        <v>#NUM!</v>
      </c>
      <c r="E43" s="6" t="e">
        <f t="shared" si="10"/>
        <v>#NUM!</v>
      </c>
      <c r="F43" s="6" t="e">
        <f t="shared" si="11"/>
        <v>#NUM!</v>
      </c>
      <c r="G43" s="6" t="e">
        <f t="shared" si="12"/>
        <v>#NUM!</v>
      </c>
      <c r="H43" s="6" t="e">
        <f t="shared" si="13"/>
        <v>#NUM!</v>
      </c>
      <c r="I43" s="6" t="e">
        <f t="shared" si="14"/>
        <v>#NUM!</v>
      </c>
      <c r="J43" s="10" t="e">
        <f t="shared" si="15"/>
        <v>#NUM!</v>
      </c>
      <c r="K43" s="10" t="e">
        <f t="shared" si="16"/>
        <v>#NUM!</v>
      </c>
      <c r="L43" s="10" t="e">
        <f t="shared" si="17"/>
        <v>#NUM!</v>
      </c>
      <c r="M43" s="10" t="e">
        <f t="shared" si="18"/>
        <v>#NUM!</v>
      </c>
      <c r="N43" s="10" t="e">
        <f t="shared" si="19"/>
        <v>#NUM!</v>
      </c>
      <c r="O43" s="10" t="e">
        <f t="shared" si="20"/>
        <v>#NUM!</v>
      </c>
      <c r="P43" s="10" t="e">
        <f t="shared" si="21"/>
        <v>#NUM!</v>
      </c>
      <c r="Q43" s="11" t="e">
        <f>ROUND(( SUM(Table32315[[#This Row],[I1]:[I7]]))*1000000, 0)</f>
        <v>#NUM!</v>
      </c>
      <c r="R43" s="10" t="e">
        <f t="shared" si="22"/>
        <v>#NUM!</v>
      </c>
      <c r="S43" s="10" t="e">
        <f t="shared" si="23"/>
        <v>#NUM!</v>
      </c>
      <c r="T43" s="10" t="e">
        <f t="shared" si="24"/>
        <v>#NUM!</v>
      </c>
      <c r="U43" s="10" t="e">
        <f t="shared" si="25"/>
        <v>#NUM!</v>
      </c>
      <c r="V43" s="10" t="e">
        <f t="shared" si="26"/>
        <v>#NUM!</v>
      </c>
      <c r="W43" s="10" t="e">
        <f t="shared" si="27"/>
        <v>#NUM!</v>
      </c>
      <c r="X43" s="10" t="e">
        <f t="shared" si="28"/>
        <v>#NUM!</v>
      </c>
      <c r="Y43" s="11" t="e">
        <f>ROUND((SUM(Table32315[[#This Row],[II1]:[II7]]))*1000000, 0)</f>
        <v>#NUM!</v>
      </c>
      <c r="Z43" s="18" t="s">
        <v>20</v>
      </c>
      <c r="AB43" s="13" t="str">
        <f t="shared" si="33"/>
        <v/>
      </c>
      <c r="AD43" s="11" t="e">
        <v>#NUM!</v>
      </c>
      <c r="AF43" s="6">
        <v>23</v>
      </c>
      <c r="AG43" s="11" t="e">
        <f t="shared" si="29"/>
        <v>#NUM!</v>
      </c>
      <c r="AJ43" s="13" t="str">
        <f t="shared" si="32"/>
        <v/>
      </c>
    </row>
    <row r="44" spans="2:36" x14ac:dyDescent="0.35">
      <c r="B44" s="19">
        <v>24</v>
      </c>
      <c r="C44" s="20" t="s">
        <v>21</v>
      </c>
      <c r="D44" s="19" t="e">
        <f t="shared" si="9"/>
        <v>#NUM!</v>
      </c>
      <c r="E44" s="19" t="e">
        <f t="shared" si="10"/>
        <v>#NUM!</v>
      </c>
      <c r="F44" s="19" t="e">
        <f t="shared" si="11"/>
        <v>#NUM!</v>
      </c>
      <c r="G44" s="19" t="e">
        <f t="shared" si="12"/>
        <v>#NUM!</v>
      </c>
      <c r="H44" s="19" t="e">
        <f t="shared" si="13"/>
        <v>#NUM!</v>
      </c>
      <c r="I44" s="19" t="e">
        <f t="shared" si="14"/>
        <v>#NUM!</v>
      </c>
      <c r="J44" s="21" t="e">
        <f t="shared" si="15"/>
        <v>#NUM!</v>
      </c>
      <c r="K44" s="21" t="e">
        <f t="shared" si="16"/>
        <v>#NUM!</v>
      </c>
      <c r="L44" s="21" t="e">
        <f t="shared" si="17"/>
        <v>#NUM!</v>
      </c>
      <c r="M44" s="21" t="e">
        <f t="shared" si="18"/>
        <v>#NUM!</v>
      </c>
      <c r="N44" s="21" t="e">
        <f t="shared" si="19"/>
        <v>#NUM!</v>
      </c>
      <c r="O44" s="21" t="e">
        <f t="shared" si="20"/>
        <v>#NUM!</v>
      </c>
      <c r="P44" s="21" t="e">
        <f t="shared" si="21"/>
        <v>#NUM!</v>
      </c>
      <c r="Q44" s="22" t="e">
        <f>ROUND(( SUM(Table32315[[#This Row],[I1]:[I7]]))*1000000, 0)</f>
        <v>#NUM!</v>
      </c>
      <c r="R44" s="21" t="e">
        <f t="shared" si="22"/>
        <v>#NUM!</v>
      </c>
      <c r="S44" s="10" t="e">
        <f t="shared" si="23"/>
        <v>#NUM!</v>
      </c>
      <c r="T44" s="21" t="e">
        <f t="shared" si="24"/>
        <v>#NUM!</v>
      </c>
      <c r="U44" s="21" t="e">
        <f t="shared" si="25"/>
        <v>#NUM!</v>
      </c>
      <c r="V44" s="21" t="e">
        <f t="shared" si="26"/>
        <v>#NUM!</v>
      </c>
      <c r="W44" s="21" t="e">
        <f t="shared" si="27"/>
        <v>#NUM!</v>
      </c>
      <c r="X44" s="21" t="e">
        <f t="shared" si="28"/>
        <v>#NUM!</v>
      </c>
      <c r="Y44" s="22" t="e">
        <f>ROUND((SUM(Table32315[[#This Row],[II1]:[II7]]))*1000000, 0)</f>
        <v>#NUM!</v>
      </c>
      <c r="Z44" s="23" t="s">
        <v>21</v>
      </c>
      <c r="AB44" s="13" t="str">
        <f t="shared" si="33"/>
        <v/>
      </c>
      <c r="AD44" s="11" t="e">
        <v>#NUM!</v>
      </c>
      <c r="AF44" s="6">
        <v>24</v>
      </c>
      <c r="AG44" s="11" t="e">
        <f t="shared" si="29"/>
        <v>#NUM!</v>
      </c>
      <c r="AJ44" s="13" t="str">
        <f t="shared" si="32"/>
        <v/>
      </c>
    </row>
    <row r="45" spans="2:36" ht="15" customHeight="1" x14ac:dyDescent="0.35">
      <c r="B45" s="6">
        <v>25</v>
      </c>
      <c r="C45" s="2" t="s">
        <v>20</v>
      </c>
      <c r="D45" s="6" t="e">
        <f t="shared" si="9"/>
        <v>#NUM!</v>
      </c>
      <c r="E45" s="6" t="e">
        <f t="shared" si="10"/>
        <v>#NUM!</v>
      </c>
      <c r="F45" s="6" t="e">
        <f t="shared" si="11"/>
        <v>#NUM!</v>
      </c>
      <c r="G45" s="6" t="e">
        <f t="shared" si="12"/>
        <v>#NUM!</v>
      </c>
      <c r="H45" s="6" t="e">
        <f t="shared" si="13"/>
        <v>#NUM!</v>
      </c>
      <c r="I45" s="6" t="e">
        <f t="shared" si="14"/>
        <v>#NUM!</v>
      </c>
      <c r="J45" s="10" t="e">
        <f t="shared" si="15"/>
        <v>#NUM!</v>
      </c>
      <c r="K45" s="10" t="e">
        <f t="shared" si="16"/>
        <v>#NUM!</v>
      </c>
      <c r="L45" s="10" t="e">
        <f t="shared" si="17"/>
        <v>#NUM!</v>
      </c>
      <c r="M45" s="10" t="e">
        <f t="shared" si="18"/>
        <v>#NUM!</v>
      </c>
      <c r="N45" s="10" t="e">
        <f t="shared" si="19"/>
        <v>#NUM!</v>
      </c>
      <c r="O45" s="10" t="e">
        <f t="shared" si="20"/>
        <v>#NUM!</v>
      </c>
      <c r="P45" s="10" t="e">
        <f t="shared" si="21"/>
        <v>#NUM!</v>
      </c>
      <c r="Q45" s="11" t="e">
        <f>ROUND(( SUM(Table32315[[#This Row],[I1]:[I7]]))*1000000, 0)</f>
        <v>#NUM!</v>
      </c>
      <c r="R45" s="10" t="e">
        <f t="shared" si="22"/>
        <v>#NUM!</v>
      </c>
      <c r="S45" s="10" t="e">
        <f t="shared" si="23"/>
        <v>#NUM!</v>
      </c>
      <c r="T45" s="10" t="e">
        <f t="shared" si="24"/>
        <v>#NUM!</v>
      </c>
      <c r="U45" s="10" t="e">
        <f t="shared" si="25"/>
        <v>#NUM!</v>
      </c>
      <c r="V45" s="10" t="e">
        <f t="shared" si="26"/>
        <v>#NUM!</v>
      </c>
      <c r="W45" s="10" t="e">
        <f t="shared" si="27"/>
        <v>#NUM!</v>
      </c>
      <c r="X45" s="10" t="e">
        <f t="shared" si="28"/>
        <v>#NUM!</v>
      </c>
      <c r="Y45" s="11" t="e">
        <f>ROUND((SUM(Table32315[[#This Row],[II1]:[II7]]))*1000000, 0)</f>
        <v>#NUM!</v>
      </c>
      <c r="Z45" s="18" t="s">
        <v>20</v>
      </c>
      <c r="AB45" s="13" t="str">
        <f t="shared" si="33"/>
        <v/>
      </c>
      <c r="AD45" s="11" t="e">
        <v>#NUM!</v>
      </c>
      <c r="AF45" s="6">
        <v>25</v>
      </c>
      <c r="AG45" s="11" t="e">
        <f t="shared" si="29"/>
        <v>#NUM!</v>
      </c>
      <c r="AJ45" s="13" t="str">
        <f t="shared" si="32"/>
        <v/>
      </c>
    </row>
    <row r="46" spans="2:36" ht="15" customHeight="1" x14ac:dyDescent="0.35">
      <c r="B46" s="6">
        <v>26</v>
      </c>
      <c r="C46" s="2" t="s">
        <v>20</v>
      </c>
      <c r="D46" s="6" t="e">
        <f t="shared" si="9"/>
        <v>#NUM!</v>
      </c>
      <c r="E46" s="6" t="e">
        <f t="shared" si="10"/>
        <v>#NUM!</v>
      </c>
      <c r="F46" s="6" t="e">
        <f t="shared" si="11"/>
        <v>#NUM!</v>
      </c>
      <c r="G46" s="6" t="e">
        <f t="shared" si="12"/>
        <v>#NUM!</v>
      </c>
      <c r="H46" s="6" t="e">
        <f t="shared" si="13"/>
        <v>#NUM!</v>
      </c>
      <c r="I46" s="6" t="e">
        <f t="shared" si="14"/>
        <v>#NUM!</v>
      </c>
      <c r="J46" s="10" t="e">
        <f t="shared" si="15"/>
        <v>#NUM!</v>
      </c>
      <c r="K46" s="10" t="e">
        <f t="shared" si="16"/>
        <v>#NUM!</v>
      </c>
      <c r="L46" s="10" t="e">
        <f t="shared" si="17"/>
        <v>#NUM!</v>
      </c>
      <c r="M46" s="10" t="e">
        <f t="shared" si="18"/>
        <v>#NUM!</v>
      </c>
      <c r="N46" s="10" t="e">
        <f t="shared" si="19"/>
        <v>#NUM!</v>
      </c>
      <c r="O46" s="10" t="e">
        <f t="shared" si="20"/>
        <v>#NUM!</v>
      </c>
      <c r="P46" s="10" t="e">
        <f t="shared" si="21"/>
        <v>#NUM!</v>
      </c>
      <c r="Q46" s="11" t="e">
        <f>ROUND(( SUM(Table32315[[#This Row],[I1]:[I7]]))*1000000, 0)</f>
        <v>#NUM!</v>
      </c>
      <c r="R46" s="10" t="e">
        <f t="shared" si="22"/>
        <v>#NUM!</v>
      </c>
      <c r="S46" s="10" t="e">
        <f t="shared" si="23"/>
        <v>#NUM!</v>
      </c>
      <c r="T46" s="10" t="e">
        <f t="shared" si="24"/>
        <v>#NUM!</v>
      </c>
      <c r="U46" s="10" t="e">
        <f t="shared" si="25"/>
        <v>#NUM!</v>
      </c>
      <c r="V46" s="10" t="e">
        <f t="shared" si="26"/>
        <v>#NUM!</v>
      </c>
      <c r="W46" s="10" t="e">
        <f t="shared" si="27"/>
        <v>#NUM!</v>
      </c>
      <c r="X46" s="10" t="e">
        <f t="shared" si="28"/>
        <v>#NUM!</v>
      </c>
      <c r="Y46" s="11" t="e">
        <f>ROUND((SUM(Table32315[[#This Row],[II1]:[II7]]))*1000000, 0)</f>
        <v>#NUM!</v>
      </c>
      <c r="Z46" s="18" t="s">
        <v>20</v>
      </c>
      <c r="AB46" s="13" t="str">
        <f t="shared" si="33"/>
        <v/>
      </c>
      <c r="AD46" s="11" t="e">
        <v>#NUM!</v>
      </c>
      <c r="AF46" s="6">
        <v>26</v>
      </c>
      <c r="AG46" s="11" t="e">
        <f t="shared" si="29"/>
        <v>#NUM!</v>
      </c>
      <c r="AJ46" s="13" t="str">
        <f t="shared" si="32"/>
        <v/>
      </c>
    </row>
    <row r="47" spans="2:36" ht="15" customHeight="1" x14ac:dyDescent="0.35">
      <c r="B47" s="6">
        <v>27</v>
      </c>
      <c r="C47" s="2" t="s">
        <v>20</v>
      </c>
      <c r="D47" s="6" t="e">
        <f t="shared" si="9"/>
        <v>#NUM!</v>
      </c>
      <c r="E47" s="6" t="e">
        <f t="shared" si="10"/>
        <v>#NUM!</v>
      </c>
      <c r="F47" s="6" t="e">
        <f t="shared" si="11"/>
        <v>#NUM!</v>
      </c>
      <c r="G47" s="6" t="e">
        <f t="shared" si="12"/>
        <v>#NUM!</v>
      </c>
      <c r="H47" s="6" t="e">
        <f t="shared" si="13"/>
        <v>#NUM!</v>
      </c>
      <c r="I47" s="6" t="e">
        <f t="shared" si="14"/>
        <v>#NUM!</v>
      </c>
      <c r="J47" s="10" t="e">
        <f t="shared" si="15"/>
        <v>#NUM!</v>
      </c>
      <c r="K47" s="10" t="e">
        <f t="shared" si="16"/>
        <v>#NUM!</v>
      </c>
      <c r="L47" s="10" t="e">
        <f t="shared" si="17"/>
        <v>#NUM!</v>
      </c>
      <c r="M47" s="10" t="e">
        <f t="shared" si="18"/>
        <v>#NUM!</v>
      </c>
      <c r="N47" s="10" t="e">
        <f t="shared" si="19"/>
        <v>#NUM!</v>
      </c>
      <c r="O47" s="10" t="e">
        <f t="shared" si="20"/>
        <v>#NUM!</v>
      </c>
      <c r="P47" s="10" t="e">
        <f t="shared" si="21"/>
        <v>#NUM!</v>
      </c>
      <c r="Q47" s="11" t="e">
        <f>ROUND(( SUM(Table32315[[#This Row],[I1]:[I7]]))*1000000, 0)</f>
        <v>#NUM!</v>
      </c>
      <c r="R47" s="10" t="e">
        <f t="shared" si="22"/>
        <v>#NUM!</v>
      </c>
      <c r="S47" s="10" t="e">
        <f t="shared" si="23"/>
        <v>#NUM!</v>
      </c>
      <c r="T47" s="10" t="e">
        <f t="shared" si="24"/>
        <v>#NUM!</v>
      </c>
      <c r="U47" s="10" t="e">
        <f t="shared" si="25"/>
        <v>#NUM!</v>
      </c>
      <c r="V47" s="10" t="e">
        <f t="shared" si="26"/>
        <v>#NUM!</v>
      </c>
      <c r="W47" s="10" t="e">
        <f t="shared" si="27"/>
        <v>#NUM!</v>
      </c>
      <c r="X47" s="10" t="e">
        <f t="shared" si="28"/>
        <v>#NUM!</v>
      </c>
      <c r="Y47" s="11" t="e">
        <f>ROUND((SUM(Table32315[[#This Row],[II1]:[II7]]))*1000000, 0)</f>
        <v>#NUM!</v>
      </c>
      <c r="Z47" s="18" t="s">
        <v>20</v>
      </c>
      <c r="AB47" s="13" t="str">
        <f t="shared" si="33"/>
        <v/>
      </c>
      <c r="AD47" s="11" t="e">
        <v>#NUM!</v>
      </c>
      <c r="AF47" s="6">
        <v>27</v>
      </c>
      <c r="AG47" s="11" t="e">
        <f t="shared" si="29"/>
        <v>#NUM!</v>
      </c>
      <c r="AJ47" s="13" t="str">
        <f t="shared" si="32"/>
        <v/>
      </c>
    </row>
    <row r="48" spans="2:36" x14ac:dyDescent="0.35">
      <c r="B48" s="19">
        <v>28</v>
      </c>
      <c r="C48" s="20" t="s">
        <v>21</v>
      </c>
      <c r="D48" s="19" t="e">
        <f t="shared" si="9"/>
        <v>#NUM!</v>
      </c>
      <c r="E48" s="19" t="e">
        <f t="shared" si="10"/>
        <v>#NUM!</v>
      </c>
      <c r="F48" s="19" t="e">
        <f t="shared" si="11"/>
        <v>#NUM!</v>
      </c>
      <c r="G48" s="19" t="e">
        <f t="shared" si="12"/>
        <v>#NUM!</v>
      </c>
      <c r="H48" s="19" t="e">
        <f t="shared" si="13"/>
        <v>#NUM!</v>
      </c>
      <c r="I48" s="19" t="e">
        <f t="shared" si="14"/>
        <v>#NUM!</v>
      </c>
      <c r="J48" s="21" t="e">
        <f t="shared" si="15"/>
        <v>#NUM!</v>
      </c>
      <c r="K48" s="21" t="e">
        <f t="shared" si="16"/>
        <v>#NUM!</v>
      </c>
      <c r="L48" s="21" t="e">
        <f t="shared" si="17"/>
        <v>#NUM!</v>
      </c>
      <c r="M48" s="21" t="e">
        <f t="shared" si="18"/>
        <v>#NUM!</v>
      </c>
      <c r="N48" s="21" t="e">
        <f t="shared" si="19"/>
        <v>#NUM!</v>
      </c>
      <c r="O48" s="21" t="e">
        <f t="shared" si="20"/>
        <v>#NUM!</v>
      </c>
      <c r="P48" s="21" t="e">
        <f t="shared" si="21"/>
        <v>#NUM!</v>
      </c>
      <c r="Q48" s="22" t="e">
        <f>ROUND(( SUM(Table32315[[#This Row],[I1]:[I7]]))*1000000, 0)</f>
        <v>#NUM!</v>
      </c>
      <c r="R48" s="21" t="e">
        <f t="shared" si="22"/>
        <v>#NUM!</v>
      </c>
      <c r="S48" s="10" t="e">
        <f t="shared" si="23"/>
        <v>#NUM!</v>
      </c>
      <c r="T48" s="21" t="e">
        <f t="shared" si="24"/>
        <v>#NUM!</v>
      </c>
      <c r="U48" s="21" t="e">
        <f t="shared" si="25"/>
        <v>#NUM!</v>
      </c>
      <c r="V48" s="21" t="e">
        <f t="shared" si="26"/>
        <v>#NUM!</v>
      </c>
      <c r="W48" s="21" t="e">
        <f t="shared" si="27"/>
        <v>#NUM!</v>
      </c>
      <c r="X48" s="21" t="e">
        <f t="shared" si="28"/>
        <v>#NUM!</v>
      </c>
      <c r="Y48" s="22" t="e">
        <f>ROUND((SUM(Table32315[[#This Row],[II1]:[II7]]))*1000000, 0)</f>
        <v>#NUM!</v>
      </c>
      <c r="Z48" s="23" t="s">
        <v>21</v>
      </c>
      <c r="AB48" s="13" t="str">
        <f t="shared" si="33"/>
        <v/>
      </c>
      <c r="AD48" s="11" t="e">
        <v>#NUM!</v>
      </c>
      <c r="AF48" s="6">
        <v>28</v>
      </c>
      <c r="AG48" s="11" t="e">
        <f t="shared" si="29"/>
        <v>#NUM!</v>
      </c>
      <c r="AJ48" s="13" t="str">
        <f t="shared" si="32"/>
        <v/>
      </c>
    </row>
    <row r="49" spans="2:36" ht="15" customHeight="1" x14ac:dyDescent="0.35">
      <c r="B49" s="6">
        <v>29</v>
      </c>
      <c r="C49" s="2" t="s">
        <v>20</v>
      </c>
      <c r="D49" s="6" t="e">
        <f t="shared" si="9"/>
        <v>#NUM!</v>
      </c>
      <c r="E49" s="6" t="e">
        <f t="shared" si="10"/>
        <v>#NUM!</v>
      </c>
      <c r="F49" s="6" t="e">
        <f t="shared" si="11"/>
        <v>#NUM!</v>
      </c>
      <c r="G49" s="6" t="e">
        <f t="shared" si="12"/>
        <v>#NUM!</v>
      </c>
      <c r="H49" s="6" t="e">
        <f t="shared" si="13"/>
        <v>#NUM!</v>
      </c>
      <c r="I49" s="6" t="e">
        <f t="shared" si="14"/>
        <v>#NUM!</v>
      </c>
      <c r="J49" s="10" t="e">
        <f t="shared" si="15"/>
        <v>#NUM!</v>
      </c>
      <c r="K49" s="10" t="e">
        <f t="shared" si="16"/>
        <v>#NUM!</v>
      </c>
      <c r="L49" s="10" t="e">
        <f t="shared" si="17"/>
        <v>#NUM!</v>
      </c>
      <c r="M49" s="10" t="e">
        <f t="shared" si="18"/>
        <v>#NUM!</v>
      </c>
      <c r="N49" s="10" t="e">
        <f t="shared" si="19"/>
        <v>#NUM!</v>
      </c>
      <c r="O49" s="10" t="e">
        <f t="shared" si="20"/>
        <v>#NUM!</v>
      </c>
      <c r="P49" s="10" t="e">
        <f t="shared" si="21"/>
        <v>#NUM!</v>
      </c>
      <c r="Q49" s="11" t="e">
        <f>ROUND(( SUM(Table32315[[#This Row],[I1]:[I7]]))*1000000, 0)</f>
        <v>#NUM!</v>
      </c>
      <c r="R49" s="10" t="e">
        <f t="shared" si="22"/>
        <v>#NUM!</v>
      </c>
      <c r="S49" s="10" t="e">
        <f t="shared" si="23"/>
        <v>#NUM!</v>
      </c>
      <c r="T49" s="10" t="e">
        <f t="shared" si="24"/>
        <v>#NUM!</v>
      </c>
      <c r="U49" s="10" t="e">
        <f t="shared" si="25"/>
        <v>#NUM!</v>
      </c>
      <c r="V49" s="10" t="e">
        <f t="shared" si="26"/>
        <v>#NUM!</v>
      </c>
      <c r="W49" s="10" t="e">
        <f t="shared" si="27"/>
        <v>#NUM!</v>
      </c>
      <c r="X49" s="10" t="e">
        <f t="shared" si="28"/>
        <v>#NUM!</v>
      </c>
      <c r="Y49" s="11" t="e">
        <f>ROUND((SUM(Table32315[[#This Row],[II1]:[II7]]))*1000000, 0)</f>
        <v>#NUM!</v>
      </c>
      <c r="Z49" s="18" t="s">
        <v>20</v>
      </c>
      <c r="AB49" s="13" t="str">
        <f t="shared" si="33"/>
        <v/>
      </c>
      <c r="AD49" s="11" t="e">
        <v>#NUM!</v>
      </c>
      <c r="AF49" s="6">
        <v>29</v>
      </c>
      <c r="AG49" s="11" t="e">
        <f t="shared" si="29"/>
        <v>#NUM!</v>
      </c>
      <c r="AJ49" s="13" t="str">
        <f t="shared" si="32"/>
        <v/>
      </c>
    </row>
    <row r="50" spans="2:36" ht="15" customHeight="1" x14ac:dyDescent="0.35">
      <c r="B50" s="6">
        <v>30</v>
      </c>
      <c r="C50" s="2" t="s">
        <v>20</v>
      </c>
      <c r="D50" s="6" t="e">
        <f t="shared" si="9"/>
        <v>#NUM!</v>
      </c>
      <c r="E50" s="6" t="e">
        <f t="shared" si="10"/>
        <v>#NUM!</v>
      </c>
      <c r="F50" s="6" t="e">
        <f t="shared" si="11"/>
        <v>#NUM!</v>
      </c>
      <c r="G50" s="6" t="e">
        <f t="shared" si="12"/>
        <v>#NUM!</v>
      </c>
      <c r="H50" s="6" t="e">
        <f t="shared" si="13"/>
        <v>#NUM!</v>
      </c>
      <c r="I50" s="6" t="e">
        <f t="shared" si="14"/>
        <v>#NUM!</v>
      </c>
      <c r="J50" s="10" t="e">
        <f t="shared" si="15"/>
        <v>#NUM!</v>
      </c>
      <c r="K50" s="10" t="e">
        <f t="shared" si="16"/>
        <v>#NUM!</v>
      </c>
      <c r="L50" s="10" t="e">
        <f t="shared" si="17"/>
        <v>#NUM!</v>
      </c>
      <c r="M50" s="10" t="e">
        <f t="shared" si="18"/>
        <v>#NUM!</v>
      </c>
      <c r="N50" s="10" t="e">
        <f t="shared" si="19"/>
        <v>#NUM!</v>
      </c>
      <c r="O50" s="10" t="e">
        <f t="shared" si="20"/>
        <v>#NUM!</v>
      </c>
      <c r="P50" s="10" t="e">
        <f t="shared" si="21"/>
        <v>#NUM!</v>
      </c>
      <c r="Q50" s="11" t="e">
        <f>ROUND(( SUM(Table32315[[#This Row],[I1]:[I7]]))*1000000, 0)</f>
        <v>#NUM!</v>
      </c>
      <c r="R50" s="10" t="e">
        <f t="shared" si="22"/>
        <v>#NUM!</v>
      </c>
      <c r="S50" s="10" t="e">
        <f t="shared" si="23"/>
        <v>#NUM!</v>
      </c>
      <c r="T50" s="10" t="e">
        <f t="shared" si="24"/>
        <v>#NUM!</v>
      </c>
      <c r="U50" s="10" t="e">
        <f t="shared" si="25"/>
        <v>#NUM!</v>
      </c>
      <c r="V50" s="10" t="e">
        <f t="shared" si="26"/>
        <v>#NUM!</v>
      </c>
      <c r="W50" s="10" t="e">
        <f t="shared" si="27"/>
        <v>#NUM!</v>
      </c>
      <c r="X50" s="10" t="e">
        <f t="shared" si="28"/>
        <v>#NUM!</v>
      </c>
      <c r="Y50" s="11" t="e">
        <f>ROUND((SUM(Table32315[[#This Row],[II1]:[II7]]))*1000000, 0)</f>
        <v>#NUM!</v>
      </c>
      <c r="Z50" s="18" t="s">
        <v>20</v>
      </c>
      <c r="AB50" s="13" t="str">
        <f t="shared" si="33"/>
        <v/>
      </c>
      <c r="AD50" s="11" t="e">
        <v>#NUM!</v>
      </c>
      <c r="AF50" s="6">
        <v>30</v>
      </c>
      <c r="AG50" s="11" t="e">
        <f t="shared" si="29"/>
        <v>#NUM!</v>
      </c>
      <c r="AJ50" s="13" t="str">
        <f t="shared" si="32"/>
        <v/>
      </c>
    </row>
    <row r="51" spans="2:36" x14ac:dyDescent="0.35">
      <c r="B51" s="6">
        <v>31</v>
      </c>
      <c r="C51" s="2" t="s">
        <v>20</v>
      </c>
      <c r="D51" s="6" t="e">
        <f t="shared" si="9"/>
        <v>#NUM!</v>
      </c>
      <c r="E51" s="6" t="e">
        <f t="shared" si="10"/>
        <v>#NUM!</v>
      </c>
      <c r="F51" s="6" t="e">
        <f t="shared" si="11"/>
        <v>#NUM!</v>
      </c>
      <c r="G51" s="6" t="e">
        <f t="shared" si="12"/>
        <v>#NUM!</v>
      </c>
      <c r="H51" s="6" t="e">
        <f t="shared" si="13"/>
        <v>#NUM!</v>
      </c>
      <c r="I51" s="6" t="e">
        <f t="shared" si="14"/>
        <v>#NUM!</v>
      </c>
      <c r="J51" s="10" t="e">
        <f t="shared" si="15"/>
        <v>#NUM!</v>
      </c>
      <c r="K51" s="10" t="e">
        <f t="shared" si="16"/>
        <v>#NUM!</v>
      </c>
      <c r="L51" s="10" t="e">
        <f t="shared" si="17"/>
        <v>#NUM!</v>
      </c>
      <c r="M51" s="10" t="e">
        <f t="shared" si="18"/>
        <v>#NUM!</v>
      </c>
      <c r="N51" s="10" t="e">
        <f t="shared" si="19"/>
        <v>#NUM!</v>
      </c>
      <c r="O51" s="10" t="e">
        <f t="shared" si="20"/>
        <v>#NUM!</v>
      </c>
      <c r="P51" s="10" t="e">
        <f t="shared" si="21"/>
        <v>#NUM!</v>
      </c>
      <c r="Q51" s="11" t="e">
        <f>ROUND(( SUM(Table32315[[#This Row],[I1]:[I7]]))*1000000, 0)</f>
        <v>#NUM!</v>
      </c>
      <c r="R51" s="10" t="e">
        <f t="shared" si="22"/>
        <v>#NUM!</v>
      </c>
      <c r="S51" s="10" t="e">
        <f t="shared" si="23"/>
        <v>#NUM!</v>
      </c>
      <c r="T51" s="10" t="e">
        <f t="shared" si="24"/>
        <v>#NUM!</v>
      </c>
      <c r="U51" s="10" t="e">
        <f t="shared" si="25"/>
        <v>#NUM!</v>
      </c>
      <c r="V51" s="10" t="e">
        <f t="shared" si="26"/>
        <v>#NUM!</v>
      </c>
      <c r="W51" s="10" t="e">
        <f t="shared" si="27"/>
        <v>#NUM!</v>
      </c>
      <c r="X51" s="10" t="e">
        <f t="shared" si="28"/>
        <v>#NUM!</v>
      </c>
      <c r="Y51" s="11" t="e">
        <f>ROUND((SUM(Table32315[[#This Row],[II1]:[II7]]))*1000000, 0)</f>
        <v>#NUM!</v>
      </c>
      <c r="Z51" s="18" t="s">
        <v>20</v>
      </c>
      <c r="AB51" s="13" t="str">
        <f t="shared" si="33"/>
        <v/>
      </c>
      <c r="AD51" s="11" t="e">
        <v>#NUM!</v>
      </c>
      <c r="AF51" s="6">
        <v>31</v>
      </c>
      <c r="AG51" s="11" t="e">
        <f t="shared" si="29"/>
        <v>#NUM!</v>
      </c>
      <c r="AJ51" s="13" t="str">
        <f t="shared" si="32"/>
        <v/>
      </c>
    </row>
    <row r="52" spans="2:36" x14ac:dyDescent="0.35">
      <c r="B52" s="6">
        <v>32</v>
      </c>
      <c r="C52" s="2" t="s">
        <v>38</v>
      </c>
      <c r="D52" s="6" t="e">
        <f t="shared" ref="D52:D83" si="34">LEFT(RIGHT(DEC2BIN($B52,3),3),1)</f>
        <v>#NUM!</v>
      </c>
      <c r="E52" s="6" t="e">
        <f t="shared" ref="E52:E83" si="35">LEFT(RIGHT(DEC2BIN($B52,3),2),1)</f>
        <v>#NUM!</v>
      </c>
      <c r="F52" s="6" t="e">
        <f t="shared" ref="F52:F83" si="36">LEFT(RIGHT(DEC2BIN($B52,3),1),1)</f>
        <v>#NUM!</v>
      </c>
      <c r="G52" s="6" t="e">
        <f t="shared" ref="G52:G83" si="37">LEFT(RIGHT(DEC2BIN($B52,3),3),1)</f>
        <v>#NUM!</v>
      </c>
      <c r="H52" s="6" t="e">
        <f t="shared" ref="H52:H83" si="38">LEFT(RIGHT(DEC2BIN($B52,3),2),1)</f>
        <v>#NUM!</v>
      </c>
      <c r="I52" s="6" t="e">
        <f t="shared" ref="I52:I83" si="39">LEFT(RIGHT(DEC2BIN($B52,3),1),1)</f>
        <v>#NUM!</v>
      </c>
      <c r="J52" s="10" t="e">
        <f t="shared" ref="J52:J83" si="40">(($D52*$D$11)+($E52*$D$12)+($F52*$D$13))</f>
        <v>#NUM!</v>
      </c>
      <c r="K52" s="10" t="e">
        <f t="shared" ref="K52:K83" si="41">(($D52*$E$11)+($E52*$E$12)+($F52*$E$13))</f>
        <v>#NUM!</v>
      </c>
      <c r="L52" s="10" t="e">
        <f t="shared" ref="L52:L83" si="42">(($D52*$F$11)+($E52*$F$12)+($F52*$F$13))</f>
        <v>#NUM!</v>
      </c>
      <c r="M52" s="10" t="e">
        <f t="shared" ref="M52:M83" si="43">(($D52*$G$11)+($E52*$G$12)+($F52*$G$13))</f>
        <v>#NUM!</v>
      </c>
      <c r="N52" s="10" t="e">
        <f t="shared" ref="N52:N83" si="44">(($D52*$H$11)+($E52*$H$12)+($F52*$H$13))</f>
        <v>#NUM!</v>
      </c>
      <c r="O52" s="10" t="e">
        <f t="shared" ref="O52:O83" si="45">(($D52*$I$11)+($E52*$I$12)+($F52*$I$13))</f>
        <v>#NUM!</v>
      </c>
      <c r="P52" s="10" t="e">
        <f t="shared" ref="P52:P83" si="46">(($D52*$J$11)+($E52*$J$12)+($F52*$J$13))</f>
        <v>#NUM!</v>
      </c>
      <c r="Q52" s="11" t="e">
        <f>ROUND(( SUM(Table32315[[#This Row],[I1]:[I7]]))*1000000, 0)</f>
        <v>#NUM!</v>
      </c>
      <c r="R52" s="10" t="e">
        <f t="shared" ref="R52:R83" si="47">(($G52*$D$14)+($H52*$D$15)+($I52*$D$16))</f>
        <v>#NUM!</v>
      </c>
      <c r="S52" s="10" t="e">
        <f t="shared" ref="S52:S83" si="48">(($G52*$E$14)+($H52*$E$15)+($I52*$E$16))</f>
        <v>#NUM!</v>
      </c>
      <c r="T52" s="10" t="e">
        <f t="shared" ref="T52:T83" si="49">(($G52*$F$14)+($H52*$F$15)+($I52*$F$16))</f>
        <v>#NUM!</v>
      </c>
      <c r="U52" s="10" t="e">
        <f t="shared" ref="U52:U83" si="50">(($G52*$G$14)+($H52*$G$15)+($I52*$G$16))</f>
        <v>#NUM!</v>
      </c>
      <c r="V52" s="10" t="e">
        <f t="shared" ref="V52:V83" si="51">(($G52*$H$14)+($H52*$H$15)+($I52*$H$16))</f>
        <v>#NUM!</v>
      </c>
      <c r="W52" s="10" t="e">
        <f t="shared" ref="W52:W83" si="52">(($G52*$I$14)+($H52*$I$15)+($I52*$I$16))</f>
        <v>#NUM!</v>
      </c>
      <c r="X52" s="10" t="e">
        <f t="shared" ref="X52:X83" si="53">(($G52*$J$14)+($H52*$J$15)+($I52*$J$16))</f>
        <v>#NUM!</v>
      </c>
      <c r="Y52" s="11" t="e">
        <f>ROUND((SUM(Table32315[[#This Row],[II1]:[II7]]))*1000000, 0)</f>
        <v>#NUM!</v>
      </c>
      <c r="Z52" s="18" t="s">
        <v>22</v>
      </c>
      <c r="AB52" s="13" t="str">
        <f t="shared" si="33"/>
        <v/>
      </c>
      <c r="AD52" s="11" t="e">
        <v>#NUM!</v>
      </c>
      <c r="AF52" s="6">
        <v>32</v>
      </c>
      <c r="AG52" s="11" t="e">
        <f t="shared" si="29"/>
        <v>#NUM!</v>
      </c>
      <c r="AJ52" s="13" t="str">
        <f t="shared" si="32"/>
        <v/>
      </c>
    </row>
    <row r="53" spans="2:36" x14ac:dyDescent="0.35">
      <c r="B53" s="6">
        <v>33</v>
      </c>
      <c r="C53" s="2" t="s">
        <v>22</v>
      </c>
      <c r="D53" s="6" t="e">
        <f t="shared" si="34"/>
        <v>#NUM!</v>
      </c>
      <c r="E53" s="6" t="e">
        <f t="shared" si="35"/>
        <v>#NUM!</v>
      </c>
      <c r="F53" s="6" t="e">
        <f t="shared" si="36"/>
        <v>#NUM!</v>
      </c>
      <c r="G53" s="6" t="e">
        <f t="shared" si="37"/>
        <v>#NUM!</v>
      </c>
      <c r="H53" s="6" t="e">
        <f t="shared" si="38"/>
        <v>#NUM!</v>
      </c>
      <c r="I53" s="6" t="e">
        <f t="shared" si="39"/>
        <v>#NUM!</v>
      </c>
      <c r="J53" s="10" t="e">
        <f t="shared" si="40"/>
        <v>#NUM!</v>
      </c>
      <c r="K53" s="10" t="e">
        <f t="shared" si="41"/>
        <v>#NUM!</v>
      </c>
      <c r="L53" s="10" t="e">
        <f t="shared" si="42"/>
        <v>#NUM!</v>
      </c>
      <c r="M53" s="10" t="e">
        <f t="shared" si="43"/>
        <v>#NUM!</v>
      </c>
      <c r="N53" s="10" t="e">
        <f t="shared" si="44"/>
        <v>#NUM!</v>
      </c>
      <c r="O53" s="10" t="e">
        <f t="shared" si="45"/>
        <v>#NUM!</v>
      </c>
      <c r="P53" s="10" t="e">
        <f t="shared" si="46"/>
        <v>#NUM!</v>
      </c>
      <c r="Q53" s="11" t="e">
        <f>ROUND(( SUM(Table32315[[#This Row],[I1]:[I7]]))*1000000, 0)</f>
        <v>#NUM!</v>
      </c>
      <c r="R53" s="10" t="e">
        <f t="shared" si="47"/>
        <v>#NUM!</v>
      </c>
      <c r="S53" s="10" t="e">
        <f t="shared" si="48"/>
        <v>#NUM!</v>
      </c>
      <c r="T53" s="10" t="e">
        <f t="shared" si="49"/>
        <v>#NUM!</v>
      </c>
      <c r="U53" s="10" t="e">
        <f t="shared" si="50"/>
        <v>#NUM!</v>
      </c>
      <c r="V53" s="10" t="e">
        <f t="shared" si="51"/>
        <v>#NUM!</v>
      </c>
      <c r="W53" s="10" t="e">
        <f t="shared" si="52"/>
        <v>#NUM!</v>
      </c>
      <c r="X53" s="10" t="e">
        <f t="shared" si="53"/>
        <v>#NUM!</v>
      </c>
      <c r="Y53" s="11" t="e">
        <f>ROUND((SUM(Table32315[[#This Row],[II1]:[II7]]))*1000000, 0)</f>
        <v>#NUM!</v>
      </c>
      <c r="Z53" s="18" t="s">
        <v>22</v>
      </c>
      <c r="AB53" s="13" t="str">
        <f t="shared" si="33"/>
        <v/>
      </c>
      <c r="AD53" s="11" t="e">
        <v>#NUM!</v>
      </c>
      <c r="AF53" s="6">
        <v>33</v>
      </c>
      <c r="AG53" s="11" t="e">
        <f t="shared" si="29"/>
        <v>#NUM!</v>
      </c>
      <c r="AJ53" s="13" t="str">
        <f t="shared" si="32"/>
        <v/>
      </c>
    </row>
    <row r="54" spans="2:36" x14ac:dyDescent="0.35">
      <c r="B54" s="6">
        <v>34</v>
      </c>
      <c r="C54" s="2" t="s">
        <v>22</v>
      </c>
      <c r="D54" s="6" t="e">
        <f t="shared" si="34"/>
        <v>#NUM!</v>
      </c>
      <c r="E54" s="6" t="e">
        <f t="shared" si="35"/>
        <v>#NUM!</v>
      </c>
      <c r="F54" s="6" t="e">
        <f t="shared" si="36"/>
        <v>#NUM!</v>
      </c>
      <c r="G54" s="6" t="e">
        <f t="shared" si="37"/>
        <v>#NUM!</v>
      </c>
      <c r="H54" s="6" t="e">
        <f t="shared" si="38"/>
        <v>#NUM!</v>
      </c>
      <c r="I54" s="6" t="e">
        <f t="shared" si="39"/>
        <v>#NUM!</v>
      </c>
      <c r="J54" s="10" t="e">
        <f t="shared" si="40"/>
        <v>#NUM!</v>
      </c>
      <c r="K54" s="10" t="e">
        <f t="shared" si="41"/>
        <v>#NUM!</v>
      </c>
      <c r="L54" s="10" t="e">
        <f t="shared" si="42"/>
        <v>#NUM!</v>
      </c>
      <c r="M54" s="10" t="e">
        <f t="shared" si="43"/>
        <v>#NUM!</v>
      </c>
      <c r="N54" s="10" t="e">
        <f t="shared" si="44"/>
        <v>#NUM!</v>
      </c>
      <c r="O54" s="10" t="e">
        <f t="shared" si="45"/>
        <v>#NUM!</v>
      </c>
      <c r="P54" s="10" t="e">
        <f t="shared" si="46"/>
        <v>#NUM!</v>
      </c>
      <c r="Q54" s="11" t="e">
        <f>ROUND(( SUM(Table32315[[#This Row],[I1]:[I7]]))*1000000, 0)</f>
        <v>#NUM!</v>
      </c>
      <c r="R54" s="10" t="e">
        <f t="shared" si="47"/>
        <v>#NUM!</v>
      </c>
      <c r="S54" s="10" t="e">
        <f t="shared" si="48"/>
        <v>#NUM!</v>
      </c>
      <c r="T54" s="10" t="e">
        <f t="shared" si="49"/>
        <v>#NUM!</v>
      </c>
      <c r="U54" s="10" t="e">
        <f t="shared" si="50"/>
        <v>#NUM!</v>
      </c>
      <c r="V54" s="10" t="e">
        <f t="shared" si="51"/>
        <v>#NUM!</v>
      </c>
      <c r="W54" s="10" t="e">
        <f t="shared" si="52"/>
        <v>#NUM!</v>
      </c>
      <c r="X54" s="10" t="e">
        <f t="shared" si="53"/>
        <v>#NUM!</v>
      </c>
      <c r="Y54" s="11" t="e">
        <f>ROUND((SUM(Table32315[[#This Row],[II1]:[II7]]))*1000000, 0)</f>
        <v>#NUM!</v>
      </c>
      <c r="Z54" s="18" t="s">
        <v>22</v>
      </c>
      <c r="AB54" s="13" t="str">
        <f t="shared" si="33"/>
        <v/>
      </c>
      <c r="AD54" s="11" t="e">
        <v>#NUM!</v>
      </c>
      <c r="AF54" s="6">
        <v>34</v>
      </c>
      <c r="AG54" s="11" t="e">
        <f t="shared" si="29"/>
        <v>#NUM!</v>
      </c>
      <c r="AJ54" s="13" t="str">
        <f t="shared" si="32"/>
        <v/>
      </c>
    </row>
    <row r="55" spans="2:36" x14ac:dyDescent="0.35">
      <c r="B55" s="6">
        <v>35</v>
      </c>
      <c r="C55" s="2" t="s">
        <v>22</v>
      </c>
      <c r="D55" s="6" t="e">
        <f t="shared" si="34"/>
        <v>#NUM!</v>
      </c>
      <c r="E55" s="6" t="e">
        <f t="shared" si="35"/>
        <v>#NUM!</v>
      </c>
      <c r="F55" s="6" t="e">
        <f t="shared" si="36"/>
        <v>#NUM!</v>
      </c>
      <c r="G55" s="6" t="e">
        <f t="shared" si="37"/>
        <v>#NUM!</v>
      </c>
      <c r="H55" s="6" t="e">
        <f t="shared" si="38"/>
        <v>#NUM!</v>
      </c>
      <c r="I55" s="6" t="e">
        <f t="shared" si="39"/>
        <v>#NUM!</v>
      </c>
      <c r="J55" s="10" t="e">
        <f t="shared" si="40"/>
        <v>#NUM!</v>
      </c>
      <c r="K55" s="10" t="e">
        <f t="shared" si="41"/>
        <v>#NUM!</v>
      </c>
      <c r="L55" s="10" t="e">
        <f t="shared" si="42"/>
        <v>#NUM!</v>
      </c>
      <c r="M55" s="10" t="e">
        <f t="shared" si="43"/>
        <v>#NUM!</v>
      </c>
      <c r="N55" s="10" t="e">
        <f t="shared" si="44"/>
        <v>#NUM!</v>
      </c>
      <c r="O55" s="10" t="e">
        <f t="shared" si="45"/>
        <v>#NUM!</v>
      </c>
      <c r="P55" s="10" t="e">
        <f t="shared" si="46"/>
        <v>#NUM!</v>
      </c>
      <c r="Q55" s="11" t="e">
        <f>ROUND(( SUM(Table32315[[#This Row],[I1]:[I7]]))*1000000, 0)</f>
        <v>#NUM!</v>
      </c>
      <c r="R55" s="10" t="e">
        <f t="shared" si="47"/>
        <v>#NUM!</v>
      </c>
      <c r="S55" s="10" t="e">
        <f t="shared" si="48"/>
        <v>#NUM!</v>
      </c>
      <c r="T55" s="10" t="e">
        <f t="shared" si="49"/>
        <v>#NUM!</v>
      </c>
      <c r="U55" s="10" t="e">
        <f t="shared" si="50"/>
        <v>#NUM!</v>
      </c>
      <c r="V55" s="10" t="e">
        <f t="shared" si="51"/>
        <v>#NUM!</v>
      </c>
      <c r="W55" s="10" t="e">
        <f t="shared" si="52"/>
        <v>#NUM!</v>
      </c>
      <c r="X55" s="10" t="e">
        <f t="shared" si="53"/>
        <v>#NUM!</v>
      </c>
      <c r="Y55" s="11" t="e">
        <f>ROUND((SUM(Table32315[[#This Row],[II1]:[II7]]))*1000000, 0)</f>
        <v>#NUM!</v>
      </c>
      <c r="Z55" s="18" t="s">
        <v>22</v>
      </c>
      <c r="AB55" s="13" t="str">
        <f t="shared" si="33"/>
        <v/>
      </c>
      <c r="AD55" s="11" t="e">
        <v>#NUM!</v>
      </c>
      <c r="AF55" s="6">
        <v>35</v>
      </c>
      <c r="AG55" s="11" t="e">
        <f t="shared" si="29"/>
        <v>#NUM!</v>
      </c>
      <c r="AJ55" s="13" t="str">
        <f t="shared" si="32"/>
        <v/>
      </c>
    </row>
    <row r="56" spans="2:36" x14ac:dyDescent="0.35">
      <c r="B56" s="6">
        <v>36</v>
      </c>
      <c r="C56" s="2" t="s">
        <v>22</v>
      </c>
      <c r="D56" s="6" t="e">
        <f t="shared" si="34"/>
        <v>#NUM!</v>
      </c>
      <c r="E56" s="6" t="e">
        <f t="shared" si="35"/>
        <v>#NUM!</v>
      </c>
      <c r="F56" s="6" t="e">
        <f t="shared" si="36"/>
        <v>#NUM!</v>
      </c>
      <c r="G56" s="6" t="e">
        <f t="shared" si="37"/>
        <v>#NUM!</v>
      </c>
      <c r="H56" s="6" t="e">
        <f t="shared" si="38"/>
        <v>#NUM!</v>
      </c>
      <c r="I56" s="6" t="e">
        <f t="shared" si="39"/>
        <v>#NUM!</v>
      </c>
      <c r="J56" s="10" t="e">
        <f t="shared" si="40"/>
        <v>#NUM!</v>
      </c>
      <c r="K56" s="10" t="e">
        <f t="shared" si="41"/>
        <v>#NUM!</v>
      </c>
      <c r="L56" s="10" t="e">
        <f t="shared" si="42"/>
        <v>#NUM!</v>
      </c>
      <c r="M56" s="10" t="e">
        <f t="shared" si="43"/>
        <v>#NUM!</v>
      </c>
      <c r="N56" s="10" t="e">
        <f t="shared" si="44"/>
        <v>#NUM!</v>
      </c>
      <c r="O56" s="10" t="e">
        <f t="shared" si="45"/>
        <v>#NUM!</v>
      </c>
      <c r="P56" s="10" t="e">
        <f t="shared" si="46"/>
        <v>#NUM!</v>
      </c>
      <c r="Q56" s="11" t="e">
        <f>ROUND(( SUM(Table32315[[#This Row],[I1]:[I7]]))*1000000, 0)</f>
        <v>#NUM!</v>
      </c>
      <c r="R56" s="10" t="e">
        <f t="shared" si="47"/>
        <v>#NUM!</v>
      </c>
      <c r="S56" s="10" t="e">
        <f t="shared" si="48"/>
        <v>#NUM!</v>
      </c>
      <c r="T56" s="10" t="e">
        <f t="shared" si="49"/>
        <v>#NUM!</v>
      </c>
      <c r="U56" s="10" t="e">
        <f t="shared" si="50"/>
        <v>#NUM!</v>
      </c>
      <c r="V56" s="10" t="e">
        <f t="shared" si="51"/>
        <v>#NUM!</v>
      </c>
      <c r="W56" s="10" t="e">
        <f t="shared" si="52"/>
        <v>#NUM!</v>
      </c>
      <c r="X56" s="10" t="e">
        <f t="shared" si="53"/>
        <v>#NUM!</v>
      </c>
      <c r="Y56" s="11" t="e">
        <f>ROUND((SUM(Table32315[[#This Row],[II1]:[II7]]))*1000000, 0)</f>
        <v>#NUM!</v>
      </c>
      <c r="Z56" s="18" t="s">
        <v>22</v>
      </c>
      <c r="AB56" s="13" t="str">
        <f t="shared" si="33"/>
        <v/>
      </c>
      <c r="AD56" s="11" t="e">
        <v>#NUM!</v>
      </c>
      <c r="AF56" s="6">
        <v>36</v>
      </c>
      <c r="AG56" s="11" t="e">
        <f t="shared" si="29"/>
        <v>#NUM!</v>
      </c>
      <c r="AJ56" s="13" t="str">
        <f t="shared" si="32"/>
        <v/>
      </c>
    </row>
    <row r="57" spans="2:36" x14ac:dyDescent="0.35">
      <c r="B57" s="6">
        <v>37</v>
      </c>
      <c r="C57" s="2" t="s">
        <v>22</v>
      </c>
      <c r="D57" s="6" t="e">
        <f t="shared" si="34"/>
        <v>#NUM!</v>
      </c>
      <c r="E57" s="6" t="e">
        <f t="shared" si="35"/>
        <v>#NUM!</v>
      </c>
      <c r="F57" s="6" t="e">
        <f t="shared" si="36"/>
        <v>#NUM!</v>
      </c>
      <c r="G57" s="6" t="e">
        <f t="shared" si="37"/>
        <v>#NUM!</v>
      </c>
      <c r="H57" s="6" t="e">
        <f t="shared" si="38"/>
        <v>#NUM!</v>
      </c>
      <c r="I57" s="6" t="e">
        <f t="shared" si="39"/>
        <v>#NUM!</v>
      </c>
      <c r="J57" s="10" t="e">
        <f t="shared" si="40"/>
        <v>#NUM!</v>
      </c>
      <c r="K57" s="10" t="e">
        <f t="shared" si="41"/>
        <v>#NUM!</v>
      </c>
      <c r="L57" s="10" t="e">
        <f t="shared" si="42"/>
        <v>#NUM!</v>
      </c>
      <c r="M57" s="10" t="e">
        <f t="shared" si="43"/>
        <v>#NUM!</v>
      </c>
      <c r="N57" s="10" t="e">
        <f t="shared" si="44"/>
        <v>#NUM!</v>
      </c>
      <c r="O57" s="10" t="e">
        <f t="shared" si="45"/>
        <v>#NUM!</v>
      </c>
      <c r="P57" s="10" t="e">
        <f t="shared" si="46"/>
        <v>#NUM!</v>
      </c>
      <c r="Q57" s="11" t="e">
        <f>ROUND(( SUM(Table32315[[#This Row],[I1]:[I7]]))*1000000, 0)</f>
        <v>#NUM!</v>
      </c>
      <c r="R57" s="10" t="e">
        <f t="shared" si="47"/>
        <v>#NUM!</v>
      </c>
      <c r="S57" s="10" t="e">
        <f t="shared" si="48"/>
        <v>#NUM!</v>
      </c>
      <c r="T57" s="10" t="e">
        <f t="shared" si="49"/>
        <v>#NUM!</v>
      </c>
      <c r="U57" s="10" t="e">
        <f t="shared" si="50"/>
        <v>#NUM!</v>
      </c>
      <c r="V57" s="10" t="e">
        <f t="shared" si="51"/>
        <v>#NUM!</v>
      </c>
      <c r="W57" s="10" t="e">
        <f t="shared" si="52"/>
        <v>#NUM!</v>
      </c>
      <c r="X57" s="10" t="e">
        <f t="shared" si="53"/>
        <v>#NUM!</v>
      </c>
      <c r="Y57" s="11" t="e">
        <f>ROUND((SUM(Table32315[[#This Row],[II1]:[II7]]))*1000000, 0)</f>
        <v>#NUM!</v>
      </c>
      <c r="Z57" s="18" t="s">
        <v>22</v>
      </c>
      <c r="AB57" s="13" t="str">
        <f t="shared" si="33"/>
        <v/>
      </c>
      <c r="AD57" s="11" t="e">
        <v>#NUM!</v>
      </c>
      <c r="AF57" s="6">
        <v>37</v>
      </c>
      <c r="AG57" s="11" t="e">
        <f t="shared" si="29"/>
        <v>#NUM!</v>
      </c>
      <c r="AJ57" s="13" t="str">
        <f t="shared" si="32"/>
        <v/>
      </c>
    </row>
    <row r="58" spans="2:36" x14ac:dyDescent="0.35">
      <c r="B58" s="6">
        <v>38</v>
      </c>
      <c r="C58" s="2" t="s">
        <v>22</v>
      </c>
      <c r="D58" s="6" t="e">
        <f t="shared" si="34"/>
        <v>#NUM!</v>
      </c>
      <c r="E58" s="6" t="e">
        <f t="shared" si="35"/>
        <v>#NUM!</v>
      </c>
      <c r="F58" s="6" t="e">
        <f t="shared" si="36"/>
        <v>#NUM!</v>
      </c>
      <c r="G58" s="6" t="e">
        <f t="shared" si="37"/>
        <v>#NUM!</v>
      </c>
      <c r="H58" s="6" t="e">
        <f t="shared" si="38"/>
        <v>#NUM!</v>
      </c>
      <c r="I58" s="6" t="e">
        <f t="shared" si="39"/>
        <v>#NUM!</v>
      </c>
      <c r="J58" s="10" t="e">
        <f t="shared" si="40"/>
        <v>#NUM!</v>
      </c>
      <c r="K58" s="10" t="e">
        <f t="shared" si="41"/>
        <v>#NUM!</v>
      </c>
      <c r="L58" s="10" t="e">
        <f t="shared" si="42"/>
        <v>#NUM!</v>
      </c>
      <c r="M58" s="10" t="e">
        <f t="shared" si="43"/>
        <v>#NUM!</v>
      </c>
      <c r="N58" s="10" t="e">
        <f t="shared" si="44"/>
        <v>#NUM!</v>
      </c>
      <c r="O58" s="10" t="e">
        <f t="shared" si="45"/>
        <v>#NUM!</v>
      </c>
      <c r="P58" s="10" t="e">
        <f t="shared" si="46"/>
        <v>#NUM!</v>
      </c>
      <c r="Q58" s="11" t="e">
        <f>ROUND(( SUM(Table32315[[#This Row],[I1]:[I7]]))*1000000, 0)</f>
        <v>#NUM!</v>
      </c>
      <c r="R58" s="10" t="e">
        <f t="shared" si="47"/>
        <v>#NUM!</v>
      </c>
      <c r="S58" s="10" t="e">
        <f t="shared" si="48"/>
        <v>#NUM!</v>
      </c>
      <c r="T58" s="10" t="e">
        <f t="shared" si="49"/>
        <v>#NUM!</v>
      </c>
      <c r="U58" s="10" t="e">
        <f t="shared" si="50"/>
        <v>#NUM!</v>
      </c>
      <c r="V58" s="10" t="e">
        <f t="shared" si="51"/>
        <v>#NUM!</v>
      </c>
      <c r="W58" s="10" t="e">
        <f t="shared" si="52"/>
        <v>#NUM!</v>
      </c>
      <c r="X58" s="10" t="e">
        <f t="shared" si="53"/>
        <v>#NUM!</v>
      </c>
      <c r="Y58" s="11" t="e">
        <f>ROUND((SUM(Table32315[[#This Row],[II1]:[II7]]))*1000000, 0)</f>
        <v>#NUM!</v>
      </c>
      <c r="Z58" s="18" t="s">
        <v>22</v>
      </c>
      <c r="AB58" s="13" t="str">
        <f t="shared" si="33"/>
        <v/>
      </c>
      <c r="AD58" s="11" t="e">
        <v>#NUM!</v>
      </c>
      <c r="AF58" s="6">
        <v>38</v>
      </c>
      <c r="AG58" s="11" t="e">
        <f t="shared" si="29"/>
        <v>#NUM!</v>
      </c>
      <c r="AJ58" s="13" t="str">
        <f t="shared" si="32"/>
        <v/>
      </c>
    </row>
    <row r="59" spans="2:36" x14ac:dyDescent="0.35">
      <c r="B59" s="6">
        <v>39</v>
      </c>
      <c r="C59" s="2" t="s">
        <v>22</v>
      </c>
      <c r="D59" s="6" t="e">
        <f t="shared" si="34"/>
        <v>#NUM!</v>
      </c>
      <c r="E59" s="6" t="e">
        <f t="shared" si="35"/>
        <v>#NUM!</v>
      </c>
      <c r="F59" s="6" t="e">
        <f t="shared" si="36"/>
        <v>#NUM!</v>
      </c>
      <c r="G59" s="6" t="e">
        <f t="shared" si="37"/>
        <v>#NUM!</v>
      </c>
      <c r="H59" s="6" t="e">
        <f t="shared" si="38"/>
        <v>#NUM!</v>
      </c>
      <c r="I59" s="6" t="e">
        <f t="shared" si="39"/>
        <v>#NUM!</v>
      </c>
      <c r="J59" s="10" t="e">
        <f t="shared" si="40"/>
        <v>#NUM!</v>
      </c>
      <c r="K59" s="10" t="e">
        <f t="shared" si="41"/>
        <v>#NUM!</v>
      </c>
      <c r="L59" s="10" t="e">
        <f t="shared" si="42"/>
        <v>#NUM!</v>
      </c>
      <c r="M59" s="10" t="e">
        <f t="shared" si="43"/>
        <v>#NUM!</v>
      </c>
      <c r="N59" s="10" t="e">
        <f t="shared" si="44"/>
        <v>#NUM!</v>
      </c>
      <c r="O59" s="10" t="e">
        <f t="shared" si="45"/>
        <v>#NUM!</v>
      </c>
      <c r="P59" s="10" t="e">
        <f t="shared" si="46"/>
        <v>#NUM!</v>
      </c>
      <c r="Q59" s="11" t="e">
        <f>ROUND(( SUM(Table32315[[#This Row],[I1]:[I7]]))*1000000, 0)</f>
        <v>#NUM!</v>
      </c>
      <c r="R59" s="10" t="e">
        <f t="shared" si="47"/>
        <v>#NUM!</v>
      </c>
      <c r="S59" s="10" t="e">
        <f t="shared" si="48"/>
        <v>#NUM!</v>
      </c>
      <c r="T59" s="10" t="e">
        <f t="shared" si="49"/>
        <v>#NUM!</v>
      </c>
      <c r="U59" s="10" t="e">
        <f t="shared" si="50"/>
        <v>#NUM!</v>
      </c>
      <c r="V59" s="10" t="e">
        <f t="shared" si="51"/>
        <v>#NUM!</v>
      </c>
      <c r="W59" s="10" t="e">
        <f t="shared" si="52"/>
        <v>#NUM!</v>
      </c>
      <c r="X59" s="10" t="e">
        <f t="shared" si="53"/>
        <v>#NUM!</v>
      </c>
      <c r="Y59" s="11" t="e">
        <f>ROUND((SUM(Table32315[[#This Row],[II1]:[II7]]))*1000000, 0)</f>
        <v>#NUM!</v>
      </c>
      <c r="Z59" s="18" t="s">
        <v>22</v>
      </c>
      <c r="AB59" s="13" t="str">
        <f t="shared" si="33"/>
        <v/>
      </c>
      <c r="AD59" s="11" t="e">
        <v>#NUM!</v>
      </c>
      <c r="AF59" s="6">
        <v>39</v>
      </c>
      <c r="AG59" s="11" t="e">
        <f t="shared" si="29"/>
        <v>#NUM!</v>
      </c>
      <c r="AJ59" s="13" t="str">
        <f t="shared" si="32"/>
        <v/>
      </c>
    </row>
    <row r="60" spans="2:36" x14ac:dyDescent="0.35">
      <c r="B60" s="6">
        <v>40</v>
      </c>
      <c r="C60" s="2" t="s">
        <v>22</v>
      </c>
      <c r="D60" s="6" t="e">
        <f t="shared" si="34"/>
        <v>#NUM!</v>
      </c>
      <c r="E60" s="6" t="e">
        <f t="shared" si="35"/>
        <v>#NUM!</v>
      </c>
      <c r="F60" s="6" t="e">
        <f t="shared" si="36"/>
        <v>#NUM!</v>
      </c>
      <c r="G60" s="6" t="e">
        <f t="shared" si="37"/>
        <v>#NUM!</v>
      </c>
      <c r="H60" s="6" t="e">
        <f t="shared" si="38"/>
        <v>#NUM!</v>
      </c>
      <c r="I60" s="6" t="e">
        <f t="shared" si="39"/>
        <v>#NUM!</v>
      </c>
      <c r="J60" s="10" t="e">
        <f t="shared" si="40"/>
        <v>#NUM!</v>
      </c>
      <c r="K60" s="10" t="e">
        <f t="shared" si="41"/>
        <v>#NUM!</v>
      </c>
      <c r="L60" s="10" t="e">
        <f t="shared" si="42"/>
        <v>#NUM!</v>
      </c>
      <c r="M60" s="10" t="e">
        <f t="shared" si="43"/>
        <v>#NUM!</v>
      </c>
      <c r="N60" s="10" t="e">
        <f t="shared" si="44"/>
        <v>#NUM!</v>
      </c>
      <c r="O60" s="10" t="e">
        <f t="shared" si="45"/>
        <v>#NUM!</v>
      </c>
      <c r="P60" s="10" t="e">
        <f t="shared" si="46"/>
        <v>#NUM!</v>
      </c>
      <c r="Q60" s="11" t="e">
        <f>ROUND(( SUM(Table32315[[#This Row],[I1]:[I7]]))*1000000, 0)</f>
        <v>#NUM!</v>
      </c>
      <c r="R60" s="10" t="e">
        <f t="shared" si="47"/>
        <v>#NUM!</v>
      </c>
      <c r="S60" s="10" t="e">
        <f t="shared" si="48"/>
        <v>#NUM!</v>
      </c>
      <c r="T60" s="10" t="e">
        <f t="shared" si="49"/>
        <v>#NUM!</v>
      </c>
      <c r="U60" s="10" t="e">
        <f t="shared" si="50"/>
        <v>#NUM!</v>
      </c>
      <c r="V60" s="10" t="e">
        <f t="shared" si="51"/>
        <v>#NUM!</v>
      </c>
      <c r="W60" s="10" t="e">
        <f t="shared" si="52"/>
        <v>#NUM!</v>
      </c>
      <c r="X60" s="10" t="e">
        <f t="shared" si="53"/>
        <v>#NUM!</v>
      </c>
      <c r="Y60" s="11" t="e">
        <f>ROUND((SUM(Table32315[[#This Row],[II1]:[II7]]))*1000000, 0)</f>
        <v>#NUM!</v>
      </c>
      <c r="Z60" s="18" t="s">
        <v>22</v>
      </c>
      <c r="AB60" s="13" t="str">
        <f t="shared" si="33"/>
        <v/>
      </c>
      <c r="AD60" s="11" t="e">
        <v>#NUM!</v>
      </c>
      <c r="AF60" s="6">
        <v>40</v>
      </c>
      <c r="AG60" s="11" t="e">
        <f t="shared" si="29"/>
        <v>#NUM!</v>
      </c>
      <c r="AJ60" s="13" t="str">
        <f t="shared" si="32"/>
        <v/>
      </c>
    </row>
    <row r="61" spans="2:36" x14ac:dyDescent="0.35">
      <c r="B61" s="6">
        <v>41</v>
      </c>
      <c r="C61" s="2" t="s">
        <v>22</v>
      </c>
      <c r="D61" s="6" t="e">
        <f t="shared" si="34"/>
        <v>#NUM!</v>
      </c>
      <c r="E61" s="6" t="e">
        <f t="shared" si="35"/>
        <v>#NUM!</v>
      </c>
      <c r="F61" s="6" t="e">
        <f t="shared" si="36"/>
        <v>#NUM!</v>
      </c>
      <c r="G61" s="6" t="e">
        <f t="shared" si="37"/>
        <v>#NUM!</v>
      </c>
      <c r="H61" s="6" t="e">
        <f t="shared" si="38"/>
        <v>#NUM!</v>
      </c>
      <c r="I61" s="6" t="e">
        <f t="shared" si="39"/>
        <v>#NUM!</v>
      </c>
      <c r="J61" s="10" t="e">
        <f t="shared" si="40"/>
        <v>#NUM!</v>
      </c>
      <c r="K61" s="10" t="e">
        <f t="shared" si="41"/>
        <v>#NUM!</v>
      </c>
      <c r="L61" s="10" t="e">
        <f t="shared" si="42"/>
        <v>#NUM!</v>
      </c>
      <c r="M61" s="10" t="e">
        <f t="shared" si="43"/>
        <v>#NUM!</v>
      </c>
      <c r="N61" s="10" t="e">
        <f t="shared" si="44"/>
        <v>#NUM!</v>
      </c>
      <c r="O61" s="10" t="e">
        <f t="shared" si="45"/>
        <v>#NUM!</v>
      </c>
      <c r="P61" s="10" t="e">
        <f t="shared" si="46"/>
        <v>#NUM!</v>
      </c>
      <c r="Q61" s="11" t="e">
        <f>ROUND(( SUM(Table32315[[#This Row],[I1]:[I7]]))*1000000, 0)</f>
        <v>#NUM!</v>
      </c>
      <c r="R61" s="10" t="e">
        <f t="shared" si="47"/>
        <v>#NUM!</v>
      </c>
      <c r="S61" s="10" t="e">
        <f t="shared" si="48"/>
        <v>#NUM!</v>
      </c>
      <c r="T61" s="10" t="e">
        <f t="shared" si="49"/>
        <v>#NUM!</v>
      </c>
      <c r="U61" s="10" t="e">
        <f t="shared" si="50"/>
        <v>#NUM!</v>
      </c>
      <c r="V61" s="10" t="e">
        <f t="shared" si="51"/>
        <v>#NUM!</v>
      </c>
      <c r="W61" s="10" t="e">
        <f t="shared" si="52"/>
        <v>#NUM!</v>
      </c>
      <c r="X61" s="10" t="e">
        <f t="shared" si="53"/>
        <v>#NUM!</v>
      </c>
      <c r="Y61" s="11" t="e">
        <f>ROUND((SUM(Table32315[[#This Row],[II1]:[II7]]))*1000000, 0)</f>
        <v>#NUM!</v>
      </c>
      <c r="Z61" s="18" t="s">
        <v>22</v>
      </c>
      <c r="AB61" s="13" t="str">
        <f t="shared" si="33"/>
        <v/>
      </c>
      <c r="AD61" s="11" t="e">
        <v>#NUM!</v>
      </c>
      <c r="AF61" s="6">
        <v>41</v>
      </c>
      <c r="AG61" s="11" t="e">
        <f t="shared" si="29"/>
        <v>#NUM!</v>
      </c>
      <c r="AJ61" s="13" t="str">
        <f t="shared" si="32"/>
        <v/>
      </c>
    </row>
    <row r="62" spans="2:36" x14ac:dyDescent="0.35">
      <c r="B62" s="6">
        <v>42</v>
      </c>
      <c r="C62" s="2" t="s">
        <v>22</v>
      </c>
      <c r="D62" s="6" t="e">
        <f t="shared" si="34"/>
        <v>#NUM!</v>
      </c>
      <c r="E62" s="6" t="e">
        <f t="shared" si="35"/>
        <v>#NUM!</v>
      </c>
      <c r="F62" s="6" t="e">
        <f t="shared" si="36"/>
        <v>#NUM!</v>
      </c>
      <c r="G62" s="6" t="e">
        <f t="shared" si="37"/>
        <v>#NUM!</v>
      </c>
      <c r="H62" s="6" t="e">
        <f t="shared" si="38"/>
        <v>#NUM!</v>
      </c>
      <c r="I62" s="6" t="e">
        <f t="shared" si="39"/>
        <v>#NUM!</v>
      </c>
      <c r="J62" s="10" t="e">
        <f t="shared" si="40"/>
        <v>#NUM!</v>
      </c>
      <c r="K62" s="10" t="e">
        <f t="shared" si="41"/>
        <v>#NUM!</v>
      </c>
      <c r="L62" s="10" t="e">
        <f t="shared" si="42"/>
        <v>#NUM!</v>
      </c>
      <c r="M62" s="10" t="e">
        <f t="shared" si="43"/>
        <v>#NUM!</v>
      </c>
      <c r="N62" s="10" t="e">
        <f t="shared" si="44"/>
        <v>#NUM!</v>
      </c>
      <c r="O62" s="10" t="e">
        <f t="shared" si="45"/>
        <v>#NUM!</v>
      </c>
      <c r="P62" s="10" t="e">
        <f t="shared" si="46"/>
        <v>#NUM!</v>
      </c>
      <c r="Q62" s="11" t="e">
        <f>ROUND(( SUM(Table32315[[#This Row],[I1]:[I7]]))*1000000, 0)</f>
        <v>#NUM!</v>
      </c>
      <c r="R62" s="10" t="e">
        <f t="shared" si="47"/>
        <v>#NUM!</v>
      </c>
      <c r="S62" s="10" t="e">
        <f t="shared" si="48"/>
        <v>#NUM!</v>
      </c>
      <c r="T62" s="10" t="e">
        <f t="shared" si="49"/>
        <v>#NUM!</v>
      </c>
      <c r="U62" s="10" t="e">
        <f t="shared" si="50"/>
        <v>#NUM!</v>
      </c>
      <c r="V62" s="10" t="e">
        <f t="shared" si="51"/>
        <v>#NUM!</v>
      </c>
      <c r="W62" s="10" t="e">
        <f t="shared" si="52"/>
        <v>#NUM!</v>
      </c>
      <c r="X62" s="10" t="e">
        <f t="shared" si="53"/>
        <v>#NUM!</v>
      </c>
      <c r="Y62" s="11" t="e">
        <f>ROUND((SUM(Table32315[[#This Row],[II1]:[II7]]))*1000000, 0)</f>
        <v>#NUM!</v>
      </c>
      <c r="Z62" s="18" t="s">
        <v>22</v>
      </c>
      <c r="AB62" s="13" t="str">
        <f t="shared" si="33"/>
        <v/>
      </c>
      <c r="AD62" s="11" t="e">
        <v>#NUM!</v>
      </c>
      <c r="AF62" s="6">
        <v>42</v>
      </c>
      <c r="AG62" s="11" t="e">
        <f t="shared" si="29"/>
        <v>#NUM!</v>
      </c>
      <c r="AJ62" s="13" t="str">
        <f t="shared" si="32"/>
        <v/>
      </c>
    </row>
    <row r="63" spans="2:36" x14ac:dyDescent="0.35">
      <c r="B63" s="6">
        <v>43</v>
      </c>
      <c r="C63" s="2" t="s">
        <v>22</v>
      </c>
      <c r="D63" s="6" t="e">
        <f t="shared" si="34"/>
        <v>#NUM!</v>
      </c>
      <c r="E63" s="6" t="e">
        <f t="shared" si="35"/>
        <v>#NUM!</v>
      </c>
      <c r="F63" s="6" t="e">
        <f t="shared" si="36"/>
        <v>#NUM!</v>
      </c>
      <c r="G63" s="6" t="e">
        <f t="shared" si="37"/>
        <v>#NUM!</v>
      </c>
      <c r="H63" s="6" t="e">
        <f t="shared" si="38"/>
        <v>#NUM!</v>
      </c>
      <c r="I63" s="6" t="e">
        <f t="shared" si="39"/>
        <v>#NUM!</v>
      </c>
      <c r="J63" s="10" t="e">
        <f t="shared" si="40"/>
        <v>#NUM!</v>
      </c>
      <c r="K63" s="10" t="e">
        <f t="shared" si="41"/>
        <v>#NUM!</v>
      </c>
      <c r="L63" s="10" t="e">
        <f t="shared" si="42"/>
        <v>#NUM!</v>
      </c>
      <c r="M63" s="10" t="e">
        <f t="shared" si="43"/>
        <v>#NUM!</v>
      </c>
      <c r="N63" s="10" t="e">
        <f t="shared" si="44"/>
        <v>#NUM!</v>
      </c>
      <c r="O63" s="10" t="e">
        <f t="shared" si="45"/>
        <v>#NUM!</v>
      </c>
      <c r="P63" s="10" t="e">
        <f t="shared" si="46"/>
        <v>#NUM!</v>
      </c>
      <c r="Q63" s="11" t="e">
        <f>ROUND(( SUM(Table32315[[#This Row],[I1]:[I7]]))*1000000, 0)</f>
        <v>#NUM!</v>
      </c>
      <c r="R63" s="10" t="e">
        <f t="shared" si="47"/>
        <v>#NUM!</v>
      </c>
      <c r="S63" s="10" t="e">
        <f t="shared" si="48"/>
        <v>#NUM!</v>
      </c>
      <c r="T63" s="10" t="e">
        <f t="shared" si="49"/>
        <v>#NUM!</v>
      </c>
      <c r="U63" s="10" t="e">
        <f t="shared" si="50"/>
        <v>#NUM!</v>
      </c>
      <c r="V63" s="10" t="e">
        <f t="shared" si="51"/>
        <v>#NUM!</v>
      </c>
      <c r="W63" s="10" t="e">
        <f t="shared" si="52"/>
        <v>#NUM!</v>
      </c>
      <c r="X63" s="10" t="e">
        <f t="shared" si="53"/>
        <v>#NUM!</v>
      </c>
      <c r="Y63" s="11" t="e">
        <f>ROUND((SUM(Table32315[[#This Row],[II1]:[II7]]))*1000000, 0)</f>
        <v>#NUM!</v>
      </c>
      <c r="Z63" s="18" t="s">
        <v>22</v>
      </c>
      <c r="AB63" s="13" t="str">
        <f t="shared" si="33"/>
        <v/>
      </c>
      <c r="AD63" s="11" t="e">
        <v>#NUM!</v>
      </c>
      <c r="AF63" s="6">
        <v>43</v>
      </c>
      <c r="AG63" s="11" t="e">
        <f t="shared" si="29"/>
        <v>#NUM!</v>
      </c>
      <c r="AJ63" s="13" t="str">
        <f t="shared" si="32"/>
        <v/>
      </c>
    </row>
    <row r="64" spans="2:36" x14ac:dyDescent="0.35">
      <c r="B64" s="6">
        <v>44</v>
      </c>
      <c r="C64" s="2" t="s">
        <v>22</v>
      </c>
      <c r="D64" s="6" t="e">
        <f t="shared" si="34"/>
        <v>#NUM!</v>
      </c>
      <c r="E64" s="6" t="e">
        <f t="shared" si="35"/>
        <v>#NUM!</v>
      </c>
      <c r="F64" s="6" t="e">
        <f t="shared" si="36"/>
        <v>#NUM!</v>
      </c>
      <c r="G64" s="6" t="e">
        <f t="shared" si="37"/>
        <v>#NUM!</v>
      </c>
      <c r="H64" s="6" t="e">
        <f t="shared" si="38"/>
        <v>#NUM!</v>
      </c>
      <c r="I64" s="6" t="e">
        <f t="shared" si="39"/>
        <v>#NUM!</v>
      </c>
      <c r="J64" s="10" t="e">
        <f t="shared" si="40"/>
        <v>#NUM!</v>
      </c>
      <c r="K64" s="10" t="e">
        <f t="shared" si="41"/>
        <v>#NUM!</v>
      </c>
      <c r="L64" s="10" t="e">
        <f t="shared" si="42"/>
        <v>#NUM!</v>
      </c>
      <c r="M64" s="10" t="e">
        <f t="shared" si="43"/>
        <v>#NUM!</v>
      </c>
      <c r="N64" s="10" t="e">
        <f t="shared" si="44"/>
        <v>#NUM!</v>
      </c>
      <c r="O64" s="10" t="e">
        <f t="shared" si="45"/>
        <v>#NUM!</v>
      </c>
      <c r="P64" s="10" t="e">
        <f t="shared" si="46"/>
        <v>#NUM!</v>
      </c>
      <c r="Q64" s="11" t="e">
        <f>ROUND(( SUM(Table32315[[#This Row],[I1]:[I7]]))*1000000, 0)</f>
        <v>#NUM!</v>
      </c>
      <c r="R64" s="10" t="e">
        <f t="shared" si="47"/>
        <v>#NUM!</v>
      </c>
      <c r="S64" s="10" t="e">
        <f t="shared" si="48"/>
        <v>#NUM!</v>
      </c>
      <c r="T64" s="10" t="e">
        <f t="shared" si="49"/>
        <v>#NUM!</v>
      </c>
      <c r="U64" s="10" t="e">
        <f t="shared" si="50"/>
        <v>#NUM!</v>
      </c>
      <c r="V64" s="10" t="e">
        <f t="shared" si="51"/>
        <v>#NUM!</v>
      </c>
      <c r="W64" s="10" t="e">
        <f t="shared" si="52"/>
        <v>#NUM!</v>
      </c>
      <c r="X64" s="10" t="e">
        <f t="shared" si="53"/>
        <v>#NUM!</v>
      </c>
      <c r="Y64" s="11" t="e">
        <f>ROUND((SUM(Table32315[[#This Row],[II1]:[II7]]))*1000000, 0)</f>
        <v>#NUM!</v>
      </c>
      <c r="Z64" s="18" t="s">
        <v>22</v>
      </c>
      <c r="AB64" s="13" t="str">
        <f t="shared" si="33"/>
        <v/>
      </c>
      <c r="AD64" s="11" t="e">
        <v>#NUM!</v>
      </c>
      <c r="AF64" s="6">
        <v>44</v>
      </c>
      <c r="AG64" s="11" t="e">
        <f t="shared" si="29"/>
        <v>#NUM!</v>
      </c>
      <c r="AJ64" s="13" t="str">
        <f t="shared" si="32"/>
        <v/>
      </c>
    </row>
    <row r="65" spans="2:36" x14ac:dyDescent="0.35">
      <c r="B65" s="6">
        <v>45</v>
      </c>
      <c r="C65" s="2" t="s">
        <v>22</v>
      </c>
      <c r="D65" s="6" t="e">
        <f t="shared" si="34"/>
        <v>#NUM!</v>
      </c>
      <c r="E65" s="6" t="e">
        <f t="shared" si="35"/>
        <v>#NUM!</v>
      </c>
      <c r="F65" s="6" t="e">
        <f t="shared" si="36"/>
        <v>#NUM!</v>
      </c>
      <c r="G65" s="6" t="e">
        <f t="shared" si="37"/>
        <v>#NUM!</v>
      </c>
      <c r="H65" s="6" t="e">
        <f t="shared" si="38"/>
        <v>#NUM!</v>
      </c>
      <c r="I65" s="6" t="e">
        <f t="shared" si="39"/>
        <v>#NUM!</v>
      </c>
      <c r="J65" s="10" t="e">
        <f t="shared" si="40"/>
        <v>#NUM!</v>
      </c>
      <c r="K65" s="10" t="e">
        <f t="shared" si="41"/>
        <v>#NUM!</v>
      </c>
      <c r="L65" s="10" t="e">
        <f t="shared" si="42"/>
        <v>#NUM!</v>
      </c>
      <c r="M65" s="10" t="e">
        <f t="shared" si="43"/>
        <v>#NUM!</v>
      </c>
      <c r="N65" s="10" t="e">
        <f t="shared" si="44"/>
        <v>#NUM!</v>
      </c>
      <c r="O65" s="10" t="e">
        <f t="shared" si="45"/>
        <v>#NUM!</v>
      </c>
      <c r="P65" s="10" t="e">
        <f t="shared" si="46"/>
        <v>#NUM!</v>
      </c>
      <c r="Q65" s="11" t="e">
        <f>ROUND(( SUM(Table32315[[#This Row],[I1]:[I7]]))*1000000, 0)</f>
        <v>#NUM!</v>
      </c>
      <c r="R65" s="10" t="e">
        <f t="shared" si="47"/>
        <v>#NUM!</v>
      </c>
      <c r="S65" s="10" t="e">
        <f t="shared" si="48"/>
        <v>#NUM!</v>
      </c>
      <c r="T65" s="10" t="e">
        <f t="shared" si="49"/>
        <v>#NUM!</v>
      </c>
      <c r="U65" s="10" t="e">
        <f t="shared" si="50"/>
        <v>#NUM!</v>
      </c>
      <c r="V65" s="10" t="e">
        <f t="shared" si="51"/>
        <v>#NUM!</v>
      </c>
      <c r="W65" s="10" t="e">
        <f t="shared" si="52"/>
        <v>#NUM!</v>
      </c>
      <c r="X65" s="10" t="e">
        <f t="shared" si="53"/>
        <v>#NUM!</v>
      </c>
      <c r="Y65" s="11" t="e">
        <f>ROUND((SUM(Table32315[[#This Row],[II1]:[II7]]))*1000000, 0)</f>
        <v>#NUM!</v>
      </c>
      <c r="Z65" s="18" t="s">
        <v>22</v>
      </c>
      <c r="AB65" s="13" t="str">
        <f t="shared" si="33"/>
        <v/>
      </c>
      <c r="AD65" s="11" t="e">
        <v>#NUM!</v>
      </c>
      <c r="AF65" s="6">
        <v>45</v>
      </c>
      <c r="AG65" s="11" t="e">
        <f>IF(ISBLANK(AD66),"",AD66-AD65)</f>
        <v>#NUM!</v>
      </c>
      <c r="AJ65" s="13" t="str">
        <f t="shared" si="32"/>
        <v/>
      </c>
    </row>
    <row r="66" spans="2:36" x14ac:dyDescent="0.35">
      <c r="B66" s="6">
        <v>46</v>
      </c>
      <c r="C66" s="2" t="s">
        <v>22</v>
      </c>
      <c r="D66" s="6" t="e">
        <f t="shared" si="34"/>
        <v>#NUM!</v>
      </c>
      <c r="E66" s="6" t="e">
        <f t="shared" si="35"/>
        <v>#NUM!</v>
      </c>
      <c r="F66" s="6" t="e">
        <f t="shared" si="36"/>
        <v>#NUM!</v>
      </c>
      <c r="G66" s="6" t="e">
        <f t="shared" si="37"/>
        <v>#NUM!</v>
      </c>
      <c r="H66" s="6" t="e">
        <f t="shared" si="38"/>
        <v>#NUM!</v>
      </c>
      <c r="I66" s="6" t="e">
        <f t="shared" si="39"/>
        <v>#NUM!</v>
      </c>
      <c r="J66" s="10" t="e">
        <f t="shared" si="40"/>
        <v>#NUM!</v>
      </c>
      <c r="K66" s="10" t="e">
        <f t="shared" si="41"/>
        <v>#NUM!</v>
      </c>
      <c r="L66" s="10" t="e">
        <f t="shared" si="42"/>
        <v>#NUM!</v>
      </c>
      <c r="M66" s="10" t="e">
        <f t="shared" si="43"/>
        <v>#NUM!</v>
      </c>
      <c r="N66" s="10" t="e">
        <f t="shared" si="44"/>
        <v>#NUM!</v>
      </c>
      <c r="O66" s="10" t="e">
        <f t="shared" si="45"/>
        <v>#NUM!</v>
      </c>
      <c r="P66" s="10" t="e">
        <f t="shared" si="46"/>
        <v>#NUM!</v>
      </c>
      <c r="Q66" s="11" t="e">
        <f>ROUND(( SUM(Table32315[[#This Row],[I1]:[I7]]))*1000000, 0)</f>
        <v>#NUM!</v>
      </c>
      <c r="R66" s="10" t="e">
        <f t="shared" si="47"/>
        <v>#NUM!</v>
      </c>
      <c r="S66" s="10" t="e">
        <f t="shared" si="48"/>
        <v>#NUM!</v>
      </c>
      <c r="T66" s="10" t="e">
        <f t="shared" si="49"/>
        <v>#NUM!</v>
      </c>
      <c r="U66" s="10" t="e">
        <f t="shared" si="50"/>
        <v>#NUM!</v>
      </c>
      <c r="V66" s="10" t="e">
        <f t="shared" si="51"/>
        <v>#NUM!</v>
      </c>
      <c r="W66" s="10" t="e">
        <f t="shared" si="52"/>
        <v>#NUM!</v>
      </c>
      <c r="X66" s="10" t="e">
        <f t="shared" si="53"/>
        <v>#NUM!</v>
      </c>
      <c r="Y66" s="11" t="e">
        <f>ROUND((SUM(Table32315[[#This Row],[II1]:[II7]]))*1000000, 0)</f>
        <v>#NUM!</v>
      </c>
      <c r="Z66" s="18" t="s">
        <v>22</v>
      </c>
      <c r="AB66" s="13" t="str">
        <f t="shared" si="33"/>
        <v/>
      </c>
      <c r="AD66" s="11" t="e">
        <v>#NUM!</v>
      </c>
      <c r="AF66" s="6">
        <v>46</v>
      </c>
      <c r="AG66" s="11" t="e">
        <f t="shared" si="29"/>
        <v>#NUM!</v>
      </c>
      <c r="AJ66" s="13" t="str">
        <f t="shared" si="32"/>
        <v/>
      </c>
    </row>
    <row r="67" spans="2:36" x14ac:dyDescent="0.35">
      <c r="B67" s="6">
        <v>47</v>
      </c>
      <c r="C67" s="2" t="s">
        <v>22</v>
      </c>
      <c r="D67" s="6" t="e">
        <f t="shared" si="34"/>
        <v>#NUM!</v>
      </c>
      <c r="E67" s="6" t="e">
        <f t="shared" si="35"/>
        <v>#NUM!</v>
      </c>
      <c r="F67" s="6" t="e">
        <f t="shared" si="36"/>
        <v>#NUM!</v>
      </c>
      <c r="G67" s="6" t="e">
        <f t="shared" si="37"/>
        <v>#NUM!</v>
      </c>
      <c r="H67" s="6" t="e">
        <f t="shared" si="38"/>
        <v>#NUM!</v>
      </c>
      <c r="I67" s="6" t="e">
        <f t="shared" si="39"/>
        <v>#NUM!</v>
      </c>
      <c r="J67" s="10" t="e">
        <f t="shared" si="40"/>
        <v>#NUM!</v>
      </c>
      <c r="K67" s="10" t="e">
        <f t="shared" si="41"/>
        <v>#NUM!</v>
      </c>
      <c r="L67" s="10" t="e">
        <f t="shared" si="42"/>
        <v>#NUM!</v>
      </c>
      <c r="M67" s="10" t="e">
        <f t="shared" si="43"/>
        <v>#NUM!</v>
      </c>
      <c r="N67" s="10" t="e">
        <f t="shared" si="44"/>
        <v>#NUM!</v>
      </c>
      <c r="O67" s="10" t="e">
        <f t="shared" si="45"/>
        <v>#NUM!</v>
      </c>
      <c r="P67" s="10" t="e">
        <f t="shared" si="46"/>
        <v>#NUM!</v>
      </c>
      <c r="Q67" s="11" t="e">
        <f>ROUND(( SUM(Table32315[[#This Row],[I1]:[I7]]))*1000000, 0)</f>
        <v>#NUM!</v>
      </c>
      <c r="R67" s="10" t="e">
        <f t="shared" si="47"/>
        <v>#NUM!</v>
      </c>
      <c r="S67" s="10" t="e">
        <f t="shared" si="48"/>
        <v>#NUM!</v>
      </c>
      <c r="T67" s="10" t="e">
        <f t="shared" si="49"/>
        <v>#NUM!</v>
      </c>
      <c r="U67" s="10" t="e">
        <f t="shared" si="50"/>
        <v>#NUM!</v>
      </c>
      <c r="V67" s="10" t="e">
        <f t="shared" si="51"/>
        <v>#NUM!</v>
      </c>
      <c r="W67" s="10" t="e">
        <f t="shared" si="52"/>
        <v>#NUM!</v>
      </c>
      <c r="X67" s="10" t="e">
        <f t="shared" si="53"/>
        <v>#NUM!</v>
      </c>
      <c r="Y67" s="11" t="e">
        <f>ROUND((SUM(Table32315[[#This Row],[II1]:[II7]]))*1000000, 0)</f>
        <v>#NUM!</v>
      </c>
      <c r="Z67" s="18" t="s">
        <v>22</v>
      </c>
      <c r="AB67" s="13" t="str">
        <f t="shared" si="33"/>
        <v/>
      </c>
      <c r="AD67" s="11" t="e">
        <v>#NUM!</v>
      </c>
      <c r="AF67" s="6">
        <v>47</v>
      </c>
      <c r="AG67" s="11" t="e">
        <f t="shared" si="29"/>
        <v>#NUM!</v>
      </c>
      <c r="AJ67" s="13" t="str">
        <f t="shared" si="32"/>
        <v/>
      </c>
    </row>
    <row r="68" spans="2:36" x14ac:dyDescent="0.35">
      <c r="B68" s="6">
        <v>48</v>
      </c>
      <c r="C68" s="2" t="s">
        <v>22</v>
      </c>
      <c r="D68" s="6" t="e">
        <f t="shared" si="34"/>
        <v>#NUM!</v>
      </c>
      <c r="E68" s="6" t="e">
        <f t="shared" si="35"/>
        <v>#NUM!</v>
      </c>
      <c r="F68" s="6" t="e">
        <f t="shared" si="36"/>
        <v>#NUM!</v>
      </c>
      <c r="G68" s="6" t="e">
        <f t="shared" si="37"/>
        <v>#NUM!</v>
      </c>
      <c r="H68" s="6" t="e">
        <f t="shared" si="38"/>
        <v>#NUM!</v>
      </c>
      <c r="I68" s="6" t="e">
        <f t="shared" si="39"/>
        <v>#NUM!</v>
      </c>
      <c r="J68" s="10" t="e">
        <f t="shared" si="40"/>
        <v>#NUM!</v>
      </c>
      <c r="K68" s="10" t="e">
        <f t="shared" si="41"/>
        <v>#NUM!</v>
      </c>
      <c r="L68" s="10" t="e">
        <f t="shared" si="42"/>
        <v>#NUM!</v>
      </c>
      <c r="M68" s="10" t="e">
        <f t="shared" si="43"/>
        <v>#NUM!</v>
      </c>
      <c r="N68" s="10" t="e">
        <f t="shared" si="44"/>
        <v>#NUM!</v>
      </c>
      <c r="O68" s="10" t="e">
        <f t="shared" si="45"/>
        <v>#NUM!</v>
      </c>
      <c r="P68" s="10" t="e">
        <f t="shared" si="46"/>
        <v>#NUM!</v>
      </c>
      <c r="Q68" s="11" t="e">
        <f>ROUND(( SUM(Table32315[[#This Row],[I1]:[I7]]))*1000000, 0)</f>
        <v>#NUM!</v>
      </c>
      <c r="R68" s="10" t="e">
        <f t="shared" si="47"/>
        <v>#NUM!</v>
      </c>
      <c r="S68" s="10" t="e">
        <f t="shared" si="48"/>
        <v>#NUM!</v>
      </c>
      <c r="T68" s="10" t="e">
        <f t="shared" si="49"/>
        <v>#NUM!</v>
      </c>
      <c r="U68" s="10" t="e">
        <f t="shared" si="50"/>
        <v>#NUM!</v>
      </c>
      <c r="V68" s="10" t="e">
        <f t="shared" si="51"/>
        <v>#NUM!</v>
      </c>
      <c r="W68" s="10" t="e">
        <f t="shared" si="52"/>
        <v>#NUM!</v>
      </c>
      <c r="X68" s="10" t="e">
        <f t="shared" si="53"/>
        <v>#NUM!</v>
      </c>
      <c r="Y68" s="11" t="e">
        <f>ROUND((SUM(Table32315[[#This Row],[II1]:[II7]]))*1000000, 0)</f>
        <v>#NUM!</v>
      </c>
      <c r="Z68" s="18" t="s">
        <v>22</v>
      </c>
      <c r="AB68" s="13" t="str">
        <f t="shared" si="33"/>
        <v/>
      </c>
      <c r="AD68" s="11" t="e">
        <v>#NUM!</v>
      </c>
      <c r="AF68" s="6">
        <v>48</v>
      </c>
      <c r="AG68" s="11" t="e">
        <f t="shared" si="29"/>
        <v>#NUM!</v>
      </c>
      <c r="AJ68" s="13" t="str">
        <f t="shared" si="32"/>
        <v/>
      </c>
    </row>
    <row r="69" spans="2:36" x14ac:dyDescent="0.35">
      <c r="B69" s="6">
        <v>49</v>
      </c>
      <c r="C69" s="2" t="s">
        <v>22</v>
      </c>
      <c r="D69" s="6" t="e">
        <f t="shared" si="34"/>
        <v>#NUM!</v>
      </c>
      <c r="E69" s="6" t="e">
        <f t="shared" si="35"/>
        <v>#NUM!</v>
      </c>
      <c r="F69" s="6" t="e">
        <f t="shared" si="36"/>
        <v>#NUM!</v>
      </c>
      <c r="G69" s="6" t="e">
        <f t="shared" si="37"/>
        <v>#NUM!</v>
      </c>
      <c r="H69" s="6" t="e">
        <f t="shared" si="38"/>
        <v>#NUM!</v>
      </c>
      <c r="I69" s="6" t="e">
        <f t="shared" si="39"/>
        <v>#NUM!</v>
      </c>
      <c r="J69" s="10" t="e">
        <f t="shared" si="40"/>
        <v>#NUM!</v>
      </c>
      <c r="K69" s="10" t="e">
        <f t="shared" si="41"/>
        <v>#NUM!</v>
      </c>
      <c r="L69" s="10" t="e">
        <f t="shared" si="42"/>
        <v>#NUM!</v>
      </c>
      <c r="M69" s="10" t="e">
        <f t="shared" si="43"/>
        <v>#NUM!</v>
      </c>
      <c r="N69" s="10" t="e">
        <f t="shared" si="44"/>
        <v>#NUM!</v>
      </c>
      <c r="O69" s="10" t="e">
        <f t="shared" si="45"/>
        <v>#NUM!</v>
      </c>
      <c r="P69" s="10" t="e">
        <f t="shared" si="46"/>
        <v>#NUM!</v>
      </c>
      <c r="Q69" s="11" t="e">
        <f>ROUND(( SUM(Table32315[[#This Row],[I1]:[I7]]))*1000000, 0)</f>
        <v>#NUM!</v>
      </c>
      <c r="R69" s="10" t="e">
        <f t="shared" si="47"/>
        <v>#NUM!</v>
      </c>
      <c r="S69" s="10" t="e">
        <f t="shared" si="48"/>
        <v>#NUM!</v>
      </c>
      <c r="T69" s="10" t="e">
        <f t="shared" si="49"/>
        <v>#NUM!</v>
      </c>
      <c r="U69" s="10" t="e">
        <f t="shared" si="50"/>
        <v>#NUM!</v>
      </c>
      <c r="V69" s="10" t="e">
        <f t="shared" si="51"/>
        <v>#NUM!</v>
      </c>
      <c r="W69" s="10" t="e">
        <f t="shared" si="52"/>
        <v>#NUM!</v>
      </c>
      <c r="X69" s="10" t="e">
        <f t="shared" si="53"/>
        <v>#NUM!</v>
      </c>
      <c r="Y69" s="11" t="e">
        <f>ROUND((SUM(Table32315[[#This Row],[II1]:[II7]]))*1000000, 0)</f>
        <v>#NUM!</v>
      </c>
      <c r="Z69" s="18" t="s">
        <v>22</v>
      </c>
      <c r="AB69" s="13" t="str">
        <f t="shared" si="33"/>
        <v/>
      </c>
      <c r="AD69" s="11" t="e">
        <v>#NUM!</v>
      </c>
      <c r="AF69" s="6">
        <v>49</v>
      </c>
      <c r="AG69" s="11" t="e">
        <f t="shared" si="29"/>
        <v>#NUM!</v>
      </c>
      <c r="AJ69" s="13" t="str">
        <f t="shared" si="32"/>
        <v/>
      </c>
    </row>
    <row r="70" spans="2:36" x14ac:dyDescent="0.35">
      <c r="B70" s="6">
        <v>50</v>
      </c>
      <c r="C70" s="2" t="s">
        <v>22</v>
      </c>
      <c r="D70" s="6" t="e">
        <f t="shared" si="34"/>
        <v>#NUM!</v>
      </c>
      <c r="E70" s="6" t="e">
        <f t="shared" si="35"/>
        <v>#NUM!</v>
      </c>
      <c r="F70" s="6" t="e">
        <f t="shared" si="36"/>
        <v>#NUM!</v>
      </c>
      <c r="G70" s="6" t="e">
        <f t="shared" si="37"/>
        <v>#NUM!</v>
      </c>
      <c r="H70" s="6" t="e">
        <f t="shared" si="38"/>
        <v>#NUM!</v>
      </c>
      <c r="I70" s="6" t="e">
        <f t="shared" si="39"/>
        <v>#NUM!</v>
      </c>
      <c r="J70" s="10" t="e">
        <f t="shared" si="40"/>
        <v>#NUM!</v>
      </c>
      <c r="K70" s="10" t="e">
        <f t="shared" si="41"/>
        <v>#NUM!</v>
      </c>
      <c r="L70" s="10" t="e">
        <f t="shared" si="42"/>
        <v>#NUM!</v>
      </c>
      <c r="M70" s="10" t="e">
        <f t="shared" si="43"/>
        <v>#NUM!</v>
      </c>
      <c r="N70" s="10" t="e">
        <f t="shared" si="44"/>
        <v>#NUM!</v>
      </c>
      <c r="O70" s="10" t="e">
        <f t="shared" si="45"/>
        <v>#NUM!</v>
      </c>
      <c r="P70" s="10" t="e">
        <f t="shared" si="46"/>
        <v>#NUM!</v>
      </c>
      <c r="Q70" s="11" t="e">
        <f>ROUND(( SUM(Table32315[[#This Row],[I1]:[I7]]))*1000000, 0)</f>
        <v>#NUM!</v>
      </c>
      <c r="R70" s="10" t="e">
        <f t="shared" si="47"/>
        <v>#NUM!</v>
      </c>
      <c r="S70" s="10" t="e">
        <f t="shared" si="48"/>
        <v>#NUM!</v>
      </c>
      <c r="T70" s="10" t="e">
        <f t="shared" si="49"/>
        <v>#NUM!</v>
      </c>
      <c r="U70" s="10" t="e">
        <f t="shared" si="50"/>
        <v>#NUM!</v>
      </c>
      <c r="V70" s="10" t="e">
        <f t="shared" si="51"/>
        <v>#NUM!</v>
      </c>
      <c r="W70" s="10" t="e">
        <f t="shared" si="52"/>
        <v>#NUM!</v>
      </c>
      <c r="X70" s="10" t="e">
        <f t="shared" si="53"/>
        <v>#NUM!</v>
      </c>
      <c r="Y70" s="11" t="e">
        <f>ROUND((SUM(Table32315[[#This Row],[II1]:[II7]]))*1000000, 0)</f>
        <v>#NUM!</v>
      </c>
      <c r="Z70" s="18" t="s">
        <v>22</v>
      </c>
      <c r="AB70" s="13" t="str">
        <f t="shared" si="33"/>
        <v/>
      </c>
      <c r="AD70" s="11" t="e">
        <v>#NUM!</v>
      </c>
      <c r="AF70" s="6">
        <v>50</v>
      </c>
      <c r="AG70" s="11" t="e">
        <f t="shared" si="29"/>
        <v>#NUM!</v>
      </c>
      <c r="AJ70" s="13" t="str">
        <f t="shared" si="32"/>
        <v/>
      </c>
    </row>
    <row r="71" spans="2:36" x14ac:dyDescent="0.35">
      <c r="B71" s="6">
        <v>51</v>
      </c>
      <c r="C71" s="2" t="s">
        <v>22</v>
      </c>
      <c r="D71" s="6" t="e">
        <f t="shared" si="34"/>
        <v>#NUM!</v>
      </c>
      <c r="E71" s="6" t="e">
        <f t="shared" si="35"/>
        <v>#NUM!</v>
      </c>
      <c r="F71" s="6" t="e">
        <f t="shared" si="36"/>
        <v>#NUM!</v>
      </c>
      <c r="G71" s="6" t="e">
        <f t="shared" si="37"/>
        <v>#NUM!</v>
      </c>
      <c r="H71" s="6" t="e">
        <f t="shared" si="38"/>
        <v>#NUM!</v>
      </c>
      <c r="I71" s="6" t="e">
        <f t="shared" si="39"/>
        <v>#NUM!</v>
      </c>
      <c r="J71" s="10" t="e">
        <f t="shared" si="40"/>
        <v>#NUM!</v>
      </c>
      <c r="K71" s="10" t="e">
        <f t="shared" si="41"/>
        <v>#NUM!</v>
      </c>
      <c r="L71" s="10" t="e">
        <f t="shared" si="42"/>
        <v>#NUM!</v>
      </c>
      <c r="M71" s="10" t="e">
        <f t="shared" si="43"/>
        <v>#NUM!</v>
      </c>
      <c r="N71" s="10" t="e">
        <f t="shared" si="44"/>
        <v>#NUM!</v>
      </c>
      <c r="O71" s="10" t="e">
        <f t="shared" si="45"/>
        <v>#NUM!</v>
      </c>
      <c r="P71" s="10" t="e">
        <f t="shared" si="46"/>
        <v>#NUM!</v>
      </c>
      <c r="Q71" s="11" t="e">
        <f>ROUND(( SUM(Table32315[[#This Row],[I1]:[I7]]))*1000000, 0)</f>
        <v>#NUM!</v>
      </c>
      <c r="R71" s="10" t="e">
        <f t="shared" si="47"/>
        <v>#NUM!</v>
      </c>
      <c r="S71" s="10" t="e">
        <f t="shared" si="48"/>
        <v>#NUM!</v>
      </c>
      <c r="T71" s="10" t="e">
        <f t="shared" si="49"/>
        <v>#NUM!</v>
      </c>
      <c r="U71" s="10" t="e">
        <f t="shared" si="50"/>
        <v>#NUM!</v>
      </c>
      <c r="V71" s="10" t="e">
        <f t="shared" si="51"/>
        <v>#NUM!</v>
      </c>
      <c r="W71" s="10" t="e">
        <f t="shared" si="52"/>
        <v>#NUM!</v>
      </c>
      <c r="X71" s="10" t="e">
        <f t="shared" si="53"/>
        <v>#NUM!</v>
      </c>
      <c r="Y71" s="11" t="e">
        <f>ROUND((SUM(Table32315[[#This Row],[II1]:[II7]]))*1000000, 0)</f>
        <v>#NUM!</v>
      </c>
      <c r="Z71" s="18" t="s">
        <v>22</v>
      </c>
      <c r="AB71" s="13" t="str">
        <f t="shared" si="33"/>
        <v/>
      </c>
      <c r="AD71" s="11" t="e">
        <v>#NUM!</v>
      </c>
      <c r="AF71" s="6">
        <v>51</v>
      </c>
      <c r="AG71" s="11" t="e">
        <f t="shared" si="29"/>
        <v>#NUM!</v>
      </c>
      <c r="AJ71" s="13" t="str">
        <f t="shared" si="32"/>
        <v/>
      </c>
    </row>
    <row r="72" spans="2:36" x14ac:dyDescent="0.35">
      <c r="B72" s="6">
        <v>52</v>
      </c>
      <c r="C72" s="2" t="s">
        <v>22</v>
      </c>
      <c r="D72" s="6" t="e">
        <f t="shared" si="34"/>
        <v>#NUM!</v>
      </c>
      <c r="E72" s="6" t="e">
        <f t="shared" si="35"/>
        <v>#NUM!</v>
      </c>
      <c r="F72" s="6" t="e">
        <f t="shared" si="36"/>
        <v>#NUM!</v>
      </c>
      <c r="G72" s="6" t="e">
        <f t="shared" si="37"/>
        <v>#NUM!</v>
      </c>
      <c r="H72" s="6" t="e">
        <f t="shared" si="38"/>
        <v>#NUM!</v>
      </c>
      <c r="I72" s="6" t="e">
        <f t="shared" si="39"/>
        <v>#NUM!</v>
      </c>
      <c r="J72" s="10" t="e">
        <f t="shared" si="40"/>
        <v>#NUM!</v>
      </c>
      <c r="K72" s="10" t="e">
        <f t="shared" si="41"/>
        <v>#NUM!</v>
      </c>
      <c r="L72" s="10" t="e">
        <f t="shared" si="42"/>
        <v>#NUM!</v>
      </c>
      <c r="M72" s="10" t="e">
        <f t="shared" si="43"/>
        <v>#NUM!</v>
      </c>
      <c r="N72" s="10" t="e">
        <f t="shared" si="44"/>
        <v>#NUM!</v>
      </c>
      <c r="O72" s="10" t="e">
        <f t="shared" si="45"/>
        <v>#NUM!</v>
      </c>
      <c r="P72" s="10" t="e">
        <f t="shared" si="46"/>
        <v>#NUM!</v>
      </c>
      <c r="Q72" s="11" t="e">
        <f>ROUND(( SUM(Table32315[[#This Row],[I1]:[I7]]))*1000000, 0)</f>
        <v>#NUM!</v>
      </c>
      <c r="R72" s="10" t="e">
        <f t="shared" si="47"/>
        <v>#NUM!</v>
      </c>
      <c r="S72" s="10" t="e">
        <f t="shared" si="48"/>
        <v>#NUM!</v>
      </c>
      <c r="T72" s="10" t="e">
        <f t="shared" si="49"/>
        <v>#NUM!</v>
      </c>
      <c r="U72" s="10" t="e">
        <f t="shared" si="50"/>
        <v>#NUM!</v>
      </c>
      <c r="V72" s="10" t="e">
        <f t="shared" si="51"/>
        <v>#NUM!</v>
      </c>
      <c r="W72" s="10" t="e">
        <f t="shared" si="52"/>
        <v>#NUM!</v>
      </c>
      <c r="X72" s="10" t="e">
        <f t="shared" si="53"/>
        <v>#NUM!</v>
      </c>
      <c r="Y72" s="11" t="e">
        <f>ROUND((SUM(Table32315[[#This Row],[II1]:[II7]]))*1000000, 0)</f>
        <v>#NUM!</v>
      </c>
      <c r="Z72" s="18" t="s">
        <v>22</v>
      </c>
      <c r="AB72" s="13" t="str">
        <f t="shared" si="33"/>
        <v/>
      </c>
      <c r="AD72" s="11" t="e">
        <v>#NUM!</v>
      </c>
      <c r="AF72" s="6">
        <v>52</v>
      </c>
      <c r="AG72" s="11" t="e">
        <f t="shared" si="29"/>
        <v>#NUM!</v>
      </c>
      <c r="AJ72" s="13" t="str">
        <f t="shared" si="32"/>
        <v/>
      </c>
    </row>
    <row r="73" spans="2:36" x14ac:dyDescent="0.35">
      <c r="B73" s="6">
        <v>53</v>
      </c>
      <c r="C73" s="2" t="s">
        <v>22</v>
      </c>
      <c r="D73" s="6" t="e">
        <f t="shared" si="34"/>
        <v>#NUM!</v>
      </c>
      <c r="E73" s="6" t="e">
        <f t="shared" si="35"/>
        <v>#NUM!</v>
      </c>
      <c r="F73" s="6" t="e">
        <f t="shared" si="36"/>
        <v>#NUM!</v>
      </c>
      <c r="G73" s="6" t="e">
        <f t="shared" si="37"/>
        <v>#NUM!</v>
      </c>
      <c r="H73" s="6" t="e">
        <f t="shared" si="38"/>
        <v>#NUM!</v>
      </c>
      <c r="I73" s="6" t="e">
        <f t="shared" si="39"/>
        <v>#NUM!</v>
      </c>
      <c r="J73" s="10" t="e">
        <f t="shared" si="40"/>
        <v>#NUM!</v>
      </c>
      <c r="K73" s="10" t="e">
        <f t="shared" si="41"/>
        <v>#NUM!</v>
      </c>
      <c r="L73" s="10" t="e">
        <f t="shared" si="42"/>
        <v>#NUM!</v>
      </c>
      <c r="M73" s="10" t="e">
        <f t="shared" si="43"/>
        <v>#NUM!</v>
      </c>
      <c r="N73" s="10" t="e">
        <f t="shared" si="44"/>
        <v>#NUM!</v>
      </c>
      <c r="O73" s="10" t="e">
        <f t="shared" si="45"/>
        <v>#NUM!</v>
      </c>
      <c r="P73" s="10" t="e">
        <f t="shared" si="46"/>
        <v>#NUM!</v>
      </c>
      <c r="Q73" s="11" t="e">
        <f>ROUND(( SUM(Table32315[[#This Row],[I1]:[I7]]))*1000000, 0)</f>
        <v>#NUM!</v>
      </c>
      <c r="R73" s="10" t="e">
        <f t="shared" si="47"/>
        <v>#NUM!</v>
      </c>
      <c r="S73" s="10" t="e">
        <f t="shared" si="48"/>
        <v>#NUM!</v>
      </c>
      <c r="T73" s="10" t="e">
        <f t="shared" si="49"/>
        <v>#NUM!</v>
      </c>
      <c r="U73" s="10" t="e">
        <f t="shared" si="50"/>
        <v>#NUM!</v>
      </c>
      <c r="V73" s="10" t="e">
        <f t="shared" si="51"/>
        <v>#NUM!</v>
      </c>
      <c r="W73" s="10" t="e">
        <f t="shared" si="52"/>
        <v>#NUM!</v>
      </c>
      <c r="X73" s="10" t="e">
        <f t="shared" si="53"/>
        <v>#NUM!</v>
      </c>
      <c r="Y73" s="11" t="e">
        <f>ROUND((SUM(Table32315[[#This Row],[II1]:[II7]]))*1000000, 0)</f>
        <v>#NUM!</v>
      </c>
      <c r="Z73" s="18" t="s">
        <v>22</v>
      </c>
      <c r="AB73" s="13" t="str">
        <f t="shared" si="33"/>
        <v/>
      </c>
      <c r="AD73" s="11" t="e">
        <v>#NUM!</v>
      </c>
      <c r="AF73" s="6">
        <v>53</v>
      </c>
      <c r="AG73" s="11" t="e">
        <f t="shared" si="29"/>
        <v>#NUM!</v>
      </c>
      <c r="AJ73" s="13" t="str">
        <f t="shared" si="32"/>
        <v/>
      </c>
    </row>
    <row r="74" spans="2:36" x14ac:dyDescent="0.35">
      <c r="B74" s="6">
        <v>54</v>
      </c>
      <c r="C74" s="2" t="s">
        <v>22</v>
      </c>
      <c r="D74" s="6" t="e">
        <f t="shared" si="34"/>
        <v>#NUM!</v>
      </c>
      <c r="E74" s="6" t="e">
        <f t="shared" si="35"/>
        <v>#NUM!</v>
      </c>
      <c r="F74" s="6" t="e">
        <f t="shared" si="36"/>
        <v>#NUM!</v>
      </c>
      <c r="G74" s="6" t="e">
        <f t="shared" si="37"/>
        <v>#NUM!</v>
      </c>
      <c r="H74" s="6" t="e">
        <f t="shared" si="38"/>
        <v>#NUM!</v>
      </c>
      <c r="I74" s="6" t="e">
        <f t="shared" si="39"/>
        <v>#NUM!</v>
      </c>
      <c r="J74" s="10" t="e">
        <f t="shared" si="40"/>
        <v>#NUM!</v>
      </c>
      <c r="K74" s="10" t="e">
        <f t="shared" si="41"/>
        <v>#NUM!</v>
      </c>
      <c r="L74" s="10" t="e">
        <f t="shared" si="42"/>
        <v>#NUM!</v>
      </c>
      <c r="M74" s="10" t="e">
        <f t="shared" si="43"/>
        <v>#NUM!</v>
      </c>
      <c r="N74" s="10" t="e">
        <f t="shared" si="44"/>
        <v>#NUM!</v>
      </c>
      <c r="O74" s="10" t="e">
        <f t="shared" si="45"/>
        <v>#NUM!</v>
      </c>
      <c r="P74" s="10" t="e">
        <f t="shared" si="46"/>
        <v>#NUM!</v>
      </c>
      <c r="Q74" s="11" t="e">
        <f>ROUND(( SUM(Table32315[[#This Row],[I1]:[I7]]))*1000000, 0)</f>
        <v>#NUM!</v>
      </c>
      <c r="R74" s="10" t="e">
        <f t="shared" si="47"/>
        <v>#NUM!</v>
      </c>
      <c r="S74" s="10" t="e">
        <f t="shared" si="48"/>
        <v>#NUM!</v>
      </c>
      <c r="T74" s="10" t="e">
        <f t="shared" si="49"/>
        <v>#NUM!</v>
      </c>
      <c r="U74" s="10" t="e">
        <f t="shared" si="50"/>
        <v>#NUM!</v>
      </c>
      <c r="V74" s="10" t="e">
        <f t="shared" si="51"/>
        <v>#NUM!</v>
      </c>
      <c r="W74" s="10" t="e">
        <f t="shared" si="52"/>
        <v>#NUM!</v>
      </c>
      <c r="X74" s="10" t="e">
        <f t="shared" si="53"/>
        <v>#NUM!</v>
      </c>
      <c r="Y74" s="11" t="e">
        <f>ROUND((SUM(Table32315[[#This Row],[II1]:[II7]]))*1000000, 0)</f>
        <v>#NUM!</v>
      </c>
      <c r="Z74" s="18" t="s">
        <v>22</v>
      </c>
      <c r="AB74" s="13" t="str">
        <f t="shared" si="33"/>
        <v/>
      </c>
      <c r="AD74" s="11" t="e">
        <v>#NUM!</v>
      </c>
      <c r="AF74" s="6">
        <v>54</v>
      </c>
      <c r="AG74" s="11" t="e">
        <f t="shared" si="29"/>
        <v>#NUM!</v>
      </c>
      <c r="AJ74" s="13" t="str">
        <f t="shared" si="32"/>
        <v/>
      </c>
    </row>
    <row r="75" spans="2:36" x14ac:dyDescent="0.35">
      <c r="B75" s="6">
        <v>55</v>
      </c>
      <c r="C75" s="2" t="s">
        <v>22</v>
      </c>
      <c r="D75" s="6" t="e">
        <f t="shared" si="34"/>
        <v>#NUM!</v>
      </c>
      <c r="E75" s="6" t="e">
        <f t="shared" si="35"/>
        <v>#NUM!</v>
      </c>
      <c r="F75" s="6" t="e">
        <f t="shared" si="36"/>
        <v>#NUM!</v>
      </c>
      <c r="G75" s="6" t="e">
        <f t="shared" si="37"/>
        <v>#NUM!</v>
      </c>
      <c r="H75" s="6" t="e">
        <f t="shared" si="38"/>
        <v>#NUM!</v>
      </c>
      <c r="I75" s="6" t="e">
        <f t="shared" si="39"/>
        <v>#NUM!</v>
      </c>
      <c r="J75" s="10" t="e">
        <f t="shared" si="40"/>
        <v>#NUM!</v>
      </c>
      <c r="K75" s="10" t="e">
        <f t="shared" si="41"/>
        <v>#NUM!</v>
      </c>
      <c r="L75" s="10" t="e">
        <f t="shared" si="42"/>
        <v>#NUM!</v>
      </c>
      <c r="M75" s="10" t="e">
        <f t="shared" si="43"/>
        <v>#NUM!</v>
      </c>
      <c r="N75" s="10" t="e">
        <f t="shared" si="44"/>
        <v>#NUM!</v>
      </c>
      <c r="O75" s="10" t="e">
        <f t="shared" si="45"/>
        <v>#NUM!</v>
      </c>
      <c r="P75" s="10" t="e">
        <f t="shared" si="46"/>
        <v>#NUM!</v>
      </c>
      <c r="Q75" s="11" t="e">
        <f>ROUND(( SUM(Table32315[[#This Row],[I1]:[I7]]))*1000000, 0)</f>
        <v>#NUM!</v>
      </c>
      <c r="R75" s="10" t="e">
        <f t="shared" si="47"/>
        <v>#NUM!</v>
      </c>
      <c r="S75" s="10" t="e">
        <f t="shared" si="48"/>
        <v>#NUM!</v>
      </c>
      <c r="T75" s="10" t="e">
        <f t="shared" si="49"/>
        <v>#NUM!</v>
      </c>
      <c r="U75" s="10" t="e">
        <f t="shared" si="50"/>
        <v>#NUM!</v>
      </c>
      <c r="V75" s="10" t="e">
        <f t="shared" si="51"/>
        <v>#NUM!</v>
      </c>
      <c r="W75" s="10" t="e">
        <f t="shared" si="52"/>
        <v>#NUM!</v>
      </c>
      <c r="X75" s="10" t="e">
        <f t="shared" si="53"/>
        <v>#NUM!</v>
      </c>
      <c r="Y75" s="11" t="e">
        <f>ROUND((SUM(Table32315[[#This Row],[II1]:[II7]]))*1000000, 0)</f>
        <v>#NUM!</v>
      </c>
      <c r="Z75" s="18" t="s">
        <v>22</v>
      </c>
      <c r="AB75" s="13" t="str">
        <f t="shared" si="33"/>
        <v/>
      </c>
      <c r="AD75" s="11" t="e">
        <v>#NUM!</v>
      </c>
      <c r="AF75" s="6">
        <v>55</v>
      </c>
      <c r="AG75" s="11" t="e">
        <f t="shared" si="29"/>
        <v>#NUM!</v>
      </c>
      <c r="AJ75" s="13" t="str">
        <f t="shared" si="32"/>
        <v/>
      </c>
    </row>
    <row r="76" spans="2:36" x14ac:dyDescent="0.35">
      <c r="B76" s="6">
        <v>56</v>
      </c>
      <c r="C76" s="2" t="s">
        <v>22</v>
      </c>
      <c r="D76" s="6" t="e">
        <f t="shared" si="34"/>
        <v>#NUM!</v>
      </c>
      <c r="E76" s="6" t="e">
        <f t="shared" si="35"/>
        <v>#NUM!</v>
      </c>
      <c r="F76" s="6" t="e">
        <f t="shared" si="36"/>
        <v>#NUM!</v>
      </c>
      <c r="G76" s="6" t="e">
        <f t="shared" si="37"/>
        <v>#NUM!</v>
      </c>
      <c r="H76" s="6" t="e">
        <f t="shared" si="38"/>
        <v>#NUM!</v>
      </c>
      <c r="I76" s="6" t="e">
        <f t="shared" si="39"/>
        <v>#NUM!</v>
      </c>
      <c r="J76" s="10" t="e">
        <f t="shared" si="40"/>
        <v>#NUM!</v>
      </c>
      <c r="K76" s="10" t="e">
        <f t="shared" si="41"/>
        <v>#NUM!</v>
      </c>
      <c r="L76" s="10" t="e">
        <f t="shared" si="42"/>
        <v>#NUM!</v>
      </c>
      <c r="M76" s="10" t="e">
        <f t="shared" si="43"/>
        <v>#NUM!</v>
      </c>
      <c r="N76" s="10" t="e">
        <f t="shared" si="44"/>
        <v>#NUM!</v>
      </c>
      <c r="O76" s="10" t="e">
        <f t="shared" si="45"/>
        <v>#NUM!</v>
      </c>
      <c r="P76" s="10" t="e">
        <f t="shared" si="46"/>
        <v>#NUM!</v>
      </c>
      <c r="Q76" s="11" t="e">
        <f>ROUND(( SUM(Table32315[[#This Row],[I1]:[I7]]))*1000000, 0)</f>
        <v>#NUM!</v>
      </c>
      <c r="R76" s="10" t="e">
        <f t="shared" si="47"/>
        <v>#NUM!</v>
      </c>
      <c r="S76" s="10" t="e">
        <f t="shared" si="48"/>
        <v>#NUM!</v>
      </c>
      <c r="T76" s="10" t="e">
        <f t="shared" si="49"/>
        <v>#NUM!</v>
      </c>
      <c r="U76" s="10" t="e">
        <f t="shared" si="50"/>
        <v>#NUM!</v>
      </c>
      <c r="V76" s="10" t="e">
        <f t="shared" si="51"/>
        <v>#NUM!</v>
      </c>
      <c r="W76" s="10" t="e">
        <f t="shared" si="52"/>
        <v>#NUM!</v>
      </c>
      <c r="X76" s="10" t="e">
        <f t="shared" si="53"/>
        <v>#NUM!</v>
      </c>
      <c r="Y76" s="11" t="e">
        <f>ROUND((SUM(Table32315[[#This Row],[II1]:[II7]]))*1000000, 0)</f>
        <v>#NUM!</v>
      </c>
      <c r="Z76" s="18" t="s">
        <v>22</v>
      </c>
      <c r="AB76" s="13" t="str">
        <f t="shared" si="33"/>
        <v/>
      </c>
      <c r="AD76" s="11" t="e">
        <v>#NUM!</v>
      </c>
      <c r="AF76" s="6">
        <v>56</v>
      </c>
      <c r="AG76" s="11" t="e">
        <f t="shared" si="29"/>
        <v>#NUM!</v>
      </c>
      <c r="AJ76" s="13" t="str">
        <f t="shared" si="32"/>
        <v/>
      </c>
    </row>
    <row r="77" spans="2:36" x14ac:dyDescent="0.35">
      <c r="B77" s="6">
        <v>57</v>
      </c>
      <c r="C77" s="2" t="s">
        <v>22</v>
      </c>
      <c r="D77" s="6" t="e">
        <f t="shared" si="34"/>
        <v>#NUM!</v>
      </c>
      <c r="E77" s="6" t="e">
        <f t="shared" si="35"/>
        <v>#NUM!</v>
      </c>
      <c r="F77" s="6" t="e">
        <f t="shared" si="36"/>
        <v>#NUM!</v>
      </c>
      <c r="G77" s="6" t="e">
        <f t="shared" si="37"/>
        <v>#NUM!</v>
      </c>
      <c r="H77" s="6" t="e">
        <f t="shared" si="38"/>
        <v>#NUM!</v>
      </c>
      <c r="I77" s="6" t="e">
        <f t="shared" si="39"/>
        <v>#NUM!</v>
      </c>
      <c r="J77" s="10" t="e">
        <f t="shared" si="40"/>
        <v>#NUM!</v>
      </c>
      <c r="K77" s="10" t="e">
        <f t="shared" si="41"/>
        <v>#NUM!</v>
      </c>
      <c r="L77" s="10" t="e">
        <f t="shared" si="42"/>
        <v>#NUM!</v>
      </c>
      <c r="M77" s="10" t="e">
        <f t="shared" si="43"/>
        <v>#NUM!</v>
      </c>
      <c r="N77" s="10" t="e">
        <f t="shared" si="44"/>
        <v>#NUM!</v>
      </c>
      <c r="O77" s="10" t="e">
        <f t="shared" si="45"/>
        <v>#NUM!</v>
      </c>
      <c r="P77" s="10" t="e">
        <f t="shared" si="46"/>
        <v>#NUM!</v>
      </c>
      <c r="Q77" s="11" t="e">
        <f>ROUND(( SUM(Table32315[[#This Row],[I1]:[I7]]))*1000000, 0)</f>
        <v>#NUM!</v>
      </c>
      <c r="R77" s="10" t="e">
        <f t="shared" si="47"/>
        <v>#NUM!</v>
      </c>
      <c r="S77" s="10" t="e">
        <f t="shared" si="48"/>
        <v>#NUM!</v>
      </c>
      <c r="T77" s="10" t="e">
        <f t="shared" si="49"/>
        <v>#NUM!</v>
      </c>
      <c r="U77" s="10" t="e">
        <f t="shared" si="50"/>
        <v>#NUM!</v>
      </c>
      <c r="V77" s="10" t="e">
        <f t="shared" si="51"/>
        <v>#NUM!</v>
      </c>
      <c r="W77" s="10" t="e">
        <f t="shared" si="52"/>
        <v>#NUM!</v>
      </c>
      <c r="X77" s="10" t="e">
        <f t="shared" si="53"/>
        <v>#NUM!</v>
      </c>
      <c r="Y77" s="11" t="e">
        <f>ROUND((SUM(Table32315[[#This Row],[II1]:[II7]]))*1000000, 0)</f>
        <v>#NUM!</v>
      </c>
      <c r="Z77" s="18" t="s">
        <v>22</v>
      </c>
      <c r="AB77" s="13" t="str">
        <f t="shared" si="33"/>
        <v/>
      </c>
      <c r="AD77" s="11" t="e">
        <v>#NUM!</v>
      </c>
      <c r="AF77" s="6">
        <v>57</v>
      </c>
      <c r="AG77" s="11" t="e">
        <f t="shared" si="29"/>
        <v>#NUM!</v>
      </c>
      <c r="AJ77" s="13" t="str">
        <f t="shared" si="32"/>
        <v/>
      </c>
    </row>
    <row r="78" spans="2:36" x14ac:dyDescent="0.35">
      <c r="B78" s="6">
        <v>58</v>
      </c>
      <c r="C78" s="2" t="s">
        <v>22</v>
      </c>
      <c r="D78" s="6" t="e">
        <f t="shared" si="34"/>
        <v>#NUM!</v>
      </c>
      <c r="E78" s="6" t="e">
        <f t="shared" si="35"/>
        <v>#NUM!</v>
      </c>
      <c r="F78" s="6" t="e">
        <f t="shared" si="36"/>
        <v>#NUM!</v>
      </c>
      <c r="G78" s="6" t="e">
        <f t="shared" si="37"/>
        <v>#NUM!</v>
      </c>
      <c r="H78" s="6" t="e">
        <f t="shared" si="38"/>
        <v>#NUM!</v>
      </c>
      <c r="I78" s="6" t="e">
        <f t="shared" si="39"/>
        <v>#NUM!</v>
      </c>
      <c r="J78" s="10" t="e">
        <f t="shared" si="40"/>
        <v>#NUM!</v>
      </c>
      <c r="K78" s="10" t="e">
        <f t="shared" si="41"/>
        <v>#NUM!</v>
      </c>
      <c r="L78" s="10" t="e">
        <f t="shared" si="42"/>
        <v>#NUM!</v>
      </c>
      <c r="M78" s="10" t="e">
        <f t="shared" si="43"/>
        <v>#NUM!</v>
      </c>
      <c r="N78" s="10" t="e">
        <f t="shared" si="44"/>
        <v>#NUM!</v>
      </c>
      <c r="O78" s="10" t="e">
        <f t="shared" si="45"/>
        <v>#NUM!</v>
      </c>
      <c r="P78" s="10" t="e">
        <f t="shared" si="46"/>
        <v>#NUM!</v>
      </c>
      <c r="Q78" s="11" t="e">
        <f>ROUND(( SUM(Table32315[[#This Row],[I1]:[I7]]))*1000000, 0)</f>
        <v>#NUM!</v>
      </c>
      <c r="R78" s="10" t="e">
        <f t="shared" si="47"/>
        <v>#NUM!</v>
      </c>
      <c r="S78" s="10" t="e">
        <f t="shared" si="48"/>
        <v>#NUM!</v>
      </c>
      <c r="T78" s="10" t="e">
        <f t="shared" si="49"/>
        <v>#NUM!</v>
      </c>
      <c r="U78" s="10" t="e">
        <f t="shared" si="50"/>
        <v>#NUM!</v>
      </c>
      <c r="V78" s="10" t="e">
        <f t="shared" si="51"/>
        <v>#NUM!</v>
      </c>
      <c r="W78" s="10" t="e">
        <f t="shared" si="52"/>
        <v>#NUM!</v>
      </c>
      <c r="X78" s="10" t="e">
        <f t="shared" si="53"/>
        <v>#NUM!</v>
      </c>
      <c r="Y78" s="11" t="e">
        <f>ROUND((SUM(Table32315[[#This Row],[II1]:[II7]]))*1000000, 0)</f>
        <v>#NUM!</v>
      </c>
      <c r="Z78" s="18" t="s">
        <v>22</v>
      </c>
      <c r="AB78" s="13" t="str">
        <f t="shared" si="33"/>
        <v/>
      </c>
      <c r="AD78" s="11" t="e">
        <v>#NUM!</v>
      </c>
      <c r="AF78" s="6">
        <v>58</v>
      </c>
      <c r="AG78" s="11" t="e">
        <f t="shared" si="29"/>
        <v>#NUM!</v>
      </c>
      <c r="AJ78" s="13" t="str">
        <f t="shared" si="32"/>
        <v/>
      </c>
    </row>
    <row r="79" spans="2:36" x14ac:dyDescent="0.35">
      <c r="B79" s="6">
        <v>59</v>
      </c>
      <c r="C79" s="2" t="s">
        <v>22</v>
      </c>
      <c r="D79" s="6" t="e">
        <f t="shared" si="34"/>
        <v>#NUM!</v>
      </c>
      <c r="E79" s="6" t="e">
        <f t="shared" si="35"/>
        <v>#NUM!</v>
      </c>
      <c r="F79" s="6" t="e">
        <f t="shared" si="36"/>
        <v>#NUM!</v>
      </c>
      <c r="G79" s="6" t="e">
        <f t="shared" si="37"/>
        <v>#NUM!</v>
      </c>
      <c r="H79" s="6" t="e">
        <f t="shared" si="38"/>
        <v>#NUM!</v>
      </c>
      <c r="I79" s="6" t="e">
        <f t="shared" si="39"/>
        <v>#NUM!</v>
      </c>
      <c r="J79" s="10" t="e">
        <f t="shared" si="40"/>
        <v>#NUM!</v>
      </c>
      <c r="K79" s="10" t="e">
        <f t="shared" si="41"/>
        <v>#NUM!</v>
      </c>
      <c r="L79" s="10" t="e">
        <f t="shared" si="42"/>
        <v>#NUM!</v>
      </c>
      <c r="M79" s="10" t="e">
        <f t="shared" si="43"/>
        <v>#NUM!</v>
      </c>
      <c r="N79" s="10" t="e">
        <f t="shared" si="44"/>
        <v>#NUM!</v>
      </c>
      <c r="O79" s="10" t="e">
        <f t="shared" si="45"/>
        <v>#NUM!</v>
      </c>
      <c r="P79" s="10" t="e">
        <f t="shared" si="46"/>
        <v>#NUM!</v>
      </c>
      <c r="Q79" s="11" t="e">
        <f>ROUND(( SUM(Table32315[[#This Row],[I1]:[I7]]))*1000000, 0)</f>
        <v>#NUM!</v>
      </c>
      <c r="R79" s="10" t="e">
        <f t="shared" si="47"/>
        <v>#NUM!</v>
      </c>
      <c r="S79" s="10" t="e">
        <f t="shared" si="48"/>
        <v>#NUM!</v>
      </c>
      <c r="T79" s="10" t="e">
        <f t="shared" si="49"/>
        <v>#NUM!</v>
      </c>
      <c r="U79" s="10" t="e">
        <f t="shared" si="50"/>
        <v>#NUM!</v>
      </c>
      <c r="V79" s="10" t="e">
        <f t="shared" si="51"/>
        <v>#NUM!</v>
      </c>
      <c r="W79" s="10" t="e">
        <f t="shared" si="52"/>
        <v>#NUM!</v>
      </c>
      <c r="X79" s="10" t="e">
        <f t="shared" si="53"/>
        <v>#NUM!</v>
      </c>
      <c r="Y79" s="11" t="e">
        <f>ROUND((SUM(Table32315[[#This Row],[II1]:[II7]]))*1000000, 0)</f>
        <v>#NUM!</v>
      </c>
      <c r="Z79" s="18" t="s">
        <v>22</v>
      </c>
      <c r="AB79" s="13">
        <f>IF(ISBLANK(AA79), 0, COUNTIF($L$20:$L$83,AA79))</f>
        <v>0</v>
      </c>
      <c r="AD79" s="11" t="e">
        <v>#NUM!</v>
      </c>
      <c r="AF79" s="6">
        <v>59</v>
      </c>
      <c r="AG79" s="11" t="e">
        <f t="shared" si="29"/>
        <v>#NUM!</v>
      </c>
      <c r="AJ79" s="13" t="str">
        <f t="shared" si="32"/>
        <v/>
      </c>
    </row>
    <row r="80" spans="2:36" x14ac:dyDescent="0.35">
      <c r="B80" s="6">
        <v>60</v>
      </c>
      <c r="C80" s="2" t="s">
        <v>22</v>
      </c>
      <c r="D80" s="6" t="e">
        <f t="shared" si="34"/>
        <v>#NUM!</v>
      </c>
      <c r="E80" s="6" t="e">
        <f t="shared" si="35"/>
        <v>#NUM!</v>
      </c>
      <c r="F80" s="6" t="e">
        <f t="shared" si="36"/>
        <v>#NUM!</v>
      </c>
      <c r="G80" s="6" t="e">
        <f t="shared" si="37"/>
        <v>#NUM!</v>
      </c>
      <c r="H80" s="6" t="e">
        <f t="shared" si="38"/>
        <v>#NUM!</v>
      </c>
      <c r="I80" s="6" t="e">
        <f t="shared" si="39"/>
        <v>#NUM!</v>
      </c>
      <c r="J80" s="10" t="e">
        <f t="shared" si="40"/>
        <v>#NUM!</v>
      </c>
      <c r="K80" s="10" t="e">
        <f t="shared" si="41"/>
        <v>#NUM!</v>
      </c>
      <c r="L80" s="10" t="e">
        <f t="shared" si="42"/>
        <v>#NUM!</v>
      </c>
      <c r="M80" s="10" t="e">
        <f t="shared" si="43"/>
        <v>#NUM!</v>
      </c>
      <c r="N80" s="10" t="e">
        <f t="shared" si="44"/>
        <v>#NUM!</v>
      </c>
      <c r="O80" s="10" t="e">
        <f t="shared" si="45"/>
        <v>#NUM!</v>
      </c>
      <c r="P80" s="10" t="e">
        <f t="shared" si="46"/>
        <v>#NUM!</v>
      </c>
      <c r="Q80" s="11" t="e">
        <f>ROUND(( SUM(Table32315[[#This Row],[I1]:[I7]]))*1000000, 0)</f>
        <v>#NUM!</v>
      </c>
      <c r="R80" s="10" t="e">
        <f t="shared" si="47"/>
        <v>#NUM!</v>
      </c>
      <c r="S80" s="10" t="e">
        <f t="shared" si="48"/>
        <v>#NUM!</v>
      </c>
      <c r="T80" s="10" t="e">
        <f t="shared" si="49"/>
        <v>#NUM!</v>
      </c>
      <c r="U80" s="10" t="e">
        <f t="shared" si="50"/>
        <v>#NUM!</v>
      </c>
      <c r="V80" s="10" t="e">
        <f t="shared" si="51"/>
        <v>#NUM!</v>
      </c>
      <c r="W80" s="10" t="e">
        <f t="shared" si="52"/>
        <v>#NUM!</v>
      </c>
      <c r="X80" s="10" t="e">
        <f t="shared" si="53"/>
        <v>#NUM!</v>
      </c>
      <c r="Y80" s="11" t="e">
        <f>ROUND((SUM(Table32315[[#This Row],[II1]:[II7]]))*1000000, 0)</f>
        <v>#NUM!</v>
      </c>
      <c r="Z80" s="18" t="s">
        <v>22</v>
      </c>
      <c r="AB80" s="13">
        <f t="shared" ref="AB80:AB83" si="54">IF(ISBLANK(AA80), 0, COUNTIF($L$20:$L$83,AA80))</f>
        <v>0</v>
      </c>
      <c r="AD80" s="11" t="e">
        <v>#NUM!</v>
      </c>
      <c r="AF80" s="6">
        <v>60</v>
      </c>
      <c r="AG80" s="11" t="e">
        <f t="shared" si="29"/>
        <v>#NUM!</v>
      </c>
      <c r="AJ80" s="13" t="str">
        <f t="shared" si="32"/>
        <v/>
      </c>
    </row>
    <row r="81" spans="2:36" x14ac:dyDescent="0.35">
      <c r="B81" s="6">
        <v>61</v>
      </c>
      <c r="C81" s="2" t="s">
        <v>22</v>
      </c>
      <c r="D81" s="6" t="e">
        <f t="shared" si="34"/>
        <v>#NUM!</v>
      </c>
      <c r="E81" s="6" t="e">
        <f t="shared" si="35"/>
        <v>#NUM!</v>
      </c>
      <c r="F81" s="6" t="e">
        <f t="shared" si="36"/>
        <v>#NUM!</v>
      </c>
      <c r="G81" s="6" t="e">
        <f t="shared" si="37"/>
        <v>#NUM!</v>
      </c>
      <c r="H81" s="6" t="e">
        <f t="shared" si="38"/>
        <v>#NUM!</v>
      </c>
      <c r="I81" s="6" t="e">
        <f t="shared" si="39"/>
        <v>#NUM!</v>
      </c>
      <c r="J81" s="10" t="e">
        <f t="shared" si="40"/>
        <v>#NUM!</v>
      </c>
      <c r="K81" s="10" t="e">
        <f t="shared" si="41"/>
        <v>#NUM!</v>
      </c>
      <c r="L81" s="10" t="e">
        <f t="shared" si="42"/>
        <v>#NUM!</v>
      </c>
      <c r="M81" s="10" t="e">
        <f t="shared" si="43"/>
        <v>#NUM!</v>
      </c>
      <c r="N81" s="10" t="e">
        <f t="shared" si="44"/>
        <v>#NUM!</v>
      </c>
      <c r="O81" s="10" t="e">
        <f t="shared" si="45"/>
        <v>#NUM!</v>
      </c>
      <c r="P81" s="10" t="e">
        <f t="shared" si="46"/>
        <v>#NUM!</v>
      </c>
      <c r="Q81" s="11" t="e">
        <f>ROUND(( SUM(Table32315[[#This Row],[I1]:[I7]]))*1000000, 0)</f>
        <v>#NUM!</v>
      </c>
      <c r="R81" s="10" t="e">
        <f t="shared" si="47"/>
        <v>#NUM!</v>
      </c>
      <c r="S81" s="10" t="e">
        <f t="shared" si="48"/>
        <v>#NUM!</v>
      </c>
      <c r="T81" s="10" t="e">
        <f t="shared" si="49"/>
        <v>#NUM!</v>
      </c>
      <c r="U81" s="10" t="e">
        <f t="shared" si="50"/>
        <v>#NUM!</v>
      </c>
      <c r="V81" s="10" t="e">
        <f t="shared" si="51"/>
        <v>#NUM!</v>
      </c>
      <c r="W81" s="10" t="e">
        <f t="shared" si="52"/>
        <v>#NUM!</v>
      </c>
      <c r="X81" s="10" t="e">
        <f t="shared" si="53"/>
        <v>#NUM!</v>
      </c>
      <c r="Y81" s="11" t="e">
        <f>ROUND((SUM(Table32315[[#This Row],[II1]:[II7]]))*1000000, 0)</f>
        <v>#NUM!</v>
      </c>
      <c r="Z81" s="18" t="s">
        <v>22</v>
      </c>
      <c r="AB81" s="13">
        <f t="shared" si="54"/>
        <v>0</v>
      </c>
      <c r="AD81" s="11" t="e">
        <v>#NUM!</v>
      </c>
      <c r="AF81" s="6">
        <v>61</v>
      </c>
      <c r="AG81" s="11" t="e">
        <f t="shared" si="29"/>
        <v>#NUM!</v>
      </c>
      <c r="AJ81" s="13" t="str">
        <f t="shared" si="32"/>
        <v/>
      </c>
    </row>
    <row r="82" spans="2:36" x14ac:dyDescent="0.35">
      <c r="B82" s="6">
        <v>62</v>
      </c>
      <c r="C82" s="2" t="s">
        <v>22</v>
      </c>
      <c r="D82" s="6" t="e">
        <f t="shared" si="34"/>
        <v>#NUM!</v>
      </c>
      <c r="E82" s="6" t="e">
        <f t="shared" si="35"/>
        <v>#NUM!</v>
      </c>
      <c r="F82" s="6" t="e">
        <f t="shared" si="36"/>
        <v>#NUM!</v>
      </c>
      <c r="G82" s="6" t="e">
        <f t="shared" si="37"/>
        <v>#NUM!</v>
      </c>
      <c r="H82" s="6" t="e">
        <f t="shared" si="38"/>
        <v>#NUM!</v>
      </c>
      <c r="I82" s="6" t="e">
        <f t="shared" si="39"/>
        <v>#NUM!</v>
      </c>
      <c r="J82" s="10" t="e">
        <f t="shared" si="40"/>
        <v>#NUM!</v>
      </c>
      <c r="K82" s="10" t="e">
        <f t="shared" si="41"/>
        <v>#NUM!</v>
      </c>
      <c r="L82" s="10" t="e">
        <f t="shared" si="42"/>
        <v>#NUM!</v>
      </c>
      <c r="M82" s="10" t="e">
        <f t="shared" si="43"/>
        <v>#NUM!</v>
      </c>
      <c r="N82" s="10" t="e">
        <f t="shared" si="44"/>
        <v>#NUM!</v>
      </c>
      <c r="O82" s="10" t="e">
        <f t="shared" si="45"/>
        <v>#NUM!</v>
      </c>
      <c r="P82" s="10" t="e">
        <f t="shared" si="46"/>
        <v>#NUM!</v>
      </c>
      <c r="Q82" s="11" t="e">
        <f>ROUND(( SUM(Table32315[[#This Row],[I1]:[I7]]))*1000000, 0)</f>
        <v>#NUM!</v>
      </c>
      <c r="R82" s="10" t="e">
        <f t="shared" si="47"/>
        <v>#NUM!</v>
      </c>
      <c r="S82" s="10" t="e">
        <f t="shared" si="48"/>
        <v>#NUM!</v>
      </c>
      <c r="T82" s="10" t="e">
        <f t="shared" si="49"/>
        <v>#NUM!</v>
      </c>
      <c r="U82" s="10" t="e">
        <f t="shared" si="50"/>
        <v>#NUM!</v>
      </c>
      <c r="V82" s="10" t="e">
        <f t="shared" si="51"/>
        <v>#NUM!</v>
      </c>
      <c r="W82" s="10" t="e">
        <f t="shared" si="52"/>
        <v>#NUM!</v>
      </c>
      <c r="X82" s="10" t="e">
        <f t="shared" si="53"/>
        <v>#NUM!</v>
      </c>
      <c r="Y82" s="11" t="e">
        <f>ROUND((SUM(Table32315[[#This Row],[II1]:[II7]]))*1000000, 0)</f>
        <v>#NUM!</v>
      </c>
      <c r="Z82" s="18" t="s">
        <v>22</v>
      </c>
      <c r="AB82" s="13">
        <f t="shared" si="54"/>
        <v>0</v>
      </c>
      <c r="AD82" s="11" t="e">
        <v>#NUM!</v>
      </c>
      <c r="AF82" s="6">
        <v>62</v>
      </c>
      <c r="AG82" s="11" t="e">
        <f t="shared" si="29"/>
        <v>#NUM!</v>
      </c>
      <c r="AJ82" s="13" t="str">
        <f t="shared" si="32"/>
        <v/>
      </c>
    </row>
    <row r="83" spans="2:36" x14ac:dyDescent="0.35">
      <c r="B83" s="6">
        <v>63</v>
      </c>
      <c r="C83" s="2" t="s">
        <v>22</v>
      </c>
      <c r="D83" s="6" t="e">
        <f t="shared" si="34"/>
        <v>#NUM!</v>
      </c>
      <c r="E83" s="6" t="e">
        <f t="shared" si="35"/>
        <v>#NUM!</v>
      </c>
      <c r="F83" s="6" t="e">
        <f t="shared" si="36"/>
        <v>#NUM!</v>
      </c>
      <c r="G83" s="6" t="e">
        <f t="shared" si="37"/>
        <v>#NUM!</v>
      </c>
      <c r="H83" s="6" t="e">
        <f t="shared" si="38"/>
        <v>#NUM!</v>
      </c>
      <c r="I83" s="6" t="e">
        <f t="shared" si="39"/>
        <v>#NUM!</v>
      </c>
      <c r="J83" s="10" t="e">
        <f t="shared" si="40"/>
        <v>#NUM!</v>
      </c>
      <c r="K83" s="10" t="e">
        <f t="shared" si="41"/>
        <v>#NUM!</v>
      </c>
      <c r="L83" s="10" t="e">
        <f t="shared" si="42"/>
        <v>#NUM!</v>
      </c>
      <c r="M83" s="10" t="e">
        <f t="shared" si="43"/>
        <v>#NUM!</v>
      </c>
      <c r="N83" s="10" t="e">
        <f t="shared" si="44"/>
        <v>#NUM!</v>
      </c>
      <c r="O83" s="10" t="e">
        <f t="shared" si="45"/>
        <v>#NUM!</v>
      </c>
      <c r="P83" s="10" t="e">
        <f t="shared" si="46"/>
        <v>#NUM!</v>
      </c>
      <c r="Q83" s="11" t="e">
        <f>ROUND(( SUM(Table32315[[#This Row],[I1]:[I7]]))*1000000, 0)</f>
        <v>#NUM!</v>
      </c>
      <c r="R83" s="10" t="e">
        <f t="shared" si="47"/>
        <v>#NUM!</v>
      </c>
      <c r="S83" s="10" t="e">
        <f t="shared" si="48"/>
        <v>#NUM!</v>
      </c>
      <c r="T83" s="10" t="e">
        <f t="shared" si="49"/>
        <v>#NUM!</v>
      </c>
      <c r="U83" s="10" t="e">
        <f t="shared" si="50"/>
        <v>#NUM!</v>
      </c>
      <c r="V83" s="10" t="e">
        <f t="shared" si="51"/>
        <v>#NUM!</v>
      </c>
      <c r="W83" s="10" t="e">
        <f t="shared" si="52"/>
        <v>#NUM!</v>
      </c>
      <c r="X83" s="10" t="e">
        <f t="shared" si="53"/>
        <v>#NUM!</v>
      </c>
      <c r="Y83" s="11" t="e">
        <f>ROUND((SUM(Table32315[[#This Row],[II1]:[II7]]))*1000000, 0)</f>
        <v>#NUM!</v>
      </c>
      <c r="Z83" s="18" t="s">
        <v>22</v>
      </c>
      <c r="AB83" s="13">
        <f t="shared" si="54"/>
        <v>0</v>
      </c>
      <c r="AD83" s="11" t="e">
        <v>#NUM!</v>
      </c>
      <c r="AF83" s="6">
        <v>63</v>
      </c>
      <c r="AG83" s="11" t="str">
        <f t="shared" si="29"/>
        <v/>
      </c>
      <c r="AJ83" s="13" t="str">
        <f t="shared" si="32"/>
        <v/>
      </c>
    </row>
  </sheetData>
  <phoneticPr fontId="5" type="noConversion"/>
  <conditionalFormatting sqref="Q20:Q83">
    <cfRule type="duplicateValues" dxfId="16" priority="1"/>
  </conditionalFormatting>
  <conditionalFormatting sqref="Y20:Y83">
    <cfRule type="duplicateValues" dxfId="15" priority="2"/>
  </conditionalFormatting>
  <hyperlinks>
    <hyperlink ref="AP7" r:id="rId1" display="R@" xr:uid="{3EDC90D4-B34A-4DDC-A928-88CB2582B322}"/>
    <hyperlink ref="AQ7" r:id="rId2" display="R@" xr:uid="{97AF0327-50F7-4D7C-B52D-26CCF0840C55}"/>
    <hyperlink ref="AR7" r:id="rId3" display="R@" xr:uid="{30FD8D1F-8CA2-4825-9500-F1A2D582F123}"/>
    <hyperlink ref="AS7" r:id="rId4" display="R@" xr:uid="{C167F60B-3A0D-47CB-9AB8-EF32295155E0}"/>
    <hyperlink ref="AT7" r:id="rId5" display="R@" xr:uid="{06E67837-8363-4333-965A-21E3BB6A25F3}"/>
    <hyperlink ref="AX7" r:id="rId6" display="R@" xr:uid="{1A82E214-9213-4597-BC78-73C5D735A780}"/>
    <hyperlink ref="AY7" r:id="rId7" display="R@" xr:uid="{2C5E9829-EFEF-4FA8-8885-CE1E067DA016}"/>
    <hyperlink ref="AZ7" r:id="rId8" display="R@" xr:uid="{E39CCC83-C99D-45DC-A0C5-483DEF51DD9B}"/>
    <hyperlink ref="BA7" r:id="rId9" display="R@" xr:uid="{0F7B0A36-E818-4904-8914-17D495FAF814}"/>
    <hyperlink ref="BB7" r:id="rId10" display="R@" xr:uid="{955F3B6A-234F-4693-9F38-6B7BEBEB16E1}"/>
    <hyperlink ref="BE7" r:id="rId11" display="R@" xr:uid="{EDDEB7B9-A7FE-42BE-9897-A0DA69624983}"/>
    <hyperlink ref="BF7" r:id="rId12" display="R@" xr:uid="{A5E0DD65-E59D-4726-95B1-4CAF9CC20176}"/>
    <hyperlink ref="BG7" r:id="rId13" display="R@" xr:uid="{D9694946-EC49-4595-88C4-4F7E19F59CE6}"/>
    <hyperlink ref="BH7" r:id="rId14" display="R@" xr:uid="{BE674161-D5BD-41D3-A680-4BB5C43075F4}"/>
    <hyperlink ref="BI7" r:id="rId15" display="R@" xr:uid="{B9646226-78E7-4872-B2CB-0722867DF4CE}"/>
    <hyperlink ref="BL7" r:id="rId16" display="R@" xr:uid="{EC9E7370-1A08-4334-9426-B97BD9885543}"/>
    <hyperlink ref="BM7" r:id="rId17" display="R@" xr:uid="{D45FC050-ADBF-4D5C-BA47-269B1E806271}"/>
    <hyperlink ref="BN7" r:id="rId18" display="R@" xr:uid="{4C1D1EA1-4A7A-4739-B090-713CC955E0DC}"/>
    <hyperlink ref="BO7" r:id="rId19" display="R@" xr:uid="{00D1DE9F-C13A-43B8-8378-F0CCA6447FB9}"/>
    <hyperlink ref="BP7" r:id="rId20" display="R@" xr:uid="{427D419B-7A71-4967-B71A-01BFC365C533}"/>
    <hyperlink ref="BS7" r:id="rId21" display="R@" xr:uid="{636B1E47-3185-475F-8D95-9F66F5BCFE6B}"/>
    <hyperlink ref="BT7" r:id="rId22" display="R@" xr:uid="{D0A1CBB4-2BDA-4D51-A16D-AA53991E1860}"/>
    <hyperlink ref="BU7" r:id="rId23" display="R@" xr:uid="{56D1A801-67D7-4D0A-8214-7C90833BD7F2}"/>
    <hyperlink ref="BV7" r:id="rId24" display="R@" xr:uid="{18E085D8-A894-4A49-9124-57ADC2ACEFE3}"/>
    <hyperlink ref="BW7" r:id="rId25" display="R@" xr:uid="{075AE2E3-13D0-47C2-A8EC-0299EE24E38C}"/>
    <hyperlink ref="BZ7" r:id="rId26" display="R@" xr:uid="{1D22CE8D-E3E7-4CD7-843F-37DEA621BDB4}"/>
    <hyperlink ref="CA7" r:id="rId27" display="R@" xr:uid="{9F9EFCE3-6D8F-4AE2-9516-FE7048E864DB}"/>
    <hyperlink ref="CB7" r:id="rId28" display="R@" xr:uid="{C37D923C-E5ED-42DD-AD8E-84E800373F09}"/>
    <hyperlink ref="CC7" r:id="rId29" display="R@" xr:uid="{31AEB684-2C64-438F-BD0C-9F64A7E05F6C}"/>
    <hyperlink ref="CD7" r:id="rId30" display="R@" xr:uid="{6B3EFC2F-7E78-4AC6-B95A-17C70273E744}"/>
    <hyperlink ref="E10" r:id="rId31" display="R@" xr:uid="{610F2DA9-88A5-45CB-9A31-5B1B78ACE58E}"/>
    <hyperlink ref="F10" r:id="rId32" display="R@" xr:uid="{277B80D4-DCF2-4B9E-AA0E-C177A977E84B}"/>
    <hyperlink ref="G10" r:id="rId33" display="R@" xr:uid="{0E23AA68-BD0C-46B3-BC99-93BC61FD8E31}"/>
    <hyperlink ref="H10" r:id="rId34" display="R@" xr:uid="{091AEB61-E663-40D5-9704-7ABFC3DE5CEB}"/>
    <hyperlink ref="I10" r:id="rId35" display="R@" xr:uid="{DE7A30E7-E058-49F1-B8A8-F555C9F745FC}"/>
    <hyperlink ref="J10" r:id="rId36" display="R@" xr:uid="{C425D583-1D55-4428-BC8F-9FC3692F207F}"/>
    <hyperlink ref="BT20" r:id="rId37" display="R@" xr:uid="{150B5C9F-6C7D-411F-B4C9-A350E78D408B}"/>
    <hyperlink ref="BU20" r:id="rId38" display="R@" xr:uid="{5E3F5251-1A21-4F97-B160-FC826F34CFE4}"/>
    <hyperlink ref="BV20" r:id="rId39" display="R@" xr:uid="{702BB206-149A-4D44-B077-5BE0AEDF8313}"/>
    <hyperlink ref="BW20" r:id="rId40" display="R@" xr:uid="{6AD8ACBE-FFA8-48B1-9A58-C73886DAECC6}"/>
    <hyperlink ref="BX20" r:id="rId41" display="R@" xr:uid="{6C84E903-C4EF-4BCE-A00D-CC01F32B77ED}"/>
    <hyperlink ref="CG7" r:id="rId42" display="R@" xr:uid="{1D7B72CF-AA5A-45E0-9988-DBBAF7686911}"/>
    <hyperlink ref="CH7" r:id="rId43" display="R@" xr:uid="{D04B3D8F-328F-4D7B-B7F7-8E4375792B90}"/>
    <hyperlink ref="CI7" r:id="rId44" display="R@" xr:uid="{CF183B91-D5F9-4172-9B3C-E6A7A18A7A60}"/>
    <hyperlink ref="CJ7" r:id="rId45" display="R@" xr:uid="{37D78FD6-63E7-4794-B375-1C6DCFDBFE0F}"/>
    <hyperlink ref="CK7" r:id="rId46" display="R@" xr:uid="{4561D5CA-0D17-48DC-917C-C5FDCDF9342A}"/>
    <hyperlink ref="CL7" r:id="rId47" display="R@" xr:uid="{ACA31B01-0113-429A-A8FD-6072C053EB80}"/>
    <hyperlink ref="E2" r:id="rId48" display="R@" xr:uid="{E21EB3B7-3D51-4683-8AE1-829019D1F3A8}"/>
    <hyperlink ref="F2" r:id="rId49" display="R@" xr:uid="{FFC90934-0E3F-4B03-90B9-42E9F5B64F97}"/>
    <hyperlink ref="G2" r:id="rId50" display="R@" xr:uid="{D745635A-8233-472F-82DC-267BB2037E39}"/>
    <hyperlink ref="H2" r:id="rId51" display="R@" xr:uid="{7F0EF48B-46D9-4470-A337-42B606995E1D}"/>
    <hyperlink ref="I2" r:id="rId52" display="R@" xr:uid="{1D343F9E-29F1-401D-BFA7-3729148B1F58}"/>
    <hyperlink ref="J2" r:id="rId53" display="R@" xr:uid="{87FD4872-B9E8-45B7-833F-D66F87C80B4E}"/>
    <hyperlink ref="CO7" r:id="rId54" display="R@" xr:uid="{F60CD381-D2CC-4EE0-8B42-A0C0A3AB99DB}"/>
    <hyperlink ref="CP7" r:id="rId55" display="R@" xr:uid="{2A70E083-E8F5-4710-8BF2-A183D9707ADD}"/>
    <hyperlink ref="CQ7" r:id="rId56" display="R@" xr:uid="{CD2D0214-0994-474D-93BB-A4F75286F54C}"/>
    <hyperlink ref="CR7" r:id="rId57" display="R@" xr:uid="{C6A06C69-3ABD-4CF9-9A07-83F8F930F04C}"/>
    <hyperlink ref="CS7" r:id="rId58" display="R@" xr:uid="{792500CC-F070-4C8B-AC5D-7483F4208527}"/>
    <hyperlink ref="CT7" r:id="rId59" display="R@" xr:uid="{4A958006-EF91-4CBD-A3F1-EAE558FFBD63}"/>
    <hyperlink ref="CW7" r:id="rId60" display="R@" xr:uid="{2D4F3726-F7F6-4F3E-9AC5-3EE523076F46}"/>
    <hyperlink ref="CX7" r:id="rId61" display="R@" xr:uid="{02FF2DD1-C8A3-4E66-B74E-C7A459929495}"/>
    <hyperlink ref="CY7" r:id="rId62" display="R@" xr:uid="{9A831447-AE85-49CC-9AE8-159B94153E38}"/>
    <hyperlink ref="CZ7" r:id="rId63" display="R@" xr:uid="{166EA7BB-829C-43D7-AB6A-4B1B295803CE}"/>
    <hyperlink ref="DA7" r:id="rId64" display="R@" xr:uid="{BF5B3056-E472-4548-84A9-18F6C9AB1699}"/>
    <hyperlink ref="DB7" r:id="rId65" display="R@" xr:uid="{BDA0ECEF-C8B0-4F8F-9BF8-A90064084CD9}"/>
    <hyperlink ref="DE7" r:id="rId66" display="R@" xr:uid="{EFAB3EA4-2630-40F1-9CDD-BB16355AD29D}"/>
    <hyperlink ref="DF7" r:id="rId67" display="R@" xr:uid="{060C646F-D0B2-4721-9C9E-8483A515EE56}"/>
    <hyperlink ref="DG7" r:id="rId68" display="R@" xr:uid="{CCE866B9-334A-4012-990C-F9F60B811398}"/>
    <hyperlink ref="DH7" r:id="rId69" display="R@" xr:uid="{3E68CD5B-4AD7-426D-9D42-99480EFED271}"/>
    <hyperlink ref="DI7" r:id="rId70" display="R@" xr:uid="{9204A109-9F6F-4645-9409-7504DFFDE1C2}"/>
    <hyperlink ref="DJ7" r:id="rId71" display="R@" xr:uid="{57E07FBA-0C5B-49C4-A83C-84993D8BCC81}"/>
  </hyperlinks>
  <pageMargins left="0.7" right="0.7" top="0.75" bottom="0.75" header="0.3" footer="0.3"/>
  <drawing r:id="rId72"/>
  <tableParts count="1">
    <tablePart r:id="rId7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AC310-9D65-4F29-8ECB-A2C0F2D2565D}">
  <dimension ref="B2:T83"/>
  <sheetViews>
    <sheetView topLeftCell="A4" workbookViewId="0">
      <selection activeCell="E16" sqref="E16"/>
    </sheetView>
  </sheetViews>
  <sheetFormatPr defaultRowHeight="14.5" x14ac:dyDescent="0.35"/>
  <cols>
    <col min="2" max="2" width="6.7265625" style="6" bestFit="1" customWidth="1"/>
    <col min="3" max="3" width="19.1796875" style="2" bestFit="1" customWidth="1"/>
    <col min="4" max="4" width="12.1796875" customWidth="1"/>
    <col min="5" max="7" width="10" bestFit="1" customWidth="1"/>
    <col min="9" max="9" width="10" bestFit="1" customWidth="1"/>
    <col min="10" max="12" width="10" style="10" bestFit="1" customWidth="1"/>
    <col min="13" max="13" width="10" style="11" bestFit="1" customWidth="1"/>
    <col min="14" max="14" width="14.7265625" style="11" bestFit="1" customWidth="1"/>
    <col min="15" max="15" width="9.54296875" style="13" bestFit="1" customWidth="1"/>
    <col min="17" max="17" width="7.26953125" style="11" bestFit="1" customWidth="1"/>
    <col min="18" max="18" width="10.81640625" style="11" customWidth="1"/>
    <col min="19" max="19" width="9.1796875" style="11"/>
  </cols>
  <sheetData>
    <row r="2" spans="5:7" x14ac:dyDescent="0.35">
      <c r="E2" s="4" t="s">
        <v>10</v>
      </c>
      <c r="F2" s="5" t="s">
        <v>11</v>
      </c>
      <c r="G2" s="5"/>
    </row>
    <row r="3" spans="5:7" x14ac:dyDescent="0.35">
      <c r="E3">
        <v>7</v>
      </c>
      <c r="F3">
        <v>7</v>
      </c>
    </row>
    <row r="4" spans="5:7" x14ac:dyDescent="0.35">
      <c r="E4">
        <v>100</v>
      </c>
      <c r="F4">
        <v>7</v>
      </c>
    </row>
    <row r="5" spans="5:7" x14ac:dyDescent="0.35">
      <c r="E5">
        <v>100</v>
      </c>
      <c r="F5">
        <v>20</v>
      </c>
    </row>
    <row r="6" spans="5:7" x14ac:dyDescent="0.35">
      <c r="E6">
        <v>100</v>
      </c>
      <c r="F6">
        <v>100</v>
      </c>
    </row>
    <row r="7" spans="5:7" x14ac:dyDescent="0.35">
      <c r="E7">
        <v>20</v>
      </c>
      <c r="F7">
        <v>100</v>
      </c>
    </row>
    <row r="8" spans="5:7" x14ac:dyDescent="0.35">
      <c r="E8">
        <v>7</v>
      </c>
      <c r="F8">
        <v>100</v>
      </c>
    </row>
    <row r="10" spans="5:7" x14ac:dyDescent="0.35">
      <c r="E10" s="8" t="s">
        <v>10</v>
      </c>
      <c r="F10" s="9" t="s">
        <v>11</v>
      </c>
      <c r="G10" s="9"/>
    </row>
    <row r="11" spans="5:7" x14ac:dyDescent="0.35">
      <c r="E11" s="10">
        <f t="shared" ref="E11:F16" si="0">-0.2/(E3*1000)</f>
        <v>-2.8571428571428574E-5</v>
      </c>
      <c r="F11" s="10">
        <f t="shared" si="0"/>
        <v>-2.8571428571428574E-5</v>
      </c>
      <c r="G11" s="10"/>
    </row>
    <row r="12" spans="5:7" x14ac:dyDescent="0.35">
      <c r="E12" s="10">
        <f t="shared" si="0"/>
        <v>-1.9999999999999999E-6</v>
      </c>
      <c r="F12" s="10">
        <f t="shared" si="0"/>
        <v>-2.8571428571428574E-5</v>
      </c>
      <c r="G12" s="10"/>
    </row>
    <row r="13" spans="5:7" x14ac:dyDescent="0.35">
      <c r="E13" s="10">
        <f t="shared" si="0"/>
        <v>-1.9999999999999999E-6</v>
      </c>
      <c r="F13" s="10">
        <f t="shared" si="0"/>
        <v>-1.0000000000000001E-5</v>
      </c>
      <c r="G13" s="10"/>
    </row>
    <row r="14" spans="5:7" x14ac:dyDescent="0.35">
      <c r="E14" s="10">
        <f t="shared" si="0"/>
        <v>-1.9999999999999999E-6</v>
      </c>
      <c r="F14" s="10">
        <f t="shared" si="0"/>
        <v>-1.9999999999999999E-6</v>
      </c>
      <c r="G14" s="10"/>
    </row>
    <row r="15" spans="5:7" x14ac:dyDescent="0.35">
      <c r="E15" s="10">
        <f t="shared" si="0"/>
        <v>-1.0000000000000001E-5</v>
      </c>
      <c r="F15" s="10">
        <f t="shared" si="0"/>
        <v>-1.9999999999999999E-6</v>
      </c>
      <c r="G15" s="10"/>
    </row>
    <row r="16" spans="5:7" x14ac:dyDescent="0.35">
      <c r="E16" s="10">
        <f t="shared" si="0"/>
        <v>-2.8571428571428574E-5</v>
      </c>
      <c r="F16" s="10">
        <f t="shared" si="0"/>
        <v>-1.9999999999999999E-6</v>
      </c>
      <c r="G16" s="10"/>
    </row>
    <row r="19" spans="2:20" s="2" customFormat="1" x14ac:dyDescent="0.35">
      <c r="B19" s="3" t="s">
        <v>6</v>
      </c>
      <c r="C19" s="4" t="s">
        <v>23</v>
      </c>
      <c r="D19" s="3" t="s">
        <v>5</v>
      </c>
      <c r="E19" s="3" t="s">
        <v>0</v>
      </c>
      <c r="F19" s="3" t="s">
        <v>1</v>
      </c>
      <c r="G19" s="3" t="s">
        <v>2</v>
      </c>
      <c r="H19" s="3" t="s">
        <v>3</v>
      </c>
      <c r="I19" s="3" t="s">
        <v>4</v>
      </c>
      <c r="J19" s="8" t="s">
        <v>7</v>
      </c>
      <c r="K19" s="8" t="s">
        <v>8</v>
      </c>
      <c r="L19" s="8" t="s">
        <v>12</v>
      </c>
      <c r="M19" s="12" t="s">
        <v>9</v>
      </c>
      <c r="N19" s="12" t="s">
        <v>14</v>
      </c>
      <c r="O19" s="14" t="s">
        <v>15</v>
      </c>
      <c r="Q19" s="12"/>
      <c r="R19" s="12"/>
      <c r="S19" s="12" t="s">
        <v>24</v>
      </c>
      <c r="T19" s="14" t="s">
        <v>15</v>
      </c>
    </row>
    <row r="20" spans="2:20" x14ac:dyDescent="0.35">
      <c r="B20" s="6">
        <v>4</v>
      </c>
      <c r="C20" s="2" t="s">
        <v>18</v>
      </c>
      <c r="D20" s="6" t="str">
        <f t="shared" ref="D20:D51" si="1">LEFT(RIGHT(DEC2BIN($B20,6),6),1)</f>
        <v>0</v>
      </c>
      <c r="E20" s="6" t="str">
        <f t="shared" ref="E20:E51" si="2">LEFT(RIGHT(DEC2BIN($B20,6),5),1)</f>
        <v>0</v>
      </c>
      <c r="F20" s="6" t="str">
        <f t="shared" ref="F20:F51" si="3">LEFT(RIGHT(DEC2BIN($B20,6),4),1)</f>
        <v>0</v>
      </c>
      <c r="G20" s="6" t="str">
        <f t="shared" ref="G20:G51" si="4">LEFT(RIGHT(DEC2BIN($B20,6),3),1)</f>
        <v>1</v>
      </c>
      <c r="H20" s="6" t="str">
        <f t="shared" ref="H20:H51" si="5">LEFT(RIGHT(DEC2BIN($B20,6),2),1)</f>
        <v>0</v>
      </c>
      <c r="I20" s="6" t="str">
        <f t="shared" ref="I20:I51" si="6">LEFT(RIGHT(DEC2BIN($B20,6),1),1)</f>
        <v>0</v>
      </c>
      <c r="J20" s="10">
        <f t="shared" ref="J20:J51" si="7">(($D20*$E$11)+($E20*$E$12)+($F20*$E$13)+($G20*$E$14)+($H20*$E$15)+($I20*$E$16))</f>
        <v>-1.9999999999999999E-6</v>
      </c>
      <c r="K20" s="10">
        <f t="shared" ref="K20:K51" si="8">(($D20*$F$11)+($E20*$F$12)+($F20*$F$13)+($G20*$F$14)+($H20*$F$15)+($I20*$F$16))</f>
        <v>-1.9999999999999999E-6</v>
      </c>
      <c r="L20" s="10">
        <f t="shared" ref="L20:L51" si="9">(($D20*$G$11)+($E20*$G$12)+($F20*$G$13)+($G20*$G$14)+($H20*$G$15)+($I20*$G$16))</f>
        <v>0</v>
      </c>
      <c r="M20" s="11">
        <f>ROUND((Table35[[#This Row],[I1]]-Table35[[#This Row],[I2]])*1000000, 2)</f>
        <v>0</v>
      </c>
      <c r="N20" s="11" cm="1">
        <f t="array" ref="N20:N28" xml:space="preserve"> _xlfn.UNIQUE(M20:M83)</f>
        <v>0</v>
      </c>
      <c r="O20" s="13">
        <f>IF(ISBLANK(N20), "", COUNTIF($M$20:$M$83,N20))</f>
        <v>16</v>
      </c>
      <c r="Q20" s="11" cm="1">
        <f t="array" ref="Q20:Q83">_xlfn._xlws.SORT(Table35[I-diff])</f>
        <v>-34.57</v>
      </c>
      <c r="R20" s="11">
        <f>ROUND(Q21-Q20,2)</f>
        <v>0</v>
      </c>
      <c r="S20" s="11" cm="1">
        <f t="array" ref="S20:S23">_xlfn.UNIQUE(R20:R83)</f>
        <v>0</v>
      </c>
      <c r="T20" s="13">
        <f t="shared" ref="T20:T24" si="10">IF(OR(ISBLANK(S20), S20 = ""),"",COUNTIF($R$20:$R$83,S20))</f>
        <v>55</v>
      </c>
    </row>
    <row r="21" spans="2:20" x14ac:dyDescent="0.35">
      <c r="B21" s="6">
        <v>16</v>
      </c>
      <c r="C21" s="2" t="s">
        <v>21</v>
      </c>
      <c r="D21" s="6" t="str">
        <f t="shared" si="1"/>
        <v>0</v>
      </c>
      <c r="E21" s="6" t="str">
        <f t="shared" si="2"/>
        <v>1</v>
      </c>
      <c r="F21" s="6" t="str">
        <f t="shared" si="3"/>
        <v>0</v>
      </c>
      <c r="G21" s="6" t="str">
        <f t="shared" si="4"/>
        <v>0</v>
      </c>
      <c r="H21" s="6" t="str">
        <f t="shared" si="5"/>
        <v>0</v>
      </c>
      <c r="I21" s="6" t="str">
        <f t="shared" si="6"/>
        <v>0</v>
      </c>
      <c r="J21" s="10">
        <f t="shared" si="7"/>
        <v>-1.9999999999999999E-6</v>
      </c>
      <c r="K21" s="10">
        <f t="shared" si="8"/>
        <v>-2.8571428571428574E-5</v>
      </c>
      <c r="L21" s="10">
        <f t="shared" si="9"/>
        <v>0</v>
      </c>
      <c r="M21" s="11">
        <f>ROUND((Table35[[#This Row],[I1]]-Table35[[#This Row],[I2]])*1000000, 2)</f>
        <v>26.57</v>
      </c>
      <c r="N21" s="11">
        <v>26.57</v>
      </c>
      <c r="O21" s="13">
        <f t="shared" ref="O21:O41" si="11">IF(ISBLANK(N21), "", COUNTIF($M$20:$M$83,N21))</f>
        <v>8</v>
      </c>
      <c r="Q21" s="11">
        <v>-34.57</v>
      </c>
      <c r="R21" s="11">
        <f>IF(ISBLANK(Q22),"",ROUND(Q22-Q21,2))</f>
        <v>0</v>
      </c>
      <c r="S21" s="11">
        <v>8</v>
      </c>
      <c r="T21" s="13">
        <f t="shared" si="10"/>
        <v>6</v>
      </c>
    </row>
    <row r="22" spans="2:20" x14ac:dyDescent="0.35">
      <c r="B22" s="6">
        <v>24</v>
      </c>
      <c r="C22" s="2" t="s">
        <v>21</v>
      </c>
      <c r="D22" s="6" t="str">
        <f t="shared" si="1"/>
        <v>0</v>
      </c>
      <c r="E22" s="6" t="str">
        <f t="shared" si="2"/>
        <v>1</v>
      </c>
      <c r="F22" s="6" t="str">
        <f t="shared" si="3"/>
        <v>1</v>
      </c>
      <c r="G22" s="6" t="str">
        <f t="shared" si="4"/>
        <v>0</v>
      </c>
      <c r="H22" s="6" t="str">
        <f t="shared" si="5"/>
        <v>0</v>
      </c>
      <c r="I22" s="6" t="str">
        <f t="shared" si="6"/>
        <v>0</v>
      </c>
      <c r="J22" s="10">
        <f t="shared" si="7"/>
        <v>-3.9999999999999998E-6</v>
      </c>
      <c r="K22" s="10">
        <f t="shared" si="8"/>
        <v>-3.8571428571428577E-5</v>
      </c>
      <c r="L22" s="10">
        <f t="shared" si="9"/>
        <v>0</v>
      </c>
      <c r="M22" s="11">
        <f>ROUND((Table35[[#This Row],[I1]]-Table35[[#This Row],[I2]])*1000000, 2)</f>
        <v>34.57</v>
      </c>
      <c r="N22" s="11">
        <v>34.57</v>
      </c>
      <c r="O22" s="13">
        <f t="shared" si="11"/>
        <v>4</v>
      </c>
      <c r="Q22" s="11">
        <v>-34.57</v>
      </c>
      <c r="R22" s="11">
        <f t="shared" ref="R22:R82" si="12">IF(ISBLANK(Q23),"",ROUND(Q23-Q22,2))</f>
        <v>0</v>
      </c>
      <c r="S22" s="11">
        <v>10.57</v>
      </c>
      <c r="T22" s="13">
        <f t="shared" si="10"/>
        <v>2</v>
      </c>
    </row>
    <row r="23" spans="2:20" x14ac:dyDescent="0.35">
      <c r="B23" s="6">
        <v>28</v>
      </c>
      <c r="C23" s="2" t="s">
        <v>21</v>
      </c>
      <c r="D23" s="6" t="str">
        <f t="shared" si="1"/>
        <v>0</v>
      </c>
      <c r="E23" s="6" t="str">
        <f t="shared" si="2"/>
        <v>1</v>
      </c>
      <c r="F23" s="6" t="str">
        <f t="shared" si="3"/>
        <v>1</v>
      </c>
      <c r="G23" s="6" t="str">
        <f t="shared" si="4"/>
        <v>1</v>
      </c>
      <c r="H23" s="6" t="str">
        <f t="shared" si="5"/>
        <v>0</v>
      </c>
      <c r="I23" s="6" t="str">
        <f t="shared" si="6"/>
        <v>0</v>
      </c>
      <c r="J23" s="10">
        <f t="shared" si="7"/>
        <v>-6.0000000000000002E-6</v>
      </c>
      <c r="K23" s="10">
        <f t="shared" si="8"/>
        <v>-4.0571428571428578E-5</v>
      </c>
      <c r="L23" s="10">
        <f t="shared" si="9"/>
        <v>0</v>
      </c>
      <c r="M23" s="11">
        <f>ROUND((Table35[[#This Row],[I1]]-Table35[[#This Row],[I2]])*1000000, 2)</f>
        <v>34.57</v>
      </c>
      <c r="N23" s="11">
        <v>-26.57</v>
      </c>
      <c r="O23" s="13">
        <f t="shared" si="11"/>
        <v>8</v>
      </c>
      <c r="Q23" s="11">
        <v>-34.57</v>
      </c>
      <c r="R23" s="11">
        <f t="shared" si="12"/>
        <v>8</v>
      </c>
      <c r="S23" s="11" t="str">
        <v/>
      </c>
      <c r="T23" s="13" t="str">
        <f t="shared" si="10"/>
        <v/>
      </c>
    </row>
    <row r="24" spans="2:20" x14ac:dyDescent="0.35">
      <c r="B24" s="6">
        <v>0</v>
      </c>
      <c r="C24" s="2" t="s">
        <v>16</v>
      </c>
      <c r="D24" s="6" t="str">
        <f t="shared" si="1"/>
        <v>0</v>
      </c>
      <c r="E24" s="6" t="str">
        <f t="shared" si="2"/>
        <v>0</v>
      </c>
      <c r="F24" s="6" t="str">
        <f t="shared" si="3"/>
        <v>0</v>
      </c>
      <c r="G24" s="6" t="str">
        <f t="shared" si="4"/>
        <v>0</v>
      </c>
      <c r="H24" s="6" t="str">
        <f t="shared" si="5"/>
        <v>0</v>
      </c>
      <c r="I24" s="6" t="str">
        <f t="shared" si="6"/>
        <v>0</v>
      </c>
      <c r="J24" s="10">
        <f t="shared" si="7"/>
        <v>0</v>
      </c>
      <c r="K24" s="10">
        <f t="shared" si="8"/>
        <v>0</v>
      </c>
      <c r="L24" s="10">
        <f t="shared" si="9"/>
        <v>0</v>
      </c>
      <c r="M24" s="11">
        <f>ROUND((Table35[[#This Row],[I1]]-Table35[[#This Row],[I2]])*1000000, 2)</f>
        <v>0</v>
      </c>
      <c r="N24" s="11">
        <v>-34.57</v>
      </c>
      <c r="O24" s="13">
        <f t="shared" si="11"/>
        <v>4</v>
      </c>
      <c r="Q24" s="11">
        <v>-26.57</v>
      </c>
      <c r="R24" s="11">
        <f t="shared" si="12"/>
        <v>0</v>
      </c>
      <c r="T24" s="13" t="str">
        <f t="shared" si="10"/>
        <v/>
      </c>
    </row>
    <row r="25" spans="2:20" hidden="1" x14ac:dyDescent="0.35">
      <c r="B25" s="6">
        <v>5</v>
      </c>
      <c r="C25" s="2" t="s">
        <v>20</v>
      </c>
      <c r="D25" s="6" t="str">
        <f t="shared" si="1"/>
        <v>0</v>
      </c>
      <c r="E25" s="6" t="str">
        <f t="shared" si="2"/>
        <v>0</v>
      </c>
      <c r="F25" s="6" t="str">
        <f t="shared" si="3"/>
        <v>0</v>
      </c>
      <c r="G25" s="6" t="str">
        <f t="shared" si="4"/>
        <v>1</v>
      </c>
      <c r="H25" s="6" t="str">
        <f t="shared" si="5"/>
        <v>0</v>
      </c>
      <c r="I25" s="6" t="str">
        <f t="shared" si="6"/>
        <v>1</v>
      </c>
      <c r="J25" s="10">
        <f t="shared" si="7"/>
        <v>-3.0571428571428572E-5</v>
      </c>
      <c r="K25" s="10">
        <f t="shared" si="8"/>
        <v>-3.9999999999999998E-6</v>
      </c>
      <c r="L25" s="10">
        <f t="shared" si="9"/>
        <v>0</v>
      </c>
      <c r="M25" s="11">
        <f>ROUND((Table35[[#This Row],[I1]]-Table35[[#This Row],[I2]])*1000000, 2)</f>
        <v>-26.57</v>
      </c>
      <c r="N25" s="11">
        <v>-18.57</v>
      </c>
      <c r="O25" s="13">
        <f t="shared" si="11"/>
        <v>4</v>
      </c>
      <c r="Q25" s="11">
        <v>-26.57</v>
      </c>
      <c r="R25" s="11">
        <f t="shared" si="12"/>
        <v>0</v>
      </c>
      <c r="T25" s="13" t="str">
        <f>IF(OR(ISBLANK(S25), S25 = ""),"",COUNTIF($R$20:$R$83,S25))</f>
        <v/>
      </c>
    </row>
    <row r="26" spans="2:20" x14ac:dyDescent="0.35">
      <c r="B26" s="6">
        <v>1</v>
      </c>
      <c r="C26" s="2" t="s">
        <v>16</v>
      </c>
      <c r="D26" s="6" t="str">
        <f t="shared" si="1"/>
        <v>0</v>
      </c>
      <c r="E26" s="6" t="str">
        <f t="shared" si="2"/>
        <v>0</v>
      </c>
      <c r="F26" s="6" t="str">
        <f t="shared" si="3"/>
        <v>0</v>
      </c>
      <c r="G26" s="6" t="str">
        <f t="shared" si="4"/>
        <v>0</v>
      </c>
      <c r="H26" s="6" t="str">
        <f t="shared" si="5"/>
        <v>0</v>
      </c>
      <c r="I26" s="6" t="str">
        <f t="shared" si="6"/>
        <v>1</v>
      </c>
      <c r="J26" s="10">
        <f t="shared" si="7"/>
        <v>-2.8571428571428574E-5</v>
      </c>
      <c r="K26" s="10">
        <f t="shared" si="8"/>
        <v>-1.9999999999999999E-6</v>
      </c>
      <c r="L26" s="10">
        <f t="shared" si="9"/>
        <v>0</v>
      </c>
      <c r="M26" s="11">
        <f>ROUND((Table35[[#This Row],[I1]]-Table35[[#This Row],[I2]])*1000000, 2)</f>
        <v>-26.57</v>
      </c>
      <c r="N26" s="11">
        <v>18.57</v>
      </c>
      <c r="O26" s="13">
        <f t="shared" si="11"/>
        <v>4</v>
      </c>
      <c r="Q26" s="11">
        <v>-26.57</v>
      </c>
      <c r="R26" s="11">
        <f t="shared" si="12"/>
        <v>0</v>
      </c>
      <c r="T26" s="13" t="str">
        <f t="shared" ref="T26:T83" si="13">IF(OR(ISBLANK(S26), S26 = ""),"",COUNTIF($R$20:$R$83,S26))</f>
        <v/>
      </c>
    </row>
    <row r="27" spans="2:20" x14ac:dyDescent="0.35">
      <c r="B27" s="6">
        <v>3</v>
      </c>
      <c r="C27" s="2" t="s">
        <v>16</v>
      </c>
      <c r="D27" s="6" t="str">
        <f t="shared" si="1"/>
        <v>0</v>
      </c>
      <c r="E27" s="6" t="str">
        <f t="shared" si="2"/>
        <v>0</v>
      </c>
      <c r="F27" s="6" t="str">
        <f t="shared" si="3"/>
        <v>0</v>
      </c>
      <c r="G27" s="6" t="str">
        <f t="shared" si="4"/>
        <v>0</v>
      </c>
      <c r="H27" s="6" t="str">
        <f t="shared" si="5"/>
        <v>1</v>
      </c>
      <c r="I27" s="6" t="str">
        <f t="shared" si="6"/>
        <v>1</v>
      </c>
      <c r="J27" s="10">
        <f t="shared" si="7"/>
        <v>-3.8571428571428577E-5</v>
      </c>
      <c r="K27" s="10">
        <f t="shared" si="8"/>
        <v>-3.9999999999999998E-6</v>
      </c>
      <c r="L27" s="10">
        <f t="shared" si="9"/>
        <v>0</v>
      </c>
      <c r="M27" s="11">
        <f>ROUND((Table35[[#This Row],[I1]]-Table35[[#This Row],[I2]])*1000000, 2)</f>
        <v>-34.57</v>
      </c>
      <c r="N27" s="11">
        <v>-8</v>
      </c>
      <c r="O27" s="13">
        <f t="shared" si="11"/>
        <v>8</v>
      </c>
      <c r="Q27" s="11">
        <v>-26.57</v>
      </c>
      <c r="R27" s="11">
        <f t="shared" si="12"/>
        <v>0</v>
      </c>
      <c r="T27" s="13" t="str">
        <f t="shared" si="13"/>
        <v/>
      </c>
    </row>
    <row r="28" spans="2:20" x14ac:dyDescent="0.35">
      <c r="B28" s="6">
        <v>7</v>
      </c>
      <c r="C28" s="2" t="s">
        <v>16</v>
      </c>
      <c r="D28" s="6" t="str">
        <f t="shared" si="1"/>
        <v>0</v>
      </c>
      <c r="E28" s="6" t="str">
        <f t="shared" si="2"/>
        <v>0</v>
      </c>
      <c r="F28" s="6" t="str">
        <f t="shared" si="3"/>
        <v>0</v>
      </c>
      <c r="G28" s="6" t="str">
        <f t="shared" si="4"/>
        <v>1</v>
      </c>
      <c r="H28" s="6" t="str">
        <f t="shared" si="5"/>
        <v>1</v>
      </c>
      <c r="I28" s="6" t="str">
        <f t="shared" si="6"/>
        <v>1</v>
      </c>
      <c r="J28" s="10">
        <f t="shared" si="7"/>
        <v>-4.0571428571428578E-5</v>
      </c>
      <c r="K28" s="10">
        <f t="shared" si="8"/>
        <v>-6.0000000000000002E-6</v>
      </c>
      <c r="L28" s="10">
        <f t="shared" si="9"/>
        <v>0</v>
      </c>
      <c r="M28" s="11">
        <f>ROUND((Table35[[#This Row],[I1]]-Table35[[#This Row],[I2]])*1000000, 2)</f>
        <v>-34.57</v>
      </c>
      <c r="N28" s="11">
        <v>8</v>
      </c>
      <c r="O28" s="13">
        <f t="shared" si="11"/>
        <v>8</v>
      </c>
      <c r="Q28" s="11">
        <v>-26.57</v>
      </c>
      <c r="R28" s="11">
        <f t="shared" si="12"/>
        <v>0</v>
      </c>
      <c r="T28" s="13" t="str">
        <f t="shared" si="13"/>
        <v/>
      </c>
    </row>
    <row r="29" spans="2:20" ht="15" hidden="1" customHeight="1" x14ac:dyDescent="0.35">
      <c r="B29" s="6">
        <v>9</v>
      </c>
      <c r="C29" s="2" t="s">
        <v>20</v>
      </c>
      <c r="D29" s="6" t="str">
        <f t="shared" si="1"/>
        <v>0</v>
      </c>
      <c r="E29" s="6" t="str">
        <f t="shared" si="2"/>
        <v>0</v>
      </c>
      <c r="F29" s="6" t="str">
        <f t="shared" si="3"/>
        <v>1</v>
      </c>
      <c r="G29" s="6" t="str">
        <f t="shared" si="4"/>
        <v>0</v>
      </c>
      <c r="H29" s="6" t="str">
        <f t="shared" si="5"/>
        <v>0</v>
      </c>
      <c r="I29" s="6" t="str">
        <f t="shared" si="6"/>
        <v>1</v>
      </c>
      <c r="J29" s="10">
        <f t="shared" si="7"/>
        <v>-3.0571428571428572E-5</v>
      </c>
      <c r="K29" s="10">
        <f t="shared" si="8"/>
        <v>-1.2E-5</v>
      </c>
      <c r="L29" s="10">
        <f t="shared" si="9"/>
        <v>0</v>
      </c>
      <c r="M29" s="11">
        <f>ROUND((Table35[[#This Row],[I1]]-Table35[[#This Row],[I2]])*1000000, 2)</f>
        <v>-18.57</v>
      </c>
      <c r="O29" s="13" t="str">
        <f t="shared" si="11"/>
        <v/>
      </c>
      <c r="Q29" s="11">
        <v>-26.57</v>
      </c>
      <c r="R29" s="11">
        <f t="shared" si="12"/>
        <v>0</v>
      </c>
      <c r="T29" s="13" t="str">
        <f t="shared" si="13"/>
        <v/>
      </c>
    </row>
    <row r="30" spans="2:20" ht="15" hidden="1" customHeight="1" x14ac:dyDescent="0.35">
      <c r="B30" s="6">
        <v>10</v>
      </c>
      <c r="C30" s="2" t="s">
        <v>20</v>
      </c>
      <c r="D30" s="6" t="str">
        <f t="shared" si="1"/>
        <v>0</v>
      </c>
      <c r="E30" s="6" t="str">
        <f t="shared" si="2"/>
        <v>0</v>
      </c>
      <c r="F30" s="6" t="str">
        <f t="shared" si="3"/>
        <v>1</v>
      </c>
      <c r="G30" s="6" t="str">
        <f t="shared" si="4"/>
        <v>0</v>
      </c>
      <c r="H30" s="6" t="str">
        <f t="shared" si="5"/>
        <v>1</v>
      </c>
      <c r="I30" s="6" t="str">
        <f t="shared" si="6"/>
        <v>0</v>
      </c>
      <c r="J30" s="10">
        <f t="shared" si="7"/>
        <v>-1.2E-5</v>
      </c>
      <c r="K30" s="10">
        <f t="shared" si="8"/>
        <v>-1.2E-5</v>
      </c>
      <c r="L30" s="10">
        <f t="shared" si="9"/>
        <v>0</v>
      </c>
      <c r="M30" s="11">
        <f>ROUND((Table35[[#This Row],[I1]]-Table35[[#This Row],[I2]])*1000000, 2)</f>
        <v>0</v>
      </c>
      <c r="O30" s="13" t="str">
        <f t="shared" si="11"/>
        <v/>
      </c>
      <c r="Q30" s="11">
        <v>-26.57</v>
      </c>
      <c r="R30" s="11">
        <f t="shared" si="12"/>
        <v>0</v>
      </c>
      <c r="T30" s="13" t="str">
        <f t="shared" si="13"/>
        <v/>
      </c>
    </row>
    <row r="31" spans="2:20" ht="15" hidden="1" customHeight="1" x14ac:dyDescent="0.35">
      <c r="B31" s="6">
        <v>11</v>
      </c>
      <c r="C31" s="2" t="s">
        <v>20</v>
      </c>
      <c r="D31" s="6" t="str">
        <f t="shared" si="1"/>
        <v>0</v>
      </c>
      <c r="E31" s="6" t="str">
        <f t="shared" si="2"/>
        <v>0</v>
      </c>
      <c r="F31" s="6" t="str">
        <f t="shared" si="3"/>
        <v>1</v>
      </c>
      <c r="G31" s="6" t="str">
        <f t="shared" si="4"/>
        <v>0</v>
      </c>
      <c r="H31" s="6" t="str">
        <f t="shared" si="5"/>
        <v>1</v>
      </c>
      <c r="I31" s="6" t="str">
        <f t="shared" si="6"/>
        <v>1</v>
      </c>
      <c r="J31" s="10">
        <f t="shared" si="7"/>
        <v>-4.0571428571428578E-5</v>
      </c>
      <c r="K31" s="10">
        <f t="shared" si="8"/>
        <v>-1.4E-5</v>
      </c>
      <c r="L31" s="10">
        <f t="shared" si="9"/>
        <v>0</v>
      </c>
      <c r="M31" s="11">
        <f>ROUND((Table35[[#This Row],[I1]]-Table35[[#This Row],[I2]])*1000000, 2)</f>
        <v>-26.57</v>
      </c>
      <c r="O31" s="13" t="str">
        <f t="shared" si="11"/>
        <v/>
      </c>
      <c r="Q31" s="11">
        <v>-26.57</v>
      </c>
      <c r="R31" s="11">
        <f t="shared" si="12"/>
        <v>8</v>
      </c>
      <c r="T31" s="13" t="str">
        <f t="shared" si="13"/>
        <v/>
      </c>
    </row>
    <row r="32" spans="2:20" x14ac:dyDescent="0.35">
      <c r="B32" s="6">
        <v>15</v>
      </c>
      <c r="C32" s="2" t="s">
        <v>16</v>
      </c>
      <c r="D32" s="6" t="str">
        <f t="shared" si="1"/>
        <v>0</v>
      </c>
      <c r="E32" s="6" t="str">
        <f t="shared" si="2"/>
        <v>0</v>
      </c>
      <c r="F32" s="6" t="str">
        <f t="shared" si="3"/>
        <v>1</v>
      </c>
      <c r="G32" s="6" t="str">
        <f t="shared" si="4"/>
        <v>1</v>
      </c>
      <c r="H32" s="6" t="str">
        <f t="shared" si="5"/>
        <v>1</v>
      </c>
      <c r="I32" s="6" t="str">
        <f t="shared" si="6"/>
        <v>1</v>
      </c>
      <c r="J32" s="10">
        <f t="shared" si="7"/>
        <v>-4.2571428571428572E-5</v>
      </c>
      <c r="K32" s="10">
        <f t="shared" si="8"/>
        <v>-1.5999999999999999E-5</v>
      </c>
      <c r="L32" s="10">
        <f t="shared" si="9"/>
        <v>0</v>
      </c>
      <c r="M32" s="11">
        <f>ROUND((Table35[[#This Row],[I1]]-Table35[[#This Row],[I2]])*1000000, 2)</f>
        <v>-26.57</v>
      </c>
      <c r="O32" s="13" t="str">
        <f t="shared" si="11"/>
        <v/>
      </c>
      <c r="Q32" s="11">
        <v>-18.57</v>
      </c>
      <c r="R32" s="11">
        <f t="shared" si="12"/>
        <v>0</v>
      </c>
      <c r="T32" s="13" t="str">
        <f t="shared" si="13"/>
        <v/>
      </c>
    </row>
    <row r="33" spans="2:20" ht="15" hidden="1" customHeight="1" x14ac:dyDescent="0.35">
      <c r="B33" s="6">
        <v>13</v>
      </c>
      <c r="C33" s="2" t="s">
        <v>20</v>
      </c>
      <c r="D33" s="6" t="str">
        <f t="shared" si="1"/>
        <v>0</v>
      </c>
      <c r="E33" s="6" t="str">
        <f t="shared" si="2"/>
        <v>0</v>
      </c>
      <c r="F33" s="6" t="str">
        <f t="shared" si="3"/>
        <v>1</v>
      </c>
      <c r="G33" s="6" t="str">
        <f t="shared" si="4"/>
        <v>1</v>
      </c>
      <c r="H33" s="6" t="str">
        <f t="shared" si="5"/>
        <v>0</v>
      </c>
      <c r="I33" s="6" t="str">
        <f t="shared" si="6"/>
        <v>1</v>
      </c>
      <c r="J33" s="10">
        <f t="shared" si="7"/>
        <v>-3.2571428571428573E-5</v>
      </c>
      <c r="K33" s="10">
        <f t="shared" si="8"/>
        <v>-1.4E-5</v>
      </c>
      <c r="L33" s="10">
        <f t="shared" si="9"/>
        <v>0</v>
      </c>
      <c r="M33" s="11">
        <f>ROUND((Table35[[#This Row],[I1]]-Table35[[#This Row],[I2]])*1000000, 2)</f>
        <v>-18.57</v>
      </c>
      <c r="O33" s="13" t="str">
        <f t="shared" si="11"/>
        <v/>
      </c>
      <c r="Q33" s="11">
        <v>-18.57</v>
      </c>
      <c r="R33" s="11">
        <f t="shared" si="12"/>
        <v>0</v>
      </c>
      <c r="T33" s="13" t="str">
        <f t="shared" si="13"/>
        <v/>
      </c>
    </row>
    <row r="34" spans="2:20" x14ac:dyDescent="0.35">
      <c r="B34" s="6">
        <v>31</v>
      </c>
      <c r="C34" s="2" t="s">
        <v>16</v>
      </c>
      <c r="D34" s="6" t="str">
        <f t="shared" si="1"/>
        <v>0</v>
      </c>
      <c r="E34" s="6" t="str">
        <f t="shared" si="2"/>
        <v>1</v>
      </c>
      <c r="F34" s="6" t="str">
        <f t="shared" si="3"/>
        <v>1</v>
      </c>
      <c r="G34" s="6" t="str">
        <f t="shared" si="4"/>
        <v>1</v>
      </c>
      <c r="H34" s="6" t="str">
        <f t="shared" si="5"/>
        <v>1</v>
      </c>
      <c r="I34" s="6" t="str">
        <f t="shared" si="6"/>
        <v>1</v>
      </c>
      <c r="J34" s="10">
        <f t="shared" si="7"/>
        <v>-4.457142857142858E-5</v>
      </c>
      <c r="K34" s="10">
        <f t="shared" si="8"/>
        <v>-4.457142857142858E-5</v>
      </c>
      <c r="L34" s="10">
        <f t="shared" si="9"/>
        <v>0</v>
      </c>
      <c r="M34" s="11">
        <f>ROUND((Table35[[#This Row],[I1]]-Table35[[#This Row],[I2]])*1000000, 2)</f>
        <v>0</v>
      </c>
      <c r="O34" s="13" t="str">
        <f t="shared" si="11"/>
        <v/>
      </c>
      <c r="Q34" s="11">
        <v>-18.57</v>
      </c>
      <c r="R34" s="11">
        <f t="shared" si="12"/>
        <v>0</v>
      </c>
      <c r="T34" s="13" t="str">
        <f t="shared" si="13"/>
        <v/>
      </c>
    </row>
    <row r="35" spans="2:20" x14ac:dyDescent="0.35">
      <c r="B35" s="6">
        <v>32</v>
      </c>
      <c r="C35" s="2" t="s">
        <v>22</v>
      </c>
      <c r="D35" s="6" t="str">
        <f t="shared" si="1"/>
        <v>1</v>
      </c>
      <c r="E35" s="6" t="str">
        <f t="shared" si="2"/>
        <v>0</v>
      </c>
      <c r="F35" s="6" t="str">
        <f t="shared" si="3"/>
        <v>0</v>
      </c>
      <c r="G35" s="6" t="str">
        <f t="shared" si="4"/>
        <v>0</v>
      </c>
      <c r="H35" s="6" t="str">
        <f t="shared" si="5"/>
        <v>0</v>
      </c>
      <c r="I35" s="6" t="str">
        <f t="shared" si="6"/>
        <v>0</v>
      </c>
      <c r="J35" s="10">
        <f t="shared" si="7"/>
        <v>-2.8571428571428574E-5</v>
      </c>
      <c r="K35" s="10">
        <f t="shared" si="8"/>
        <v>-2.8571428571428574E-5</v>
      </c>
      <c r="L35" s="10">
        <f t="shared" si="9"/>
        <v>0</v>
      </c>
      <c r="M35" s="11">
        <f>ROUND((Table35[[#This Row],[I1]]-Table35[[#This Row],[I2]])*1000000, 2)</f>
        <v>0</v>
      </c>
      <c r="O35" s="13" t="str">
        <f t="shared" si="11"/>
        <v/>
      </c>
      <c r="Q35" s="11">
        <v>-18.57</v>
      </c>
      <c r="R35" s="11">
        <f t="shared" si="12"/>
        <v>10.57</v>
      </c>
      <c r="T35" s="13" t="str">
        <f t="shared" si="13"/>
        <v/>
      </c>
    </row>
    <row r="36" spans="2:20" x14ac:dyDescent="0.35">
      <c r="B36" s="6">
        <v>33</v>
      </c>
      <c r="C36" s="2" t="s">
        <v>22</v>
      </c>
      <c r="D36" s="6" t="str">
        <f t="shared" si="1"/>
        <v>1</v>
      </c>
      <c r="E36" s="6" t="str">
        <f t="shared" si="2"/>
        <v>0</v>
      </c>
      <c r="F36" s="6" t="str">
        <f t="shared" si="3"/>
        <v>0</v>
      </c>
      <c r="G36" s="6" t="str">
        <f t="shared" si="4"/>
        <v>0</v>
      </c>
      <c r="H36" s="6" t="str">
        <f t="shared" si="5"/>
        <v>0</v>
      </c>
      <c r="I36" s="6" t="str">
        <f t="shared" si="6"/>
        <v>1</v>
      </c>
      <c r="J36" s="10">
        <f t="shared" si="7"/>
        <v>-5.7142857142857148E-5</v>
      </c>
      <c r="K36" s="10">
        <f t="shared" si="8"/>
        <v>-3.0571428571428572E-5</v>
      </c>
      <c r="L36" s="10">
        <f t="shared" si="9"/>
        <v>0</v>
      </c>
      <c r="M36" s="11">
        <f>ROUND((Table35[[#This Row],[I1]]-Table35[[#This Row],[I2]])*1000000, 2)</f>
        <v>-26.57</v>
      </c>
      <c r="O36" s="13" t="str">
        <f t="shared" si="11"/>
        <v/>
      </c>
      <c r="Q36" s="11">
        <v>-8</v>
      </c>
      <c r="R36" s="11">
        <f t="shared" si="12"/>
        <v>0</v>
      </c>
      <c r="T36" s="13" t="str">
        <f t="shared" si="13"/>
        <v/>
      </c>
    </row>
    <row r="37" spans="2:20" ht="15" hidden="1" customHeight="1" x14ac:dyDescent="0.35">
      <c r="B37" s="6">
        <v>17</v>
      </c>
      <c r="C37" s="2" t="s">
        <v>20</v>
      </c>
      <c r="D37" s="6" t="str">
        <f t="shared" si="1"/>
        <v>0</v>
      </c>
      <c r="E37" s="6" t="str">
        <f t="shared" si="2"/>
        <v>1</v>
      </c>
      <c r="F37" s="6" t="str">
        <f t="shared" si="3"/>
        <v>0</v>
      </c>
      <c r="G37" s="6" t="str">
        <f t="shared" si="4"/>
        <v>0</v>
      </c>
      <c r="H37" s="6" t="str">
        <f t="shared" si="5"/>
        <v>0</v>
      </c>
      <c r="I37" s="6" t="str">
        <f t="shared" si="6"/>
        <v>1</v>
      </c>
      <c r="J37" s="10">
        <f t="shared" si="7"/>
        <v>-3.0571428571428572E-5</v>
      </c>
      <c r="K37" s="10">
        <f t="shared" si="8"/>
        <v>-3.0571428571428572E-5</v>
      </c>
      <c r="L37" s="10">
        <f t="shared" si="9"/>
        <v>0</v>
      </c>
      <c r="M37" s="11">
        <f>ROUND((Table35[[#This Row],[I1]]-Table35[[#This Row],[I2]])*1000000, 2)</f>
        <v>0</v>
      </c>
      <c r="O37" s="13" t="str">
        <f t="shared" si="11"/>
        <v/>
      </c>
      <c r="Q37" s="11">
        <v>-8</v>
      </c>
      <c r="R37" s="11">
        <f t="shared" si="12"/>
        <v>0</v>
      </c>
      <c r="T37" s="13" t="str">
        <f t="shared" si="13"/>
        <v/>
      </c>
    </row>
    <row r="38" spans="2:20" ht="15" hidden="1" customHeight="1" x14ac:dyDescent="0.35">
      <c r="B38" s="6">
        <v>18</v>
      </c>
      <c r="C38" s="2" t="s">
        <v>20</v>
      </c>
      <c r="D38" s="6" t="str">
        <f t="shared" si="1"/>
        <v>0</v>
      </c>
      <c r="E38" s="6" t="str">
        <f t="shared" si="2"/>
        <v>1</v>
      </c>
      <c r="F38" s="6" t="str">
        <f t="shared" si="3"/>
        <v>0</v>
      </c>
      <c r="G38" s="6" t="str">
        <f t="shared" si="4"/>
        <v>0</v>
      </c>
      <c r="H38" s="6" t="str">
        <f t="shared" si="5"/>
        <v>1</v>
      </c>
      <c r="I38" s="6" t="str">
        <f t="shared" si="6"/>
        <v>0</v>
      </c>
      <c r="J38" s="10">
        <f t="shared" si="7"/>
        <v>-1.2E-5</v>
      </c>
      <c r="K38" s="10">
        <f t="shared" si="8"/>
        <v>-3.0571428571428572E-5</v>
      </c>
      <c r="L38" s="10">
        <f t="shared" si="9"/>
        <v>0</v>
      </c>
      <c r="M38" s="11">
        <f>ROUND((Table35[[#This Row],[I1]]-Table35[[#This Row],[I2]])*1000000, 2)</f>
        <v>18.57</v>
      </c>
      <c r="O38" s="13" t="str">
        <f t="shared" si="11"/>
        <v/>
      </c>
      <c r="Q38" s="11">
        <v>-8</v>
      </c>
      <c r="R38" s="11">
        <f t="shared" si="12"/>
        <v>0</v>
      </c>
      <c r="T38" s="13" t="str">
        <f t="shared" si="13"/>
        <v/>
      </c>
    </row>
    <row r="39" spans="2:20" ht="15" hidden="1" customHeight="1" x14ac:dyDescent="0.35">
      <c r="B39" s="6">
        <v>19</v>
      </c>
      <c r="C39" s="2" t="s">
        <v>20</v>
      </c>
      <c r="D39" s="6" t="str">
        <f t="shared" si="1"/>
        <v>0</v>
      </c>
      <c r="E39" s="6" t="str">
        <f t="shared" si="2"/>
        <v>1</v>
      </c>
      <c r="F39" s="6" t="str">
        <f t="shared" si="3"/>
        <v>0</v>
      </c>
      <c r="G39" s="6" t="str">
        <f t="shared" si="4"/>
        <v>0</v>
      </c>
      <c r="H39" s="6" t="str">
        <f t="shared" si="5"/>
        <v>1</v>
      </c>
      <c r="I39" s="6" t="str">
        <f t="shared" si="6"/>
        <v>1</v>
      </c>
      <c r="J39" s="10">
        <f t="shared" si="7"/>
        <v>-4.0571428571428578E-5</v>
      </c>
      <c r="K39" s="10">
        <f t="shared" si="8"/>
        <v>-3.2571428571428573E-5</v>
      </c>
      <c r="L39" s="10">
        <f t="shared" si="9"/>
        <v>0</v>
      </c>
      <c r="M39" s="11">
        <f>ROUND((Table35[[#This Row],[I1]]-Table35[[#This Row],[I2]])*1000000, 2)</f>
        <v>-8</v>
      </c>
      <c r="O39" s="13" t="str">
        <f t="shared" si="11"/>
        <v/>
      </c>
      <c r="Q39" s="11">
        <v>-8</v>
      </c>
      <c r="R39" s="11">
        <f t="shared" si="12"/>
        <v>0</v>
      </c>
      <c r="T39" s="13" t="str">
        <f t="shared" si="13"/>
        <v/>
      </c>
    </row>
    <row r="40" spans="2:20" ht="15" hidden="1" customHeight="1" x14ac:dyDescent="0.35">
      <c r="B40" s="6">
        <v>20</v>
      </c>
      <c r="C40" s="2" t="s">
        <v>20</v>
      </c>
      <c r="D40" s="6" t="str">
        <f t="shared" si="1"/>
        <v>0</v>
      </c>
      <c r="E40" s="6" t="str">
        <f t="shared" si="2"/>
        <v>1</v>
      </c>
      <c r="F40" s="6" t="str">
        <f t="shared" si="3"/>
        <v>0</v>
      </c>
      <c r="G40" s="6" t="str">
        <f t="shared" si="4"/>
        <v>1</v>
      </c>
      <c r="H40" s="6" t="str">
        <f t="shared" si="5"/>
        <v>0</v>
      </c>
      <c r="I40" s="6" t="str">
        <f t="shared" si="6"/>
        <v>0</v>
      </c>
      <c r="J40" s="10">
        <f t="shared" si="7"/>
        <v>-3.9999999999999998E-6</v>
      </c>
      <c r="K40" s="10">
        <f t="shared" si="8"/>
        <v>-3.0571428571428572E-5</v>
      </c>
      <c r="L40" s="10">
        <f t="shared" si="9"/>
        <v>0</v>
      </c>
      <c r="M40" s="11">
        <f>ROUND((Table35[[#This Row],[I1]]-Table35[[#This Row],[I2]])*1000000, 2)</f>
        <v>26.57</v>
      </c>
      <c r="O40" s="13" t="str">
        <f t="shared" si="11"/>
        <v/>
      </c>
      <c r="Q40" s="11">
        <v>-8</v>
      </c>
      <c r="R40" s="11">
        <f t="shared" si="12"/>
        <v>0</v>
      </c>
      <c r="T40" s="13" t="str">
        <f t="shared" si="13"/>
        <v/>
      </c>
    </row>
    <row r="41" spans="2:20" ht="15" hidden="1" customHeight="1" x14ac:dyDescent="0.35">
      <c r="B41" s="6">
        <v>21</v>
      </c>
      <c r="C41" s="2" t="s">
        <v>20</v>
      </c>
      <c r="D41" s="6" t="str">
        <f t="shared" si="1"/>
        <v>0</v>
      </c>
      <c r="E41" s="6" t="str">
        <f t="shared" si="2"/>
        <v>1</v>
      </c>
      <c r="F41" s="6" t="str">
        <f t="shared" si="3"/>
        <v>0</v>
      </c>
      <c r="G41" s="6" t="str">
        <f t="shared" si="4"/>
        <v>1</v>
      </c>
      <c r="H41" s="6" t="str">
        <f t="shared" si="5"/>
        <v>0</v>
      </c>
      <c r="I41" s="6" t="str">
        <f t="shared" si="6"/>
        <v>1</v>
      </c>
      <c r="J41" s="10">
        <f t="shared" si="7"/>
        <v>-3.2571428571428573E-5</v>
      </c>
      <c r="K41" s="10">
        <f t="shared" si="8"/>
        <v>-3.2571428571428573E-5</v>
      </c>
      <c r="L41" s="10">
        <f t="shared" si="9"/>
        <v>0</v>
      </c>
      <c r="M41" s="11">
        <f>ROUND((Table35[[#This Row],[I1]]-Table35[[#This Row],[I2]])*1000000, 2)</f>
        <v>0</v>
      </c>
      <c r="O41" s="13" t="str">
        <f t="shared" si="11"/>
        <v/>
      </c>
      <c r="Q41" s="11">
        <v>-8</v>
      </c>
      <c r="R41" s="11">
        <f t="shared" si="12"/>
        <v>0</v>
      </c>
      <c r="T41" s="13" t="str">
        <f t="shared" si="13"/>
        <v/>
      </c>
    </row>
    <row r="42" spans="2:20" ht="15" hidden="1" customHeight="1" x14ac:dyDescent="0.35">
      <c r="B42" s="6">
        <v>22</v>
      </c>
      <c r="C42" s="2" t="s">
        <v>20</v>
      </c>
      <c r="D42" s="6" t="str">
        <f t="shared" si="1"/>
        <v>0</v>
      </c>
      <c r="E42" s="6" t="str">
        <f t="shared" si="2"/>
        <v>1</v>
      </c>
      <c r="F42" s="6" t="str">
        <f t="shared" si="3"/>
        <v>0</v>
      </c>
      <c r="G42" s="6" t="str">
        <f t="shared" si="4"/>
        <v>1</v>
      </c>
      <c r="H42" s="6" t="str">
        <f t="shared" si="5"/>
        <v>1</v>
      </c>
      <c r="I42" s="6" t="str">
        <f t="shared" si="6"/>
        <v>0</v>
      </c>
      <c r="J42" s="10">
        <f t="shared" si="7"/>
        <v>-1.4000000000000001E-5</v>
      </c>
      <c r="K42" s="10">
        <f t="shared" si="8"/>
        <v>-3.2571428571428573E-5</v>
      </c>
      <c r="L42" s="10">
        <f t="shared" si="9"/>
        <v>0</v>
      </c>
      <c r="M42" s="11">
        <f>ROUND((Table35[[#This Row],[I1]]-Table35[[#This Row],[I2]])*1000000, 2)</f>
        <v>18.57</v>
      </c>
      <c r="O42" s="13" t="str">
        <f t="shared" ref="O42:O78" si="14">IF(ISBLANK(N42), "", COUNTIF($L$20:$L$83,N42))</f>
        <v/>
      </c>
      <c r="Q42" s="11">
        <v>-8</v>
      </c>
      <c r="R42" s="11">
        <f t="shared" si="12"/>
        <v>0</v>
      </c>
      <c r="T42" s="13" t="str">
        <f t="shared" si="13"/>
        <v/>
      </c>
    </row>
    <row r="43" spans="2:20" ht="15" hidden="1" customHeight="1" x14ac:dyDescent="0.35">
      <c r="B43" s="6">
        <v>23</v>
      </c>
      <c r="C43" s="2" t="s">
        <v>20</v>
      </c>
      <c r="D43" s="6" t="str">
        <f t="shared" si="1"/>
        <v>0</v>
      </c>
      <c r="E43" s="6" t="str">
        <f t="shared" si="2"/>
        <v>1</v>
      </c>
      <c r="F43" s="6" t="str">
        <f t="shared" si="3"/>
        <v>0</v>
      </c>
      <c r="G43" s="6" t="str">
        <f t="shared" si="4"/>
        <v>1</v>
      </c>
      <c r="H43" s="6" t="str">
        <f t="shared" si="5"/>
        <v>1</v>
      </c>
      <c r="I43" s="6" t="str">
        <f t="shared" si="6"/>
        <v>1</v>
      </c>
      <c r="J43" s="10">
        <f t="shared" si="7"/>
        <v>-4.2571428571428572E-5</v>
      </c>
      <c r="K43" s="10">
        <f t="shared" si="8"/>
        <v>-3.4571428571428574E-5</v>
      </c>
      <c r="L43" s="10">
        <f t="shared" si="9"/>
        <v>0</v>
      </c>
      <c r="M43" s="11">
        <f>ROUND((Table35[[#This Row],[I1]]-Table35[[#This Row],[I2]])*1000000, 2)</f>
        <v>-8</v>
      </c>
      <c r="O43" s="13" t="str">
        <f t="shared" si="14"/>
        <v/>
      </c>
      <c r="Q43" s="11">
        <v>-8</v>
      </c>
      <c r="R43" s="11">
        <f t="shared" si="12"/>
        <v>8</v>
      </c>
      <c r="T43" s="13" t="str">
        <f t="shared" si="13"/>
        <v/>
      </c>
    </row>
    <row r="44" spans="2:20" x14ac:dyDescent="0.35">
      <c r="B44" s="6">
        <v>34</v>
      </c>
      <c r="C44" s="2" t="s">
        <v>22</v>
      </c>
      <c r="D44" s="6" t="str">
        <f t="shared" si="1"/>
        <v>1</v>
      </c>
      <c r="E44" s="6" t="str">
        <f t="shared" si="2"/>
        <v>0</v>
      </c>
      <c r="F44" s="6" t="str">
        <f t="shared" si="3"/>
        <v>0</v>
      </c>
      <c r="G44" s="6" t="str">
        <f t="shared" si="4"/>
        <v>0</v>
      </c>
      <c r="H44" s="6" t="str">
        <f t="shared" si="5"/>
        <v>1</v>
      </c>
      <c r="I44" s="6" t="str">
        <f t="shared" si="6"/>
        <v>0</v>
      </c>
      <c r="J44" s="10">
        <f t="shared" si="7"/>
        <v>-3.8571428571428577E-5</v>
      </c>
      <c r="K44" s="10">
        <f t="shared" si="8"/>
        <v>-3.0571428571428572E-5</v>
      </c>
      <c r="L44" s="10">
        <f t="shared" si="9"/>
        <v>0</v>
      </c>
      <c r="M44" s="11">
        <f>ROUND((Table35[[#This Row],[I1]]-Table35[[#This Row],[I2]])*1000000, 2)</f>
        <v>-8</v>
      </c>
      <c r="O44" s="13" t="str">
        <f t="shared" si="14"/>
        <v/>
      </c>
      <c r="Q44" s="11">
        <v>0</v>
      </c>
      <c r="R44" s="11">
        <f t="shared" si="12"/>
        <v>0</v>
      </c>
      <c r="T44" s="13" t="str">
        <f t="shared" si="13"/>
        <v/>
      </c>
    </row>
    <row r="45" spans="2:20" ht="15" hidden="1" customHeight="1" x14ac:dyDescent="0.35">
      <c r="B45" s="6">
        <v>25</v>
      </c>
      <c r="C45" s="2" t="s">
        <v>20</v>
      </c>
      <c r="D45" s="6" t="str">
        <f t="shared" si="1"/>
        <v>0</v>
      </c>
      <c r="E45" s="6" t="str">
        <f t="shared" si="2"/>
        <v>1</v>
      </c>
      <c r="F45" s="6" t="str">
        <f t="shared" si="3"/>
        <v>1</v>
      </c>
      <c r="G45" s="6" t="str">
        <f t="shared" si="4"/>
        <v>0</v>
      </c>
      <c r="H45" s="6" t="str">
        <f t="shared" si="5"/>
        <v>0</v>
      </c>
      <c r="I45" s="6" t="str">
        <f t="shared" si="6"/>
        <v>1</v>
      </c>
      <c r="J45" s="10">
        <f t="shared" si="7"/>
        <v>-3.2571428571428573E-5</v>
      </c>
      <c r="K45" s="10">
        <f t="shared" si="8"/>
        <v>-4.0571428571428578E-5</v>
      </c>
      <c r="L45" s="10">
        <f t="shared" si="9"/>
        <v>0</v>
      </c>
      <c r="M45" s="11">
        <f>ROUND((Table35[[#This Row],[I1]]-Table35[[#This Row],[I2]])*1000000, 2)</f>
        <v>8</v>
      </c>
      <c r="O45" s="13" t="str">
        <f t="shared" si="14"/>
        <v/>
      </c>
      <c r="Q45" s="11">
        <v>0</v>
      </c>
      <c r="R45" s="11">
        <f t="shared" si="12"/>
        <v>0</v>
      </c>
      <c r="T45" s="13" t="str">
        <f t="shared" si="13"/>
        <v/>
      </c>
    </row>
    <row r="46" spans="2:20" ht="15" hidden="1" customHeight="1" x14ac:dyDescent="0.35">
      <c r="B46" s="6">
        <v>26</v>
      </c>
      <c r="C46" s="2" t="s">
        <v>20</v>
      </c>
      <c r="D46" s="6" t="str">
        <f t="shared" si="1"/>
        <v>0</v>
      </c>
      <c r="E46" s="6" t="str">
        <f t="shared" si="2"/>
        <v>1</v>
      </c>
      <c r="F46" s="6" t="str">
        <f t="shared" si="3"/>
        <v>1</v>
      </c>
      <c r="G46" s="6" t="str">
        <f t="shared" si="4"/>
        <v>0</v>
      </c>
      <c r="H46" s="6" t="str">
        <f t="shared" si="5"/>
        <v>1</v>
      </c>
      <c r="I46" s="6" t="str">
        <f t="shared" si="6"/>
        <v>0</v>
      </c>
      <c r="J46" s="10">
        <f t="shared" si="7"/>
        <v>-1.4000000000000001E-5</v>
      </c>
      <c r="K46" s="10">
        <f t="shared" si="8"/>
        <v>-4.0571428571428578E-5</v>
      </c>
      <c r="L46" s="10">
        <f t="shared" si="9"/>
        <v>0</v>
      </c>
      <c r="M46" s="11">
        <f>ROUND((Table35[[#This Row],[I1]]-Table35[[#This Row],[I2]])*1000000, 2)</f>
        <v>26.57</v>
      </c>
      <c r="O46" s="13" t="str">
        <f t="shared" si="14"/>
        <v/>
      </c>
      <c r="Q46" s="11">
        <v>0</v>
      </c>
      <c r="R46" s="11">
        <f t="shared" si="12"/>
        <v>0</v>
      </c>
      <c r="T46" s="13" t="str">
        <f t="shared" si="13"/>
        <v/>
      </c>
    </row>
    <row r="47" spans="2:20" ht="15" hidden="1" customHeight="1" x14ac:dyDescent="0.35">
      <c r="B47" s="6">
        <v>27</v>
      </c>
      <c r="C47" s="2" t="s">
        <v>20</v>
      </c>
      <c r="D47" s="6" t="str">
        <f t="shared" si="1"/>
        <v>0</v>
      </c>
      <c r="E47" s="6" t="str">
        <f t="shared" si="2"/>
        <v>1</v>
      </c>
      <c r="F47" s="6" t="str">
        <f t="shared" si="3"/>
        <v>1</v>
      </c>
      <c r="G47" s="6" t="str">
        <f t="shared" si="4"/>
        <v>0</v>
      </c>
      <c r="H47" s="6" t="str">
        <f t="shared" si="5"/>
        <v>1</v>
      </c>
      <c r="I47" s="6" t="str">
        <f t="shared" si="6"/>
        <v>1</v>
      </c>
      <c r="J47" s="10">
        <f t="shared" si="7"/>
        <v>-4.2571428571428572E-5</v>
      </c>
      <c r="K47" s="10">
        <f t="shared" si="8"/>
        <v>-4.2571428571428579E-5</v>
      </c>
      <c r="L47" s="10">
        <f t="shared" si="9"/>
        <v>0</v>
      </c>
      <c r="M47" s="11">
        <f>ROUND((Table35[[#This Row],[I1]]-Table35[[#This Row],[I2]])*1000000, 2)</f>
        <v>0</v>
      </c>
      <c r="O47" s="13" t="str">
        <f t="shared" si="14"/>
        <v/>
      </c>
      <c r="Q47" s="11">
        <v>0</v>
      </c>
      <c r="R47" s="11">
        <f t="shared" si="12"/>
        <v>0</v>
      </c>
      <c r="T47" s="13" t="str">
        <f t="shared" si="13"/>
        <v/>
      </c>
    </row>
    <row r="48" spans="2:20" x14ac:dyDescent="0.35">
      <c r="B48" s="6">
        <v>35</v>
      </c>
      <c r="C48" s="2" t="s">
        <v>22</v>
      </c>
      <c r="D48" s="6" t="str">
        <f t="shared" si="1"/>
        <v>1</v>
      </c>
      <c r="E48" s="6" t="str">
        <f t="shared" si="2"/>
        <v>0</v>
      </c>
      <c r="F48" s="6" t="str">
        <f t="shared" si="3"/>
        <v>0</v>
      </c>
      <c r="G48" s="6" t="str">
        <f t="shared" si="4"/>
        <v>0</v>
      </c>
      <c r="H48" s="6" t="str">
        <f t="shared" si="5"/>
        <v>1</v>
      </c>
      <c r="I48" s="6" t="str">
        <f t="shared" si="6"/>
        <v>1</v>
      </c>
      <c r="J48" s="10">
        <f t="shared" si="7"/>
        <v>-6.7142857142857154E-5</v>
      </c>
      <c r="K48" s="10">
        <f t="shared" si="8"/>
        <v>-3.2571428571428573E-5</v>
      </c>
      <c r="L48" s="10">
        <f t="shared" si="9"/>
        <v>0</v>
      </c>
      <c r="M48" s="11">
        <f>ROUND((Table35[[#This Row],[I1]]-Table35[[#This Row],[I2]])*1000000, 2)</f>
        <v>-34.57</v>
      </c>
      <c r="O48" s="13" t="str">
        <f t="shared" si="14"/>
        <v/>
      </c>
      <c r="Q48" s="11">
        <v>0</v>
      </c>
      <c r="R48" s="11">
        <f t="shared" si="12"/>
        <v>0</v>
      </c>
      <c r="T48" s="13" t="str">
        <f t="shared" si="13"/>
        <v/>
      </c>
    </row>
    <row r="49" spans="2:20" ht="15" hidden="1" customHeight="1" x14ac:dyDescent="0.35">
      <c r="B49" s="6">
        <v>29</v>
      </c>
      <c r="C49" s="2" t="s">
        <v>20</v>
      </c>
      <c r="D49" s="6" t="str">
        <f t="shared" si="1"/>
        <v>0</v>
      </c>
      <c r="E49" s="6" t="str">
        <f t="shared" si="2"/>
        <v>1</v>
      </c>
      <c r="F49" s="6" t="str">
        <f t="shared" si="3"/>
        <v>1</v>
      </c>
      <c r="G49" s="6" t="str">
        <f t="shared" si="4"/>
        <v>1</v>
      </c>
      <c r="H49" s="6" t="str">
        <f t="shared" si="5"/>
        <v>0</v>
      </c>
      <c r="I49" s="6" t="str">
        <f t="shared" si="6"/>
        <v>1</v>
      </c>
      <c r="J49" s="10">
        <f t="shared" si="7"/>
        <v>-3.4571428571428574E-5</v>
      </c>
      <c r="K49" s="10">
        <f t="shared" si="8"/>
        <v>-4.2571428571428579E-5</v>
      </c>
      <c r="L49" s="10">
        <f t="shared" si="9"/>
        <v>0</v>
      </c>
      <c r="M49" s="11">
        <f>ROUND((Table35[[#This Row],[I1]]-Table35[[#This Row],[I2]])*1000000, 2)</f>
        <v>8</v>
      </c>
      <c r="O49" s="13" t="str">
        <f t="shared" si="14"/>
        <v/>
      </c>
      <c r="Q49" s="11">
        <v>0</v>
      </c>
      <c r="R49" s="11">
        <f t="shared" si="12"/>
        <v>0</v>
      </c>
      <c r="T49" s="13" t="str">
        <f t="shared" si="13"/>
        <v/>
      </c>
    </row>
    <row r="50" spans="2:20" ht="15" hidden="1" customHeight="1" x14ac:dyDescent="0.35">
      <c r="B50" s="6">
        <v>30</v>
      </c>
      <c r="C50" s="2" t="s">
        <v>20</v>
      </c>
      <c r="D50" s="6" t="str">
        <f t="shared" si="1"/>
        <v>0</v>
      </c>
      <c r="E50" s="6" t="str">
        <f t="shared" si="2"/>
        <v>1</v>
      </c>
      <c r="F50" s="6" t="str">
        <f t="shared" si="3"/>
        <v>1</v>
      </c>
      <c r="G50" s="6" t="str">
        <f t="shared" si="4"/>
        <v>1</v>
      </c>
      <c r="H50" s="6" t="str">
        <f t="shared" si="5"/>
        <v>1</v>
      </c>
      <c r="I50" s="6" t="str">
        <f t="shared" si="6"/>
        <v>0</v>
      </c>
      <c r="J50" s="10">
        <f t="shared" si="7"/>
        <v>-1.6000000000000003E-5</v>
      </c>
      <c r="K50" s="10">
        <f t="shared" si="8"/>
        <v>-4.2571428571428579E-5</v>
      </c>
      <c r="L50" s="10">
        <f t="shared" si="9"/>
        <v>0</v>
      </c>
      <c r="M50" s="11">
        <f>ROUND((Table35[[#This Row],[I1]]-Table35[[#This Row],[I2]])*1000000, 2)</f>
        <v>26.57</v>
      </c>
      <c r="O50" s="13" t="str">
        <f t="shared" si="14"/>
        <v/>
      </c>
      <c r="Q50" s="11">
        <v>0</v>
      </c>
      <c r="R50" s="11">
        <f t="shared" si="12"/>
        <v>0</v>
      </c>
      <c r="T50" s="13" t="str">
        <f t="shared" si="13"/>
        <v/>
      </c>
    </row>
    <row r="51" spans="2:20" x14ac:dyDescent="0.35">
      <c r="B51" s="6">
        <v>36</v>
      </c>
      <c r="C51" s="2" t="s">
        <v>22</v>
      </c>
      <c r="D51" s="6" t="str">
        <f t="shared" si="1"/>
        <v>1</v>
      </c>
      <c r="E51" s="6" t="str">
        <f t="shared" si="2"/>
        <v>0</v>
      </c>
      <c r="F51" s="6" t="str">
        <f t="shared" si="3"/>
        <v>0</v>
      </c>
      <c r="G51" s="6" t="str">
        <f t="shared" si="4"/>
        <v>1</v>
      </c>
      <c r="H51" s="6" t="str">
        <f t="shared" si="5"/>
        <v>0</v>
      </c>
      <c r="I51" s="6" t="str">
        <f t="shared" si="6"/>
        <v>0</v>
      </c>
      <c r="J51" s="10">
        <f t="shared" si="7"/>
        <v>-3.0571428571428572E-5</v>
      </c>
      <c r="K51" s="10">
        <f t="shared" si="8"/>
        <v>-3.0571428571428572E-5</v>
      </c>
      <c r="L51" s="10">
        <f t="shared" si="9"/>
        <v>0</v>
      </c>
      <c r="M51" s="11">
        <f>ROUND((Table35[[#This Row],[I1]]-Table35[[#This Row],[I2]])*1000000, 2)</f>
        <v>0</v>
      </c>
      <c r="O51" s="13" t="str">
        <f t="shared" si="14"/>
        <v/>
      </c>
      <c r="Q51" s="11">
        <v>0</v>
      </c>
      <c r="R51" s="11">
        <f t="shared" si="12"/>
        <v>0</v>
      </c>
      <c r="T51" s="13" t="str">
        <f t="shared" si="13"/>
        <v/>
      </c>
    </row>
    <row r="52" spans="2:20" x14ac:dyDescent="0.35">
      <c r="B52" s="6">
        <v>37</v>
      </c>
      <c r="C52" s="2" t="s">
        <v>22</v>
      </c>
      <c r="D52" s="6" t="str">
        <f t="shared" ref="D52:D83" si="15">LEFT(RIGHT(DEC2BIN($B52,6),6),1)</f>
        <v>1</v>
      </c>
      <c r="E52" s="6" t="str">
        <f t="shared" ref="E52:E83" si="16">LEFT(RIGHT(DEC2BIN($B52,6),5),1)</f>
        <v>0</v>
      </c>
      <c r="F52" s="6" t="str">
        <f t="shared" ref="F52:F83" si="17">LEFT(RIGHT(DEC2BIN($B52,6),4),1)</f>
        <v>0</v>
      </c>
      <c r="G52" s="6" t="str">
        <f t="shared" ref="G52:G83" si="18">LEFT(RIGHT(DEC2BIN($B52,6),3),1)</f>
        <v>1</v>
      </c>
      <c r="H52" s="6" t="str">
        <f t="shared" ref="H52:H83" si="19">LEFT(RIGHT(DEC2BIN($B52,6),2),1)</f>
        <v>0</v>
      </c>
      <c r="I52" s="6" t="str">
        <f t="shared" ref="I52:I83" si="20">LEFT(RIGHT(DEC2BIN($B52,6),1),1)</f>
        <v>1</v>
      </c>
      <c r="J52" s="10">
        <f t="shared" ref="J52:J83" si="21">(($D52*$E$11)+($E52*$E$12)+($F52*$E$13)+($G52*$E$14)+($H52*$E$15)+($I52*$E$16))</f>
        <v>-5.914285714285715E-5</v>
      </c>
      <c r="K52" s="10">
        <f t="shared" ref="K52:K83" si="22">(($D52*$F$11)+($E52*$F$12)+($F52*$F$13)+($G52*$F$14)+($H52*$F$15)+($I52*$F$16))</f>
        <v>-3.2571428571428573E-5</v>
      </c>
      <c r="L52" s="10">
        <f t="shared" ref="L52:L83" si="23">(($D52*$G$11)+($E52*$G$12)+($F52*$G$13)+($G52*$G$14)+($H52*$G$15)+($I52*$G$16))</f>
        <v>0</v>
      </c>
      <c r="M52" s="11">
        <f>ROUND((Table35[[#This Row],[I1]]-Table35[[#This Row],[I2]])*1000000, 2)</f>
        <v>-26.57</v>
      </c>
      <c r="O52" s="13" t="str">
        <f t="shared" si="14"/>
        <v/>
      </c>
      <c r="Q52" s="11">
        <v>0</v>
      </c>
      <c r="R52" s="11">
        <f t="shared" si="12"/>
        <v>0</v>
      </c>
      <c r="T52" s="13" t="str">
        <f t="shared" si="13"/>
        <v/>
      </c>
    </row>
    <row r="53" spans="2:20" x14ac:dyDescent="0.35">
      <c r="B53" s="6">
        <v>38</v>
      </c>
      <c r="C53" s="2" t="s">
        <v>22</v>
      </c>
      <c r="D53" s="6" t="str">
        <f t="shared" si="15"/>
        <v>1</v>
      </c>
      <c r="E53" s="6" t="str">
        <f t="shared" si="16"/>
        <v>0</v>
      </c>
      <c r="F53" s="6" t="str">
        <f t="shared" si="17"/>
        <v>0</v>
      </c>
      <c r="G53" s="6" t="str">
        <f t="shared" si="18"/>
        <v>1</v>
      </c>
      <c r="H53" s="6" t="str">
        <f t="shared" si="19"/>
        <v>1</v>
      </c>
      <c r="I53" s="6" t="str">
        <f t="shared" si="20"/>
        <v>0</v>
      </c>
      <c r="J53" s="10">
        <f t="shared" si="21"/>
        <v>-4.0571428571428571E-5</v>
      </c>
      <c r="K53" s="10">
        <f t="shared" si="22"/>
        <v>-3.2571428571428573E-5</v>
      </c>
      <c r="L53" s="10">
        <f t="shared" si="23"/>
        <v>0</v>
      </c>
      <c r="M53" s="11">
        <f>ROUND((Table35[[#This Row],[I1]]-Table35[[#This Row],[I2]])*1000000, 2)</f>
        <v>-8</v>
      </c>
      <c r="O53" s="13" t="str">
        <f t="shared" si="14"/>
        <v/>
      </c>
      <c r="Q53" s="11">
        <v>0</v>
      </c>
      <c r="R53" s="11">
        <f t="shared" si="12"/>
        <v>0</v>
      </c>
      <c r="T53" s="13" t="str">
        <f t="shared" si="13"/>
        <v/>
      </c>
    </row>
    <row r="54" spans="2:20" x14ac:dyDescent="0.35">
      <c r="B54" s="6">
        <v>39</v>
      </c>
      <c r="C54" s="2" t="s">
        <v>22</v>
      </c>
      <c r="D54" s="6" t="str">
        <f t="shared" si="15"/>
        <v>1</v>
      </c>
      <c r="E54" s="6" t="str">
        <f t="shared" si="16"/>
        <v>0</v>
      </c>
      <c r="F54" s="6" t="str">
        <f t="shared" si="17"/>
        <v>0</v>
      </c>
      <c r="G54" s="6" t="str">
        <f t="shared" si="18"/>
        <v>1</v>
      </c>
      <c r="H54" s="6" t="str">
        <f t="shared" si="19"/>
        <v>1</v>
      </c>
      <c r="I54" s="6" t="str">
        <f t="shared" si="20"/>
        <v>1</v>
      </c>
      <c r="J54" s="10">
        <f t="shared" si="21"/>
        <v>-6.9142857142857149E-5</v>
      </c>
      <c r="K54" s="10">
        <f t="shared" si="22"/>
        <v>-3.4571428571428574E-5</v>
      </c>
      <c r="L54" s="10">
        <f t="shared" si="23"/>
        <v>0</v>
      </c>
      <c r="M54" s="11">
        <f>ROUND((Table35[[#This Row],[I1]]-Table35[[#This Row],[I2]])*1000000, 2)</f>
        <v>-34.57</v>
      </c>
      <c r="O54" s="13" t="str">
        <f t="shared" si="14"/>
        <v/>
      </c>
      <c r="Q54" s="11">
        <v>0</v>
      </c>
      <c r="R54" s="11">
        <f t="shared" si="12"/>
        <v>0</v>
      </c>
      <c r="T54" s="13" t="str">
        <f t="shared" si="13"/>
        <v/>
      </c>
    </row>
    <row r="55" spans="2:20" x14ac:dyDescent="0.35">
      <c r="B55" s="6">
        <v>40</v>
      </c>
      <c r="C55" s="2" t="s">
        <v>22</v>
      </c>
      <c r="D55" s="6" t="str">
        <f t="shared" si="15"/>
        <v>1</v>
      </c>
      <c r="E55" s="6" t="str">
        <f t="shared" si="16"/>
        <v>0</v>
      </c>
      <c r="F55" s="6" t="str">
        <f t="shared" si="17"/>
        <v>1</v>
      </c>
      <c r="G55" s="6" t="str">
        <f t="shared" si="18"/>
        <v>0</v>
      </c>
      <c r="H55" s="6" t="str">
        <f t="shared" si="19"/>
        <v>0</v>
      </c>
      <c r="I55" s="6" t="str">
        <f t="shared" si="20"/>
        <v>0</v>
      </c>
      <c r="J55" s="10">
        <f t="shared" si="21"/>
        <v>-3.0571428571428572E-5</v>
      </c>
      <c r="K55" s="10">
        <f t="shared" si="22"/>
        <v>-3.8571428571428577E-5</v>
      </c>
      <c r="L55" s="10">
        <f t="shared" si="23"/>
        <v>0</v>
      </c>
      <c r="M55" s="11">
        <f>ROUND((Table35[[#This Row],[I1]]-Table35[[#This Row],[I2]])*1000000, 2)</f>
        <v>8</v>
      </c>
      <c r="O55" s="13" t="str">
        <f t="shared" si="14"/>
        <v/>
      </c>
      <c r="Q55" s="11">
        <v>0</v>
      </c>
      <c r="R55" s="11">
        <f t="shared" si="12"/>
        <v>0</v>
      </c>
      <c r="T55" s="13" t="str">
        <f t="shared" si="13"/>
        <v/>
      </c>
    </row>
    <row r="56" spans="2:20" x14ac:dyDescent="0.35">
      <c r="B56" s="6">
        <v>41</v>
      </c>
      <c r="C56" s="2" t="s">
        <v>22</v>
      </c>
      <c r="D56" s="6" t="str">
        <f t="shared" si="15"/>
        <v>1</v>
      </c>
      <c r="E56" s="6" t="str">
        <f t="shared" si="16"/>
        <v>0</v>
      </c>
      <c r="F56" s="6" t="str">
        <f t="shared" si="17"/>
        <v>1</v>
      </c>
      <c r="G56" s="6" t="str">
        <f t="shared" si="18"/>
        <v>0</v>
      </c>
      <c r="H56" s="6" t="str">
        <f t="shared" si="19"/>
        <v>0</v>
      </c>
      <c r="I56" s="6" t="str">
        <f t="shared" si="20"/>
        <v>1</v>
      </c>
      <c r="J56" s="10">
        <f t="shared" si="21"/>
        <v>-5.914285714285715E-5</v>
      </c>
      <c r="K56" s="10">
        <f t="shared" si="22"/>
        <v>-4.0571428571428578E-5</v>
      </c>
      <c r="L56" s="10">
        <f t="shared" si="23"/>
        <v>0</v>
      </c>
      <c r="M56" s="11">
        <f>ROUND((Table35[[#This Row],[I1]]-Table35[[#This Row],[I2]])*1000000, 2)</f>
        <v>-18.57</v>
      </c>
      <c r="O56" s="13" t="str">
        <f t="shared" si="14"/>
        <v/>
      </c>
      <c r="Q56" s="11">
        <v>0</v>
      </c>
      <c r="R56" s="11">
        <f t="shared" si="12"/>
        <v>0</v>
      </c>
      <c r="T56" s="13" t="str">
        <f t="shared" si="13"/>
        <v/>
      </c>
    </row>
    <row r="57" spans="2:20" x14ac:dyDescent="0.35">
      <c r="B57" s="6">
        <v>42</v>
      </c>
      <c r="C57" s="2" t="s">
        <v>22</v>
      </c>
      <c r="D57" s="6" t="str">
        <f t="shared" si="15"/>
        <v>1</v>
      </c>
      <c r="E57" s="6" t="str">
        <f t="shared" si="16"/>
        <v>0</v>
      </c>
      <c r="F57" s="6" t="str">
        <f t="shared" si="17"/>
        <v>1</v>
      </c>
      <c r="G57" s="6" t="str">
        <f t="shared" si="18"/>
        <v>0</v>
      </c>
      <c r="H57" s="6" t="str">
        <f t="shared" si="19"/>
        <v>1</v>
      </c>
      <c r="I57" s="6" t="str">
        <f t="shared" si="20"/>
        <v>0</v>
      </c>
      <c r="J57" s="10">
        <f t="shared" si="21"/>
        <v>-4.0571428571428571E-5</v>
      </c>
      <c r="K57" s="10">
        <f t="shared" si="22"/>
        <v>-4.0571428571428578E-5</v>
      </c>
      <c r="L57" s="10">
        <f t="shared" si="23"/>
        <v>0</v>
      </c>
      <c r="M57" s="11">
        <f>ROUND((Table35[[#This Row],[I1]]-Table35[[#This Row],[I2]])*1000000, 2)</f>
        <v>0</v>
      </c>
      <c r="O57" s="13" t="str">
        <f t="shared" si="14"/>
        <v/>
      </c>
      <c r="Q57" s="11">
        <v>0</v>
      </c>
      <c r="R57" s="11">
        <f t="shared" si="12"/>
        <v>0</v>
      </c>
      <c r="T57" s="13" t="str">
        <f t="shared" si="13"/>
        <v/>
      </c>
    </row>
    <row r="58" spans="2:20" x14ac:dyDescent="0.35">
      <c r="B58" s="6">
        <v>43</v>
      </c>
      <c r="C58" s="2" t="s">
        <v>22</v>
      </c>
      <c r="D58" s="6" t="str">
        <f t="shared" si="15"/>
        <v>1</v>
      </c>
      <c r="E58" s="6" t="str">
        <f t="shared" si="16"/>
        <v>0</v>
      </c>
      <c r="F58" s="6" t="str">
        <f t="shared" si="17"/>
        <v>1</v>
      </c>
      <c r="G58" s="6" t="str">
        <f t="shared" si="18"/>
        <v>0</v>
      </c>
      <c r="H58" s="6" t="str">
        <f t="shared" si="19"/>
        <v>1</v>
      </c>
      <c r="I58" s="6" t="str">
        <f t="shared" si="20"/>
        <v>1</v>
      </c>
      <c r="J58" s="10">
        <f t="shared" si="21"/>
        <v>-6.9142857142857149E-5</v>
      </c>
      <c r="K58" s="10">
        <f t="shared" si="22"/>
        <v>-4.2571428571428579E-5</v>
      </c>
      <c r="L58" s="10">
        <f t="shared" si="23"/>
        <v>0</v>
      </c>
      <c r="M58" s="11">
        <f>ROUND((Table35[[#This Row],[I1]]-Table35[[#This Row],[I2]])*1000000, 2)</f>
        <v>-26.57</v>
      </c>
      <c r="O58" s="13" t="str">
        <f t="shared" si="14"/>
        <v/>
      </c>
      <c r="Q58" s="11">
        <v>0</v>
      </c>
      <c r="R58" s="11">
        <f t="shared" si="12"/>
        <v>0</v>
      </c>
      <c r="T58" s="13" t="str">
        <f t="shared" si="13"/>
        <v/>
      </c>
    </row>
    <row r="59" spans="2:20" x14ac:dyDescent="0.35">
      <c r="B59" s="6">
        <v>44</v>
      </c>
      <c r="C59" s="2" t="s">
        <v>22</v>
      </c>
      <c r="D59" s="6" t="str">
        <f t="shared" si="15"/>
        <v>1</v>
      </c>
      <c r="E59" s="6" t="str">
        <f t="shared" si="16"/>
        <v>0</v>
      </c>
      <c r="F59" s="6" t="str">
        <f t="shared" si="17"/>
        <v>1</v>
      </c>
      <c r="G59" s="6" t="str">
        <f t="shared" si="18"/>
        <v>1</v>
      </c>
      <c r="H59" s="6" t="str">
        <f t="shared" si="19"/>
        <v>0</v>
      </c>
      <c r="I59" s="6" t="str">
        <f t="shared" si="20"/>
        <v>0</v>
      </c>
      <c r="J59" s="10">
        <f t="shared" si="21"/>
        <v>-3.2571428571428573E-5</v>
      </c>
      <c r="K59" s="10">
        <f t="shared" si="22"/>
        <v>-4.0571428571428578E-5</v>
      </c>
      <c r="L59" s="10">
        <f t="shared" si="23"/>
        <v>0</v>
      </c>
      <c r="M59" s="11">
        <f>ROUND((Table35[[#This Row],[I1]]-Table35[[#This Row],[I2]])*1000000, 2)</f>
        <v>8</v>
      </c>
      <c r="O59" s="13" t="str">
        <f t="shared" si="14"/>
        <v/>
      </c>
      <c r="Q59" s="11">
        <v>0</v>
      </c>
      <c r="R59" s="11">
        <f t="shared" si="12"/>
        <v>8</v>
      </c>
      <c r="T59" s="13" t="str">
        <f t="shared" si="13"/>
        <v/>
      </c>
    </row>
    <row r="60" spans="2:20" x14ac:dyDescent="0.35">
      <c r="B60" s="6">
        <v>45</v>
      </c>
      <c r="C60" s="2" t="s">
        <v>22</v>
      </c>
      <c r="D60" s="6" t="str">
        <f t="shared" si="15"/>
        <v>1</v>
      </c>
      <c r="E60" s="6" t="str">
        <f t="shared" si="16"/>
        <v>0</v>
      </c>
      <c r="F60" s="6" t="str">
        <f t="shared" si="17"/>
        <v>1</v>
      </c>
      <c r="G60" s="6" t="str">
        <f t="shared" si="18"/>
        <v>1</v>
      </c>
      <c r="H60" s="6" t="str">
        <f t="shared" si="19"/>
        <v>0</v>
      </c>
      <c r="I60" s="6" t="str">
        <f t="shared" si="20"/>
        <v>1</v>
      </c>
      <c r="J60" s="10">
        <f t="shared" si="21"/>
        <v>-6.1142857142857144E-5</v>
      </c>
      <c r="K60" s="10">
        <f t="shared" si="22"/>
        <v>-4.2571428571428579E-5</v>
      </c>
      <c r="L60" s="10">
        <f t="shared" si="23"/>
        <v>0</v>
      </c>
      <c r="M60" s="11">
        <f>ROUND((Table35[[#This Row],[I1]]-Table35[[#This Row],[I2]])*1000000, 2)</f>
        <v>-18.57</v>
      </c>
      <c r="O60" s="13" t="str">
        <f t="shared" si="14"/>
        <v/>
      </c>
      <c r="Q60" s="11">
        <v>8</v>
      </c>
      <c r="R60" s="11">
        <f t="shared" si="12"/>
        <v>0</v>
      </c>
      <c r="T60" s="13" t="str">
        <f t="shared" si="13"/>
        <v/>
      </c>
    </row>
    <row r="61" spans="2:20" x14ac:dyDescent="0.35">
      <c r="B61" s="6">
        <v>46</v>
      </c>
      <c r="C61" s="2" t="s">
        <v>22</v>
      </c>
      <c r="D61" s="6" t="str">
        <f t="shared" si="15"/>
        <v>1</v>
      </c>
      <c r="E61" s="6" t="str">
        <f t="shared" si="16"/>
        <v>0</v>
      </c>
      <c r="F61" s="6" t="str">
        <f t="shared" si="17"/>
        <v>1</v>
      </c>
      <c r="G61" s="6" t="str">
        <f t="shared" si="18"/>
        <v>1</v>
      </c>
      <c r="H61" s="6" t="str">
        <f t="shared" si="19"/>
        <v>1</v>
      </c>
      <c r="I61" s="6" t="str">
        <f t="shared" si="20"/>
        <v>0</v>
      </c>
      <c r="J61" s="10">
        <f t="shared" si="21"/>
        <v>-4.2571428571428572E-5</v>
      </c>
      <c r="K61" s="10">
        <f t="shared" si="22"/>
        <v>-4.2571428571428579E-5</v>
      </c>
      <c r="L61" s="10">
        <f t="shared" si="23"/>
        <v>0</v>
      </c>
      <c r="M61" s="11">
        <f>ROUND((Table35[[#This Row],[I1]]-Table35[[#This Row],[I2]])*1000000, 2)</f>
        <v>0</v>
      </c>
      <c r="O61" s="13" t="str">
        <f t="shared" si="14"/>
        <v/>
      </c>
      <c r="Q61" s="11">
        <v>8</v>
      </c>
      <c r="R61" s="11">
        <f t="shared" si="12"/>
        <v>0</v>
      </c>
      <c r="T61" s="13" t="str">
        <f t="shared" si="13"/>
        <v/>
      </c>
    </row>
    <row r="62" spans="2:20" x14ac:dyDescent="0.35">
      <c r="B62" s="6">
        <v>47</v>
      </c>
      <c r="C62" s="2" t="s">
        <v>22</v>
      </c>
      <c r="D62" s="6" t="str">
        <f t="shared" si="15"/>
        <v>1</v>
      </c>
      <c r="E62" s="6" t="str">
        <f t="shared" si="16"/>
        <v>0</v>
      </c>
      <c r="F62" s="6" t="str">
        <f t="shared" si="17"/>
        <v>1</v>
      </c>
      <c r="G62" s="6" t="str">
        <f t="shared" si="18"/>
        <v>1</v>
      </c>
      <c r="H62" s="6" t="str">
        <f t="shared" si="19"/>
        <v>1</v>
      </c>
      <c r="I62" s="6" t="str">
        <f t="shared" si="20"/>
        <v>1</v>
      </c>
      <c r="J62" s="10">
        <f t="shared" si="21"/>
        <v>-7.1142857142857143E-5</v>
      </c>
      <c r="K62" s="10">
        <f t="shared" si="22"/>
        <v>-4.457142857142858E-5</v>
      </c>
      <c r="L62" s="10">
        <f t="shared" si="23"/>
        <v>0</v>
      </c>
      <c r="M62" s="11">
        <f>ROUND((Table35[[#This Row],[I1]]-Table35[[#This Row],[I2]])*1000000, 2)</f>
        <v>-26.57</v>
      </c>
      <c r="O62" s="13" t="str">
        <f t="shared" si="14"/>
        <v/>
      </c>
      <c r="Q62" s="11">
        <v>8</v>
      </c>
      <c r="R62" s="11">
        <f t="shared" si="12"/>
        <v>0</v>
      </c>
      <c r="T62" s="13" t="str">
        <f t="shared" si="13"/>
        <v/>
      </c>
    </row>
    <row r="63" spans="2:20" x14ac:dyDescent="0.35">
      <c r="B63" s="6">
        <v>48</v>
      </c>
      <c r="C63" s="2" t="s">
        <v>22</v>
      </c>
      <c r="D63" s="6" t="str">
        <f t="shared" si="15"/>
        <v>1</v>
      </c>
      <c r="E63" s="6" t="str">
        <f t="shared" si="16"/>
        <v>1</v>
      </c>
      <c r="F63" s="6" t="str">
        <f t="shared" si="17"/>
        <v>0</v>
      </c>
      <c r="G63" s="6" t="str">
        <f t="shared" si="18"/>
        <v>0</v>
      </c>
      <c r="H63" s="6" t="str">
        <f t="shared" si="19"/>
        <v>0</v>
      </c>
      <c r="I63" s="6" t="str">
        <f t="shared" si="20"/>
        <v>0</v>
      </c>
      <c r="J63" s="10">
        <f t="shared" si="21"/>
        <v>-3.0571428571428572E-5</v>
      </c>
      <c r="K63" s="10">
        <f t="shared" si="22"/>
        <v>-5.7142857142857148E-5</v>
      </c>
      <c r="L63" s="10">
        <f t="shared" si="23"/>
        <v>0</v>
      </c>
      <c r="M63" s="11">
        <f>ROUND((Table35[[#This Row],[I1]]-Table35[[#This Row],[I2]])*1000000, 2)</f>
        <v>26.57</v>
      </c>
      <c r="O63" s="13" t="str">
        <f t="shared" si="14"/>
        <v/>
      </c>
      <c r="Q63" s="11">
        <v>8</v>
      </c>
      <c r="R63" s="11">
        <f t="shared" si="12"/>
        <v>0</v>
      </c>
      <c r="T63" s="13" t="str">
        <f t="shared" si="13"/>
        <v/>
      </c>
    </row>
    <row r="64" spans="2:20" x14ac:dyDescent="0.35">
      <c r="B64" s="6">
        <v>49</v>
      </c>
      <c r="C64" s="2" t="s">
        <v>22</v>
      </c>
      <c r="D64" s="6" t="str">
        <f t="shared" si="15"/>
        <v>1</v>
      </c>
      <c r="E64" s="6" t="str">
        <f t="shared" si="16"/>
        <v>1</v>
      </c>
      <c r="F64" s="6" t="str">
        <f t="shared" si="17"/>
        <v>0</v>
      </c>
      <c r="G64" s="6" t="str">
        <f t="shared" si="18"/>
        <v>0</v>
      </c>
      <c r="H64" s="6" t="str">
        <f t="shared" si="19"/>
        <v>0</v>
      </c>
      <c r="I64" s="6" t="str">
        <f t="shared" si="20"/>
        <v>1</v>
      </c>
      <c r="J64" s="10">
        <f t="shared" si="21"/>
        <v>-5.914285714285715E-5</v>
      </c>
      <c r="K64" s="10">
        <f t="shared" si="22"/>
        <v>-5.914285714285715E-5</v>
      </c>
      <c r="L64" s="10">
        <f t="shared" si="23"/>
        <v>0</v>
      </c>
      <c r="M64" s="11">
        <f>ROUND((Table35[[#This Row],[I1]]-Table35[[#This Row],[I2]])*1000000, 2)</f>
        <v>0</v>
      </c>
      <c r="O64" s="13" t="str">
        <f t="shared" si="14"/>
        <v/>
      </c>
      <c r="Q64" s="11">
        <v>8</v>
      </c>
      <c r="R64" s="11">
        <f t="shared" si="12"/>
        <v>0</v>
      </c>
      <c r="T64" s="13" t="str">
        <f t="shared" si="13"/>
        <v/>
      </c>
    </row>
    <row r="65" spans="2:20" x14ac:dyDescent="0.35">
      <c r="B65" s="6">
        <v>50</v>
      </c>
      <c r="C65" s="2" t="s">
        <v>22</v>
      </c>
      <c r="D65" s="6" t="str">
        <f t="shared" si="15"/>
        <v>1</v>
      </c>
      <c r="E65" s="6" t="str">
        <f t="shared" si="16"/>
        <v>1</v>
      </c>
      <c r="F65" s="6" t="str">
        <f t="shared" si="17"/>
        <v>0</v>
      </c>
      <c r="G65" s="6" t="str">
        <f t="shared" si="18"/>
        <v>0</v>
      </c>
      <c r="H65" s="6" t="str">
        <f t="shared" si="19"/>
        <v>1</v>
      </c>
      <c r="I65" s="6" t="str">
        <f t="shared" si="20"/>
        <v>0</v>
      </c>
      <c r="J65" s="10">
        <f t="shared" si="21"/>
        <v>-4.0571428571428571E-5</v>
      </c>
      <c r="K65" s="10">
        <f t="shared" si="22"/>
        <v>-5.914285714285715E-5</v>
      </c>
      <c r="L65" s="10">
        <f t="shared" si="23"/>
        <v>0</v>
      </c>
      <c r="M65" s="11">
        <f>ROUND((Table35[[#This Row],[I1]]-Table35[[#This Row],[I2]])*1000000, 2)</f>
        <v>18.57</v>
      </c>
      <c r="O65" s="13" t="str">
        <f t="shared" si="14"/>
        <v/>
      </c>
      <c r="Q65" s="11">
        <v>8</v>
      </c>
      <c r="R65" s="11">
        <f t="shared" si="12"/>
        <v>0</v>
      </c>
      <c r="T65" s="13" t="str">
        <f t="shared" si="13"/>
        <v/>
      </c>
    </row>
    <row r="66" spans="2:20" x14ac:dyDescent="0.35">
      <c r="B66" s="6">
        <v>51</v>
      </c>
      <c r="C66" s="2" t="s">
        <v>22</v>
      </c>
      <c r="D66" s="6" t="str">
        <f t="shared" si="15"/>
        <v>1</v>
      </c>
      <c r="E66" s="6" t="str">
        <f t="shared" si="16"/>
        <v>1</v>
      </c>
      <c r="F66" s="6" t="str">
        <f t="shared" si="17"/>
        <v>0</v>
      </c>
      <c r="G66" s="6" t="str">
        <f t="shared" si="18"/>
        <v>0</v>
      </c>
      <c r="H66" s="6" t="str">
        <f t="shared" si="19"/>
        <v>1</v>
      </c>
      <c r="I66" s="6" t="str">
        <f t="shared" si="20"/>
        <v>1</v>
      </c>
      <c r="J66" s="10">
        <f t="shared" si="21"/>
        <v>-6.9142857142857149E-5</v>
      </c>
      <c r="K66" s="10">
        <f t="shared" si="22"/>
        <v>-6.1142857142857144E-5</v>
      </c>
      <c r="L66" s="10">
        <f t="shared" si="23"/>
        <v>0</v>
      </c>
      <c r="M66" s="11">
        <f>ROUND((Table35[[#This Row],[I1]]-Table35[[#This Row],[I2]])*1000000, 2)</f>
        <v>-8</v>
      </c>
      <c r="O66" s="13" t="str">
        <f t="shared" si="14"/>
        <v/>
      </c>
      <c r="Q66" s="11">
        <v>8</v>
      </c>
      <c r="R66" s="11">
        <f t="shared" si="12"/>
        <v>0</v>
      </c>
      <c r="T66" s="13" t="str">
        <f t="shared" si="13"/>
        <v/>
      </c>
    </row>
    <row r="67" spans="2:20" x14ac:dyDescent="0.35">
      <c r="B67" s="6">
        <v>52</v>
      </c>
      <c r="C67" s="2" t="s">
        <v>22</v>
      </c>
      <c r="D67" s="6" t="str">
        <f t="shared" si="15"/>
        <v>1</v>
      </c>
      <c r="E67" s="6" t="str">
        <f t="shared" si="16"/>
        <v>1</v>
      </c>
      <c r="F67" s="6" t="str">
        <f t="shared" si="17"/>
        <v>0</v>
      </c>
      <c r="G67" s="6" t="str">
        <f t="shared" si="18"/>
        <v>1</v>
      </c>
      <c r="H67" s="6" t="str">
        <f t="shared" si="19"/>
        <v>0</v>
      </c>
      <c r="I67" s="6" t="str">
        <f t="shared" si="20"/>
        <v>0</v>
      </c>
      <c r="J67" s="10">
        <f t="shared" si="21"/>
        <v>-3.2571428571428573E-5</v>
      </c>
      <c r="K67" s="10">
        <f t="shared" si="22"/>
        <v>-5.914285714285715E-5</v>
      </c>
      <c r="L67" s="10">
        <f t="shared" si="23"/>
        <v>0</v>
      </c>
      <c r="M67" s="11">
        <f>ROUND((Table35[[#This Row],[I1]]-Table35[[#This Row],[I2]])*1000000, 2)</f>
        <v>26.57</v>
      </c>
      <c r="O67" s="13" t="str">
        <f t="shared" si="14"/>
        <v/>
      </c>
      <c r="Q67" s="11">
        <v>8</v>
      </c>
      <c r="R67" s="11">
        <f t="shared" si="12"/>
        <v>10.57</v>
      </c>
      <c r="T67" s="13" t="str">
        <f t="shared" si="13"/>
        <v/>
      </c>
    </row>
    <row r="68" spans="2:20" x14ac:dyDescent="0.35">
      <c r="B68" s="6">
        <v>53</v>
      </c>
      <c r="C68" s="2" t="s">
        <v>22</v>
      </c>
      <c r="D68" s="6" t="str">
        <f t="shared" si="15"/>
        <v>1</v>
      </c>
      <c r="E68" s="6" t="str">
        <f t="shared" si="16"/>
        <v>1</v>
      </c>
      <c r="F68" s="6" t="str">
        <f t="shared" si="17"/>
        <v>0</v>
      </c>
      <c r="G68" s="6" t="str">
        <f t="shared" si="18"/>
        <v>1</v>
      </c>
      <c r="H68" s="6" t="str">
        <f t="shared" si="19"/>
        <v>0</v>
      </c>
      <c r="I68" s="6" t="str">
        <f t="shared" si="20"/>
        <v>1</v>
      </c>
      <c r="J68" s="10">
        <f t="shared" si="21"/>
        <v>-6.1142857142857144E-5</v>
      </c>
      <c r="K68" s="10">
        <f t="shared" si="22"/>
        <v>-6.1142857142857144E-5</v>
      </c>
      <c r="L68" s="10">
        <f t="shared" si="23"/>
        <v>0</v>
      </c>
      <c r="M68" s="11">
        <f>ROUND((Table35[[#This Row],[I1]]-Table35[[#This Row],[I2]])*1000000, 2)</f>
        <v>0</v>
      </c>
      <c r="O68" s="13" t="str">
        <f t="shared" si="14"/>
        <v/>
      </c>
      <c r="Q68" s="11">
        <v>18.57</v>
      </c>
      <c r="R68" s="11">
        <f t="shared" si="12"/>
        <v>0</v>
      </c>
      <c r="T68" s="13" t="str">
        <f t="shared" si="13"/>
        <v/>
      </c>
    </row>
    <row r="69" spans="2:20" x14ac:dyDescent="0.35">
      <c r="B69" s="6">
        <v>54</v>
      </c>
      <c r="C69" s="2" t="s">
        <v>22</v>
      </c>
      <c r="D69" s="6" t="str">
        <f t="shared" si="15"/>
        <v>1</v>
      </c>
      <c r="E69" s="6" t="str">
        <f t="shared" si="16"/>
        <v>1</v>
      </c>
      <c r="F69" s="6" t="str">
        <f t="shared" si="17"/>
        <v>0</v>
      </c>
      <c r="G69" s="6" t="str">
        <f t="shared" si="18"/>
        <v>1</v>
      </c>
      <c r="H69" s="6" t="str">
        <f t="shared" si="19"/>
        <v>1</v>
      </c>
      <c r="I69" s="6" t="str">
        <f t="shared" si="20"/>
        <v>0</v>
      </c>
      <c r="J69" s="10">
        <f t="shared" si="21"/>
        <v>-4.2571428571428572E-5</v>
      </c>
      <c r="K69" s="10">
        <f t="shared" si="22"/>
        <v>-6.1142857142857144E-5</v>
      </c>
      <c r="L69" s="10">
        <f t="shared" si="23"/>
        <v>0</v>
      </c>
      <c r="M69" s="11">
        <f>ROUND((Table35[[#This Row],[I1]]-Table35[[#This Row],[I2]])*1000000, 2)</f>
        <v>18.57</v>
      </c>
      <c r="O69" s="13" t="str">
        <f t="shared" si="14"/>
        <v/>
      </c>
      <c r="Q69" s="11">
        <v>18.57</v>
      </c>
      <c r="R69" s="11">
        <f t="shared" si="12"/>
        <v>0</v>
      </c>
      <c r="T69" s="13" t="str">
        <f t="shared" si="13"/>
        <v/>
      </c>
    </row>
    <row r="70" spans="2:20" x14ac:dyDescent="0.35">
      <c r="B70" s="6">
        <v>55</v>
      </c>
      <c r="C70" s="2" t="s">
        <v>22</v>
      </c>
      <c r="D70" s="6" t="str">
        <f t="shared" si="15"/>
        <v>1</v>
      </c>
      <c r="E70" s="6" t="str">
        <f t="shared" si="16"/>
        <v>1</v>
      </c>
      <c r="F70" s="6" t="str">
        <f t="shared" si="17"/>
        <v>0</v>
      </c>
      <c r="G70" s="6" t="str">
        <f t="shared" si="18"/>
        <v>1</v>
      </c>
      <c r="H70" s="6" t="str">
        <f t="shared" si="19"/>
        <v>1</v>
      </c>
      <c r="I70" s="6" t="str">
        <f t="shared" si="20"/>
        <v>1</v>
      </c>
      <c r="J70" s="10">
        <f t="shared" si="21"/>
        <v>-7.1142857142857143E-5</v>
      </c>
      <c r="K70" s="10">
        <f t="shared" si="22"/>
        <v>-6.3142857142857138E-5</v>
      </c>
      <c r="L70" s="10">
        <f t="shared" si="23"/>
        <v>0</v>
      </c>
      <c r="M70" s="11">
        <f>ROUND((Table35[[#This Row],[I1]]-Table35[[#This Row],[I2]])*1000000, 2)</f>
        <v>-8</v>
      </c>
      <c r="O70" s="13" t="str">
        <f t="shared" si="14"/>
        <v/>
      </c>
      <c r="Q70" s="11">
        <v>18.57</v>
      </c>
      <c r="R70" s="11">
        <f t="shared" si="12"/>
        <v>0</v>
      </c>
      <c r="T70" s="13" t="str">
        <f t="shared" si="13"/>
        <v/>
      </c>
    </row>
    <row r="71" spans="2:20" x14ac:dyDescent="0.35">
      <c r="B71" s="6">
        <v>56</v>
      </c>
      <c r="C71" s="2" t="s">
        <v>22</v>
      </c>
      <c r="D71" s="6" t="str">
        <f t="shared" si="15"/>
        <v>1</v>
      </c>
      <c r="E71" s="6" t="str">
        <f t="shared" si="16"/>
        <v>1</v>
      </c>
      <c r="F71" s="6" t="str">
        <f t="shared" si="17"/>
        <v>1</v>
      </c>
      <c r="G71" s="6" t="str">
        <f t="shared" si="18"/>
        <v>0</v>
      </c>
      <c r="H71" s="6" t="str">
        <f t="shared" si="19"/>
        <v>0</v>
      </c>
      <c r="I71" s="6" t="str">
        <f t="shared" si="20"/>
        <v>0</v>
      </c>
      <c r="J71" s="10">
        <f t="shared" si="21"/>
        <v>-3.2571428571428573E-5</v>
      </c>
      <c r="K71" s="10">
        <f t="shared" si="22"/>
        <v>-6.7142857142857154E-5</v>
      </c>
      <c r="L71" s="10">
        <f t="shared" si="23"/>
        <v>0</v>
      </c>
      <c r="M71" s="11">
        <f>ROUND((Table35[[#This Row],[I1]]-Table35[[#This Row],[I2]])*1000000, 2)</f>
        <v>34.57</v>
      </c>
      <c r="O71" s="13" t="str">
        <f t="shared" si="14"/>
        <v/>
      </c>
      <c r="Q71" s="11">
        <v>18.57</v>
      </c>
      <c r="R71" s="11">
        <f t="shared" si="12"/>
        <v>8</v>
      </c>
      <c r="T71" s="13" t="str">
        <f t="shared" si="13"/>
        <v/>
      </c>
    </row>
    <row r="72" spans="2:20" x14ac:dyDescent="0.35">
      <c r="B72" s="6">
        <v>57</v>
      </c>
      <c r="C72" s="2" t="s">
        <v>22</v>
      </c>
      <c r="D72" s="6" t="str">
        <f t="shared" si="15"/>
        <v>1</v>
      </c>
      <c r="E72" s="6" t="str">
        <f t="shared" si="16"/>
        <v>1</v>
      </c>
      <c r="F72" s="6" t="str">
        <f t="shared" si="17"/>
        <v>1</v>
      </c>
      <c r="G72" s="6" t="str">
        <f t="shared" si="18"/>
        <v>0</v>
      </c>
      <c r="H72" s="6" t="str">
        <f t="shared" si="19"/>
        <v>0</v>
      </c>
      <c r="I72" s="6" t="str">
        <f t="shared" si="20"/>
        <v>1</v>
      </c>
      <c r="J72" s="10">
        <f t="shared" si="21"/>
        <v>-6.1142857142857144E-5</v>
      </c>
      <c r="K72" s="10">
        <f t="shared" si="22"/>
        <v>-6.9142857142857149E-5</v>
      </c>
      <c r="L72" s="10">
        <f t="shared" si="23"/>
        <v>0</v>
      </c>
      <c r="M72" s="11">
        <f>ROUND((Table35[[#This Row],[I1]]-Table35[[#This Row],[I2]])*1000000, 2)</f>
        <v>8</v>
      </c>
      <c r="O72" s="13" t="str">
        <f t="shared" si="14"/>
        <v/>
      </c>
      <c r="Q72" s="11">
        <v>26.57</v>
      </c>
      <c r="R72" s="11">
        <f t="shared" si="12"/>
        <v>0</v>
      </c>
      <c r="T72" s="13" t="str">
        <f t="shared" si="13"/>
        <v/>
      </c>
    </row>
    <row r="73" spans="2:20" x14ac:dyDescent="0.35">
      <c r="B73" s="6">
        <v>58</v>
      </c>
      <c r="C73" s="2" t="s">
        <v>22</v>
      </c>
      <c r="D73" s="6" t="str">
        <f t="shared" si="15"/>
        <v>1</v>
      </c>
      <c r="E73" s="6" t="str">
        <f t="shared" si="16"/>
        <v>1</v>
      </c>
      <c r="F73" s="6" t="str">
        <f t="shared" si="17"/>
        <v>1</v>
      </c>
      <c r="G73" s="6" t="str">
        <f t="shared" si="18"/>
        <v>0</v>
      </c>
      <c r="H73" s="6" t="str">
        <f t="shared" si="19"/>
        <v>1</v>
      </c>
      <c r="I73" s="6" t="str">
        <f t="shared" si="20"/>
        <v>0</v>
      </c>
      <c r="J73" s="10">
        <f t="shared" si="21"/>
        <v>-4.2571428571428572E-5</v>
      </c>
      <c r="K73" s="10">
        <f t="shared" si="22"/>
        <v>-6.9142857142857149E-5</v>
      </c>
      <c r="L73" s="10">
        <f t="shared" si="23"/>
        <v>0</v>
      </c>
      <c r="M73" s="11">
        <f>ROUND((Table35[[#This Row],[I1]]-Table35[[#This Row],[I2]])*1000000, 2)</f>
        <v>26.57</v>
      </c>
      <c r="O73" s="13" t="str">
        <f t="shared" si="14"/>
        <v/>
      </c>
      <c r="Q73" s="11">
        <v>26.57</v>
      </c>
      <c r="R73" s="11">
        <f t="shared" si="12"/>
        <v>0</v>
      </c>
      <c r="T73" s="13" t="str">
        <f t="shared" si="13"/>
        <v/>
      </c>
    </row>
    <row r="74" spans="2:20" x14ac:dyDescent="0.35">
      <c r="B74" s="6">
        <v>59</v>
      </c>
      <c r="C74" s="2" t="s">
        <v>22</v>
      </c>
      <c r="D74" s="6" t="str">
        <f t="shared" si="15"/>
        <v>1</v>
      </c>
      <c r="E74" s="6" t="str">
        <f t="shared" si="16"/>
        <v>1</v>
      </c>
      <c r="F74" s="6" t="str">
        <f t="shared" si="17"/>
        <v>1</v>
      </c>
      <c r="G74" s="6" t="str">
        <f t="shared" si="18"/>
        <v>0</v>
      </c>
      <c r="H74" s="6" t="str">
        <f t="shared" si="19"/>
        <v>1</v>
      </c>
      <c r="I74" s="6" t="str">
        <f t="shared" si="20"/>
        <v>1</v>
      </c>
      <c r="J74" s="10">
        <f t="shared" si="21"/>
        <v>-7.1142857142857143E-5</v>
      </c>
      <c r="K74" s="10">
        <f t="shared" si="22"/>
        <v>-7.1142857142857143E-5</v>
      </c>
      <c r="L74" s="10">
        <f t="shared" si="23"/>
        <v>0</v>
      </c>
      <c r="M74" s="11">
        <f>ROUND((Table35[[#This Row],[I1]]-Table35[[#This Row],[I2]])*1000000, 2)</f>
        <v>0</v>
      </c>
      <c r="O74" s="13" t="str">
        <f t="shared" si="14"/>
        <v/>
      </c>
      <c r="Q74" s="11">
        <v>26.57</v>
      </c>
      <c r="R74" s="11">
        <f t="shared" si="12"/>
        <v>0</v>
      </c>
      <c r="T74" s="13" t="str">
        <f t="shared" si="13"/>
        <v/>
      </c>
    </row>
    <row r="75" spans="2:20" x14ac:dyDescent="0.35">
      <c r="B75" s="6">
        <v>60</v>
      </c>
      <c r="C75" s="2" t="s">
        <v>22</v>
      </c>
      <c r="D75" s="6" t="str">
        <f t="shared" si="15"/>
        <v>1</v>
      </c>
      <c r="E75" s="6" t="str">
        <f t="shared" si="16"/>
        <v>1</v>
      </c>
      <c r="F75" s="6" t="str">
        <f t="shared" si="17"/>
        <v>1</v>
      </c>
      <c r="G75" s="6" t="str">
        <f t="shared" si="18"/>
        <v>1</v>
      </c>
      <c r="H75" s="6" t="str">
        <f t="shared" si="19"/>
        <v>0</v>
      </c>
      <c r="I75" s="6" t="str">
        <f t="shared" si="20"/>
        <v>0</v>
      </c>
      <c r="J75" s="10">
        <f t="shared" si="21"/>
        <v>-3.4571428571428574E-5</v>
      </c>
      <c r="K75" s="10">
        <f t="shared" si="22"/>
        <v>-6.9142857142857149E-5</v>
      </c>
      <c r="L75" s="10">
        <f t="shared" si="23"/>
        <v>0</v>
      </c>
      <c r="M75" s="11">
        <f>ROUND((Table35[[#This Row],[I1]]-Table35[[#This Row],[I2]])*1000000, 2)</f>
        <v>34.57</v>
      </c>
      <c r="O75" s="13" t="str">
        <f t="shared" si="14"/>
        <v/>
      </c>
      <c r="Q75" s="11">
        <v>26.57</v>
      </c>
      <c r="R75" s="11">
        <f t="shared" si="12"/>
        <v>0</v>
      </c>
      <c r="T75" s="13" t="str">
        <f t="shared" si="13"/>
        <v/>
      </c>
    </row>
    <row r="76" spans="2:20" x14ac:dyDescent="0.35">
      <c r="B76" s="6">
        <v>61</v>
      </c>
      <c r="C76" s="2" t="s">
        <v>22</v>
      </c>
      <c r="D76" s="6" t="str">
        <f t="shared" si="15"/>
        <v>1</v>
      </c>
      <c r="E76" s="6" t="str">
        <f t="shared" si="16"/>
        <v>1</v>
      </c>
      <c r="F76" s="6" t="str">
        <f t="shared" si="17"/>
        <v>1</v>
      </c>
      <c r="G76" s="6" t="str">
        <f t="shared" si="18"/>
        <v>1</v>
      </c>
      <c r="H76" s="6" t="str">
        <f t="shared" si="19"/>
        <v>0</v>
      </c>
      <c r="I76" s="6" t="str">
        <f t="shared" si="20"/>
        <v>1</v>
      </c>
      <c r="J76" s="10">
        <f t="shared" si="21"/>
        <v>-6.3142857142857152E-5</v>
      </c>
      <c r="K76" s="10">
        <f t="shared" si="22"/>
        <v>-7.1142857142857143E-5</v>
      </c>
      <c r="L76" s="10">
        <f t="shared" si="23"/>
        <v>0</v>
      </c>
      <c r="M76" s="11">
        <f>ROUND((Table35[[#This Row],[I1]]-Table35[[#This Row],[I2]])*1000000, 2)</f>
        <v>8</v>
      </c>
      <c r="O76" s="13" t="str">
        <f t="shared" si="14"/>
        <v/>
      </c>
      <c r="Q76" s="11">
        <v>26.57</v>
      </c>
      <c r="R76" s="11">
        <f t="shared" si="12"/>
        <v>0</v>
      </c>
      <c r="T76" s="13" t="str">
        <f t="shared" si="13"/>
        <v/>
      </c>
    </row>
    <row r="77" spans="2:20" x14ac:dyDescent="0.35">
      <c r="B77" s="6">
        <v>62</v>
      </c>
      <c r="C77" s="2" t="s">
        <v>22</v>
      </c>
      <c r="D77" s="6" t="str">
        <f t="shared" si="15"/>
        <v>1</v>
      </c>
      <c r="E77" s="6" t="str">
        <f t="shared" si="16"/>
        <v>1</v>
      </c>
      <c r="F77" s="6" t="str">
        <f t="shared" si="17"/>
        <v>1</v>
      </c>
      <c r="G77" s="6" t="str">
        <f t="shared" si="18"/>
        <v>1</v>
      </c>
      <c r="H77" s="6" t="str">
        <f t="shared" si="19"/>
        <v>1</v>
      </c>
      <c r="I77" s="6" t="str">
        <f t="shared" si="20"/>
        <v>0</v>
      </c>
      <c r="J77" s="10">
        <f t="shared" si="21"/>
        <v>-4.4571428571428574E-5</v>
      </c>
      <c r="K77" s="10">
        <f t="shared" si="22"/>
        <v>-7.1142857142857143E-5</v>
      </c>
      <c r="L77" s="10">
        <f t="shared" si="23"/>
        <v>0</v>
      </c>
      <c r="M77" s="11">
        <f>ROUND((Table35[[#This Row],[I1]]-Table35[[#This Row],[I2]])*1000000, 2)</f>
        <v>26.57</v>
      </c>
      <c r="O77" s="13" t="str">
        <f t="shared" si="14"/>
        <v/>
      </c>
      <c r="Q77" s="11">
        <v>26.57</v>
      </c>
      <c r="R77" s="11">
        <f t="shared" si="12"/>
        <v>0</v>
      </c>
      <c r="T77" s="13" t="str">
        <f t="shared" si="13"/>
        <v/>
      </c>
    </row>
    <row r="78" spans="2:20" x14ac:dyDescent="0.35">
      <c r="B78" s="6">
        <v>8</v>
      </c>
      <c r="C78" s="2" t="s">
        <v>19</v>
      </c>
      <c r="D78" s="6" t="str">
        <f t="shared" si="15"/>
        <v>0</v>
      </c>
      <c r="E78" s="6" t="str">
        <f t="shared" si="16"/>
        <v>0</v>
      </c>
      <c r="F78" s="6" t="str">
        <f t="shared" si="17"/>
        <v>1</v>
      </c>
      <c r="G78" s="6" t="str">
        <f t="shared" si="18"/>
        <v>0</v>
      </c>
      <c r="H78" s="6" t="str">
        <f t="shared" si="19"/>
        <v>0</v>
      </c>
      <c r="I78" s="6" t="str">
        <f t="shared" si="20"/>
        <v>0</v>
      </c>
      <c r="J78" s="10">
        <f t="shared" si="21"/>
        <v>-1.9999999999999999E-6</v>
      </c>
      <c r="K78" s="10">
        <f t="shared" si="22"/>
        <v>-1.0000000000000001E-5</v>
      </c>
      <c r="L78" s="10">
        <f t="shared" si="23"/>
        <v>0</v>
      </c>
      <c r="M78" s="11">
        <f>ROUND((Table35[[#This Row],[I1]]-Table35[[#This Row],[I2]])*1000000, 2)</f>
        <v>8</v>
      </c>
      <c r="O78" s="13" t="str">
        <f t="shared" si="14"/>
        <v/>
      </c>
      <c r="Q78" s="11">
        <v>26.57</v>
      </c>
      <c r="R78" s="11">
        <f t="shared" si="12"/>
        <v>0</v>
      </c>
      <c r="T78" s="13" t="str">
        <f t="shared" si="13"/>
        <v/>
      </c>
    </row>
    <row r="79" spans="2:20" x14ac:dyDescent="0.35">
      <c r="B79" s="6">
        <v>12</v>
      </c>
      <c r="C79" s="2" t="s">
        <v>19</v>
      </c>
      <c r="D79" s="6" t="str">
        <f t="shared" si="15"/>
        <v>0</v>
      </c>
      <c r="E79" s="6" t="str">
        <f t="shared" si="16"/>
        <v>0</v>
      </c>
      <c r="F79" s="6" t="str">
        <f t="shared" si="17"/>
        <v>1</v>
      </c>
      <c r="G79" s="6" t="str">
        <f t="shared" si="18"/>
        <v>1</v>
      </c>
      <c r="H79" s="6" t="str">
        <f t="shared" si="19"/>
        <v>0</v>
      </c>
      <c r="I79" s="6" t="str">
        <f t="shared" si="20"/>
        <v>0</v>
      </c>
      <c r="J79" s="10">
        <f t="shared" si="21"/>
        <v>-3.9999999999999998E-6</v>
      </c>
      <c r="K79" s="10">
        <f t="shared" si="22"/>
        <v>-1.2E-5</v>
      </c>
      <c r="L79" s="10">
        <f t="shared" si="23"/>
        <v>0</v>
      </c>
      <c r="M79" s="11">
        <f>ROUND((Table35[[#This Row],[I1]]-Table35[[#This Row],[I2]])*1000000, 2)</f>
        <v>8</v>
      </c>
      <c r="O79" s="13">
        <f>IF(ISBLANK(N79), 0, COUNTIF($L$20:$L$83,N79))</f>
        <v>0</v>
      </c>
      <c r="Q79" s="11">
        <v>26.57</v>
      </c>
      <c r="R79" s="11">
        <f t="shared" si="12"/>
        <v>8</v>
      </c>
      <c r="T79" s="13" t="str">
        <f t="shared" si="13"/>
        <v/>
      </c>
    </row>
    <row r="80" spans="2:20" x14ac:dyDescent="0.35">
      <c r="B80" s="6">
        <v>2</v>
      </c>
      <c r="C80" s="2" t="s">
        <v>17</v>
      </c>
      <c r="D80" s="6" t="str">
        <f t="shared" si="15"/>
        <v>0</v>
      </c>
      <c r="E80" s="6" t="str">
        <f t="shared" si="16"/>
        <v>0</v>
      </c>
      <c r="F80" s="6" t="str">
        <f t="shared" si="17"/>
        <v>0</v>
      </c>
      <c r="G80" s="6" t="str">
        <f t="shared" si="18"/>
        <v>0</v>
      </c>
      <c r="H80" s="6" t="str">
        <f t="shared" si="19"/>
        <v>1</v>
      </c>
      <c r="I80" s="6" t="str">
        <f t="shared" si="20"/>
        <v>0</v>
      </c>
      <c r="J80" s="10">
        <f t="shared" si="21"/>
        <v>-1.0000000000000001E-5</v>
      </c>
      <c r="K80" s="10">
        <f t="shared" si="22"/>
        <v>-1.9999999999999999E-6</v>
      </c>
      <c r="L80" s="10">
        <f t="shared" si="23"/>
        <v>0</v>
      </c>
      <c r="M80" s="11">
        <f>ROUND((Table35[[#This Row],[I1]]-Table35[[#This Row],[I2]])*1000000, 2)</f>
        <v>-8</v>
      </c>
      <c r="O80" s="13">
        <f t="shared" ref="O80:O83" si="24">IF(ISBLANK(N80), 0, COUNTIF($L$20:$L$83,N80))</f>
        <v>0</v>
      </c>
      <c r="Q80" s="11">
        <v>34.57</v>
      </c>
      <c r="R80" s="11">
        <f t="shared" si="12"/>
        <v>0</v>
      </c>
      <c r="T80" s="13" t="str">
        <f t="shared" si="13"/>
        <v/>
      </c>
    </row>
    <row r="81" spans="2:20" x14ac:dyDescent="0.35">
      <c r="B81" s="6">
        <v>6</v>
      </c>
      <c r="C81" s="2" t="s">
        <v>17</v>
      </c>
      <c r="D81" s="6" t="str">
        <f t="shared" si="15"/>
        <v>0</v>
      </c>
      <c r="E81" s="6" t="str">
        <f t="shared" si="16"/>
        <v>0</v>
      </c>
      <c r="F81" s="6" t="str">
        <f t="shared" si="17"/>
        <v>0</v>
      </c>
      <c r="G81" s="6" t="str">
        <f t="shared" si="18"/>
        <v>1</v>
      </c>
      <c r="H81" s="6" t="str">
        <f t="shared" si="19"/>
        <v>1</v>
      </c>
      <c r="I81" s="6" t="str">
        <f t="shared" si="20"/>
        <v>0</v>
      </c>
      <c r="J81" s="10">
        <f t="shared" si="21"/>
        <v>-1.2E-5</v>
      </c>
      <c r="K81" s="10">
        <f t="shared" si="22"/>
        <v>-3.9999999999999998E-6</v>
      </c>
      <c r="L81" s="10">
        <f t="shared" si="23"/>
        <v>0</v>
      </c>
      <c r="M81" s="11">
        <f>ROUND((Table35[[#This Row],[I1]]-Table35[[#This Row],[I2]])*1000000, 2)</f>
        <v>-8</v>
      </c>
      <c r="O81" s="13">
        <f t="shared" si="24"/>
        <v>0</v>
      </c>
      <c r="Q81" s="11">
        <v>34.57</v>
      </c>
      <c r="R81" s="11">
        <f t="shared" si="12"/>
        <v>0</v>
      </c>
      <c r="T81" s="13" t="str">
        <f t="shared" si="13"/>
        <v/>
      </c>
    </row>
    <row r="82" spans="2:20" x14ac:dyDescent="0.35">
      <c r="B82" s="6">
        <v>14</v>
      </c>
      <c r="C82" s="2" t="s">
        <v>17</v>
      </c>
      <c r="D82" s="6" t="str">
        <f t="shared" si="15"/>
        <v>0</v>
      </c>
      <c r="E82" s="6" t="str">
        <f t="shared" si="16"/>
        <v>0</v>
      </c>
      <c r="F82" s="6" t="str">
        <f t="shared" si="17"/>
        <v>1</v>
      </c>
      <c r="G82" s="6" t="str">
        <f t="shared" si="18"/>
        <v>1</v>
      </c>
      <c r="H82" s="6" t="str">
        <f t="shared" si="19"/>
        <v>1</v>
      </c>
      <c r="I82" s="6" t="str">
        <f t="shared" si="20"/>
        <v>0</v>
      </c>
      <c r="J82" s="10">
        <f t="shared" si="21"/>
        <v>-1.4000000000000001E-5</v>
      </c>
      <c r="K82" s="10">
        <f t="shared" si="22"/>
        <v>-1.4E-5</v>
      </c>
      <c r="L82" s="10">
        <f t="shared" si="23"/>
        <v>0</v>
      </c>
      <c r="M82" s="11">
        <f>ROUND((Table35[[#This Row],[I1]]-Table35[[#This Row],[I2]])*1000000, 2)</f>
        <v>0</v>
      </c>
      <c r="O82" s="13">
        <f t="shared" si="24"/>
        <v>0</v>
      </c>
      <c r="Q82" s="11">
        <v>34.57</v>
      </c>
      <c r="R82" s="11">
        <f t="shared" si="12"/>
        <v>0</v>
      </c>
      <c r="T82" s="13" t="str">
        <f t="shared" si="13"/>
        <v/>
      </c>
    </row>
    <row r="83" spans="2:20" x14ac:dyDescent="0.35">
      <c r="B83" s="6">
        <v>63</v>
      </c>
      <c r="C83" s="2" t="s">
        <v>17</v>
      </c>
      <c r="D83" s="6" t="str">
        <f t="shared" si="15"/>
        <v>1</v>
      </c>
      <c r="E83" s="6" t="str">
        <f t="shared" si="16"/>
        <v>1</v>
      </c>
      <c r="F83" s="6" t="str">
        <f t="shared" si="17"/>
        <v>1</v>
      </c>
      <c r="G83" s="6" t="str">
        <f t="shared" si="18"/>
        <v>1</v>
      </c>
      <c r="H83" s="6" t="str">
        <f t="shared" si="19"/>
        <v>1</v>
      </c>
      <c r="I83" s="6" t="str">
        <f t="shared" si="20"/>
        <v>1</v>
      </c>
      <c r="J83" s="10">
        <f t="shared" si="21"/>
        <v>-7.3142857142857151E-5</v>
      </c>
      <c r="K83" s="10">
        <f t="shared" si="22"/>
        <v>-7.3142857142857138E-5</v>
      </c>
      <c r="L83" s="10">
        <f t="shared" si="23"/>
        <v>0</v>
      </c>
      <c r="M83" s="11">
        <f>ROUND((Table35[[#This Row],[I1]]-Table35[[#This Row],[I2]])*1000000, 2)</f>
        <v>0</v>
      </c>
      <c r="O83" s="13">
        <f t="shared" si="24"/>
        <v>0</v>
      </c>
      <c r="Q83" s="11">
        <v>34.57</v>
      </c>
      <c r="R83" s="11" t="str">
        <f>IF(ISBLANK(Q84),"",ROUND(Q84-Q83,2))</f>
        <v/>
      </c>
      <c r="T83" s="13" t="str">
        <f t="shared" si="13"/>
        <v/>
      </c>
    </row>
  </sheetData>
  <conditionalFormatting sqref="M20:M83">
    <cfRule type="duplicateValues" dxfId="14" priority="1"/>
  </conditionalFormatting>
  <hyperlinks>
    <hyperlink ref="F10" r:id="rId1" display="R@" xr:uid="{351DED58-1BE5-4D7D-86BC-AC9A52D4D0F9}"/>
    <hyperlink ref="F2" r:id="rId2" display="R@" xr:uid="{DA0B1BEE-BE21-403E-A1AD-D17E06B44D1B}"/>
  </hyperlinks>
  <pageMargins left="0.7" right="0.7" top="0.75" bottom="0.75" header="0.3" footer="0.3"/>
  <drawing r:id="rId3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F7F2-A018-4533-AAB1-9757247EB3AF}">
  <dimension ref="B2:U83"/>
  <sheetViews>
    <sheetView topLeftCell="A16" workbookViewId="0">
      <selection activeCell="I9" sqref="I9"/>
    </sheetView>
  </sheetViews>
  <sheetFormatPr defaultRowHeight="14.5" x14ac:dyDescent="0.35"/>
  <cols>
    <col min="2" max="2" width="6.7265625" style="6" bestFit="1" customWidth="1"/>
    <col min="3" max="3" width="19.1796875" style="2" bestFit="1" customWidth="1"/>
    <col min="4" max="4" width="12.1796875" customWidth="1"/>
    <col min="5" max="9" width="10" bestFit="1" customWidth="1"/>
    <col min="10" max="12" width="10" style="10" bestFit="1" customWidth="1"/>
    <col min="13" max="13" width="10" style="10" customWidth="1"/>
    <col min="14" max="14" width="10" style="11" bestFit="1" customWidth="1"/>
    <col min="15" max="15" width="14.7265625" style="11" bestFit="1" customWidth="1"/>
    <col min="16" max="16" width="9.54296875" style="13" bestFit="1" customWidth="1"/>
    <col min="18" max="18" width="7.26953125" style="11" bestFit="1" customWidth="1"/>
    <col min="19" max="19" width="10.81640625" style="11" customWidth="1"/>
    <col min="20" max="20" width="9.1796875" style="11"/>
  </cols>
  <sheetData>
    <row r="2" spans="3:9" x14ac:dyDescent="0.35">
      <c r="E2" s="4" t="s">
        <v>10</v>
      </c>
      <c r="F2" s="4" t="s">
        <v>11</v>
      </c>
      <c r="G2" s="5" t="s">
        <v>13</v>
      </c>
      <c r="H2" s="5" t="s">
        <v>25</v>
      </c>
    </row>
    <row r="3" spans="3:9" x14ac:dyDescent="0.35">
      <c r="E3">
        <v>7</v>
      </c>
      <c r="F3">
        <v>7</v>
      </c>
      <c r="G3">
        <v>7</v>
      </c>
      <c r="H3">
        <v>7</v>
      </c>
    </row>
    <row r="4" spans="3:9" x14ac:dyDescent="0.35">
      <c r="E4">
        <v>100</v>
      </c>
      <c r="F4">
        <v>100</v>
      </c>
      <c r="G4">
        <v>7</v>
      </c>
      <c r="H4">
        <v>7</v>
      </c>
    </row>
    <row r="5" spans="3:9" x14ac:dyDescent="0.35">
      <c r="E5">
        <v>100</v>
      </c>
      <c r="F5">
        <v>100</v>
      </c>
      <c r="G5">
        <v>20</v>
      </c>
      <c r="H5">
        <v>20</v>
      </c>
    </row>
    <row r="6" spans="3:9" x14ac:dyDescent="0.35">
      <c r="C6" s="2" t="s">
        <v>32</v>
      </c>
      <c r="E6">
        <v>100</v>
      </c>
      <c r="F6">
        <v>100</v>
      </c>
      <c r="G6">
        <v>100</v>
      </c>
      <c r="H6">
        <v>100</v>
      </c>
    </row>
    <row r="7" spans="3:9" x14ac:dyDescent="0.35">
      <c r="E7">
        <v>20</v>
      </c>
      <c r="F7">
        <v>20</v>
      </c>
      <c r="G7">
        <v>100</v>
      </c>
      <c r="H7">
        <v>100</v>
      </c>
    </row>
    <row r="8" spans="3:9" x14ac:dyDescent="0.35">
      <c r="E8">
        <v>7</v>
      </c>
      <c r="F8">
        <v>7</v>
      </c>
      <c r="G8">
        <v>100</v>
      </c>
      <c r="H8">
        <v>100</v>
      </c>
    </row>
    <row r="10" spans="3:9" x14ac:dyDescent="0.35">
      <c r="E10" s="8" t="s">
        <v>7</v>
      </c>
      <c r="F10" s="8" t="s">
        <v>8</v>
      </c>
      <c r="G10" s="9" t="s">
        <v>12</v>
      </c>
      <c r="H10" s="9" t="s">
        <v>26</v>
      </c>
    </row>
    <row r="11" spans="3:9" x14ac:dyDescent="0.35">
      <c r="E11" s="10">
        <f t="shared" ref="E11:H13" si="0">-0.2/(E3*1000)</f>
        <v>-2.8571428571428574E-5</v>
      </c>
      <c r="F11" s="10">
        <f t="shared" si="0"/>
        <v>-2.8571428571428574E-5</v>
      </c>
      <c r="G11" s="10">
        <f t="shared" si="0"/>
        <v>-2.8571428571428574E-5</v>
      </c>
      <c r="H11" s="10">
        <f t="shared" si="0"/>
        <v>-2.8571428571428574E-5</v>
      </c>
      <c r="I11" s="10">
        <f>SUM(E11:H11)</f>
        <v>-1.142857142857143E-4</v>
      </c>
    </row>
    <row r="12" spans="3:9" x14ac:dyDescent="0.35">
      <c r="E12" s="10">
        <f t="shared" si="0"/>
        <v>-1.9999999999999999E-6</v>
      </c>
      <c r="F12" s="10">
        <f t="shared" si="0"/>
        <v>-1.9999999999999999E-6</v>
      </c>
      <c r="G12" s="10">
        <f t="shared" si="0"/>
        <v>-2.8571428571428574E-5</v>
      </c>
      <c r="H12" s="10">
        <f t="shared" si="0"/>
        <v>-2.8571428571428574E-5</v>
      </c>
      <c r="I12" s="10">
        <f t="shared" ref="I12:I16" si="1">SUM(E12:H12)</f>
        <v>-6.1142857142857144E-5</v>
      </c>
    </row>
    <row r="13" spans="3:9" x14ac:dyDescent="0.35">
      <c r="E13" s="10">
        <f t="shared" si="0"/>
        <v>-1.9999999999999999E-6</v>
      </c>
      <c r="F13" s="10">
        <f t="shared" si="0"/>
        <v>-1.9999999999999999E-6</v>
      </c>
      <c r="G13" s="10">
        <f t="shared" si="0"/>
        <v>-1.0000000000000001E-5</v>
      </c>
      <c r="H13" s="10">
        <f t="shared" si="0"/>
        <v>-1.0000000000000001E-5</v>
      </c>
      <c r="I13" s="10">
        <f t="shared" si="1"/>
        <v>-2.4000000000000001E-5</v>
      </c>
    </row>
    <row r="14" spans="3:9" x14ac:dyDescent="0.35">
      <c r="E14" s="10">
        <f t="shared" ref="E14:H16" si="2">-0.2/(E6*1000)</f>
        <v>-1.9999999999999999E-6</v>
      </c>
      <c r="F14" s="10">
        <f t="shared" si="2"/>
        <v>-1.9999999999999999E-6</v>
      </c>
      <c r="G14" s="10">
        <f t="shared" si="2"/>
        <v>-1.9999999999999999E-6</v>
      </c>
      <c r="H14" s="10">
        <f t="shared" si="2"/>
        <v>-1.9999999999999999E-6</v>
      </c>
      <c r="I14" s="10">
        <f t="shared" si="1"/>
        <v>-7.9999999999999996E-6</v>
      </c>
    </row>
    <row r="15" spans="3:9" x14ac:dyDescent="0.35">
      <c r="E15" s="10">
        <f t="shared" si="2"/>
        <v>-1.0000000000000001E-5</v>
      </c>
      <c r="F15" s="10">
        <f t="shared" si="2"/>
        <v>-1.0000000000000001E-5</v>
      </c>
      <c r="G15" s="10">
        <f t="shared" si="2"/>
        <v>-1.9999999999999999E-6</v>
      </c>
      <c r="H15" s="10">
        <f t="shared" si="2"/>
        <v>-1.9999999999999999E-6</v>
      </c>
      <c r="I15" s="10">
        <f t="shared" si="1"/>
        <v>-2.4000000000000004E-5</v>
      </c>
    </row>
    <row r="16" spans="3:9" x14ac:dyDescent="0.35">
      <c r="E16" s="10">
        <f t="shared" si="2"/>
        <v>-2.8571428571428574E-5</v>
      </c>
      <c r="F16" s="10">
        <f t="shared" si="2"/>
        <v>-2.8571428571428574E-5</v>
      </c>
      <c r="G16" s="10">
        <f t="shared" si="2"/>
        <v>-1.9999999999999999E-6</v>
      </c>
      <c r="H16" s="10">
        <f t="shared" si="2"/>
        <v>-1.9999999999999999E-6</v>
      </c>
      <c r="I16" s="10">
        <f t="shared" si="1"/>
        <v>-6.1142857142857144E-5</v>
      </c>
    </row>
    <row r="19" spans="2:21" s="2" customFormat="1" x14ac:dyDescent="0.35">
      <c r="B19" s="3" t="s">
        <v>6</v>
      </c>
      <c r="C19" s="4" t="s">
        <v>23</v>
      </c>
      <c r="D19" s="3" t="s">
        <v>5</v>
      </c>
      <c r="E19" s="3" t="s">
        <v>0</v>
      </c>
      <c r="F19" s="3" t="s">
        <v>1</v>
      </c>
      <c r="G19" s="3" t="s">
        <v>2</v>
      </c>
      <c r="H19" s="3" t="s">
        <v>3</v>
      </c>
      <c r="I19" s="3" t="s">
        <v>4</v>
      </c>
      <c r="J19" s="8" t="s">
        <v>7</v>
      </c>
      <c r="K19" s="8" t="s">
        <v>8</v>
      </c>
      <c r="L19" s="8" t="s">
        <v>12</v>
      </c>
      <c r="M19" s="8" t="s">
        <v>26</v>
      </c>
      <c r="N19" s="12" t="s">
        <v>9</v>
      </c>
      <c r="O19" s="12" t="s">
        <v>14</v>
      </c>
      <c r="P19" s="14" t="s">
        <v>15</v>
      </c>
      <c r="R19" s="12"/>
      <c r="S19" s="12"/>
      <c r="T19" s="12" t="s">
        <v>24</v>
      </c>
      <c r="U19" s="14" t="s">
        <v>15</v>
      </c>
    </row>
    <row r="20" spans="2:21" x14ac:dyDescent="0.35">
      <c r="B20" s="6">
        <v>4</v>
      </c>
      <c r="C20" s="2" t="s">
        <v>18</v>
      </c>
      <c r="D20" s="6" t="str">
        <f t="shared" ref="D20:D51" si="3">LEFT(RIGHT(DEC2BIN($B20,6),6),1)</f>
        <v>0</v>
      </c>
      <c r="E20" s="6" t="str">
        <f t="shared" ref="E20:E51" si="4">LEFT(RIGHT(DEC2BIN($B20,6),5),1)</f>
        <v>0</v>
      </c>
      <c r="F20" s="6" t="str">
        <f t="shared" ref="F20:F51" si="5">LEFT(RIGHT(DEC2BIN($B20,6),4),1)</f>
        <v>0</v>
      </c>
      <c r="G20" s="6" t="str">
        <f t="shared" ref="G20:G51" si="6">LEFT(RIGHT(DEC2BIN($B20,6),3),1)</f>
        <v>1</v>
      </c>
      <c r="H20" s="6" t="str">
        <f t="shared" ref="H20:H51" si="7">LEFT(RIGHT(DEC2BIN($B20,6),2),1)</f>
        <v>0</v>
      </c>
      <c r="I20" s="6" t="str">
        <f t="shared" ref="I20:I51" si="8">LEFT(RIGHT(DEC2BIN($B20,6),1),1)</f>
        <v>0</v>
      </c>
      <c r="J20" s="10">
        <f t="shared" ref="J20:J51" si="9">(($D20*$E$11)+($E20*$E$12)+($F20*$E$13)+($G20*$E$14)+($H20*$E$15)+($I20*$E$16))</f>
        <v>-1.9999999999999999E-6</v>
      </c>
      <c r="K20" s="10">
        <f t="shared" ref="K20:K51" si="10">(($D20*$F$11)+($E20*$F$12)+($F20*$F$13)+($G20*$F$14)+($H20*$F$15)+($I20*$F$16))</f>
        <v>-1.9999999999999999E-6</v>
      </c>
      <c r="L20" s="10">
        <f t="shared" ref="L20:L51" si="11">(($D20*G$11)+($E20*G$12)+($F20*G$13)+($G20*G$14)+($H20*G$15)+($I20*G$16))</f>
        <v>-1.9999999999999999E-6</v>
      </c>
      <c r="M20" s="10">
        <f t="shared" ref="M20:M51" si="12">(($D20*H$11)+($E20*H$12)+($F20*H$13)+($G20*H$14)+($H20*H$15)+($I20*H$16))</f>
        <v>-1.9999999999999999E-6</v>
      </c>
      <c r="N20" s="11">
        <f>ROUND(((Table356[[#This Row],[I1]]+Table356[[#This Row],[I2]])-(Table356[[#This Row],[I3]]+Table356[[#This Row],[I4]]))*1000000, 2)</f>
        <v>0</v>
      </c>
      <c r="O20" s="11" cm="1">
        <f t="array" ref="O20:O28" xml:space="preserve"> _xlfn.UNIQUE(N20:N83)</f>
        <v>0</v>
      </c>
      <c r="P20" s="13">
        <f>IF(ISBLANK(O20), "", COUNTIF($N$20:$N$83,O20))</f>
        <v>16</v>
      </c>
      <c r="R20" s="11" cm="1">
        <f t="array" ref="R20:R83">_xlfn._xlws.SORT(Table356[I-diff])</f>
        <v>-69.14</v>
      </c>
      <c r="S20" s="11">
        <f>ROUND(R21-R20,2)</f>
        <v>0</v>
      </c>
      <c r="T20" s="11" cm="1">
        <f t="array" ref="T20:T23">_xlfn.UNIQUE(S20:S83)</f>
        <v>0</v>
      </c>
      <c r="U20" s="13">
        <f t="shared" ref="U20:U24" si="13">IF(OR(ISBLANK(T20), T20 = ""),"",COUNTIF($S$20:$S$83,T20))</f>
        <v>55</v>
      </c>
    </row>
    <row r="21" spans="2:21" x14ac:dyDescent="0.35">
      <c r="B21" s="6">
        <v>16</v>
      </c>
      <c r="C21" s="2" t="s">
        <v>21</v>
      </c>
      <c r="D21" s="6" t="str">
        <f t="shared" si="3"/>
        <v>0</v>
      </c>
      <c r="E21" s="6" t="str">
        <f t="shared" si="4"/>
        <v>1</v>
      </c>
      <c r="F21" s="6" t="str">
        <f t="shared" si="5"/>
        <v>0</v>
      </c>
      <c r="G21" s="6" t="str">
        <f t="shared" si="6"/>
        <v>0</v>
      </c>
      <c r="H21" s="6" t="str">
        <f t="shared" si="7"/>
        <v>0</v>
      </c>
      <c r="I21" s="6" t="str">
        <f t="shared" si="8"/>
        <v>0</v>
      </c>
      <c r="J21" s="10">
        <f t="shared" si="9"/>
        <v>-1.9999999999999999E-6</v>
      </c>
      <c r="K21" s="10">
        <f t="shared" si="10"/>
        <v>-1.9999999999999999E-6</v>
      </c>
      <c r="L21" s="10">
        <f t="shared" si="11"/>
        <v>-2.8571428571428574E-5</v>
      </c>
      <c r="M21" s="10">
        <f t="shared" si="12"/>
        <v>-2.8571428571428574E-5</v>
      </c>
      <c r="N21" s="11">
        <f>ROUND(((Table356[[#This Row],[I1]]+Table356[[#This Row],[I2]])-(Table356[[#This Row],[I3]]+Table356[[#This Row],[I4]]))*1000000, 2)</f>
        <v>53.14</v>
      </c>
      <c r="O21" s="11">
        <v>53.14</v>
      </c>
      <c r="P21" s="13">
        <f t="shared" ref="P21:P41" si="14">IF(ISBLANK(O21), "", COUNTIF($N$20:$N$83,O21))</f>
        <v>8</v>
      </c>
      <c r="R21" s="11">
        <v>-69.14</v>
      </c>
      <c r="S21" s="11">
        <f>IF(ISBLANK(R22),"",ROUND(R22-R21,2))</f>
        <v>0</v>
      </c>
      <c r="T21" s="11">
        <v>16</v>
      </c>
      <c r="U21" s="13">
        <f t="shared" si="13"/>
        <v>6</v>
      </c>
    </row>
    <row r="22" spans="2:21" x14ac:dyDescent="0.35">
      <c r="B22" s="6">
        <v>24</v>
      </c>
      <c r="C22" s="2" t="s">
        <v>21</v>
      </c>
      <c r="D22" s="6" t="str">
        <f t="shared" si="3"/>
        <v>0</v>
      </c>
      <c r="E22" s="6" t="str">
        <f t="shared" si="4"/>
        <v>1</v>
      </c>
      <c r="F22" s="6" t="str">
        <f t="shared" si="5"/>
        <v>1</v>
      </c>
      <c r="G22" s="6" t="str">
        <f t="shared" si="6"/>
        <v>0</v>
      </c>
      <c r="H22" s="6" t="str">
        <f t="shared" si="7"/>
        <v>0</v>
      </c>
      <c r="I22" s="6" t="str">
        <f t="shared" si="8"/>
        <v>0</v>
      </c>
      <c r="J22" s="10">
        <f t="shared" si="9"/>
        <v>-3.9999999999999998E-6</v>
      </c>
      <c r="K22" s="10">
        <f t="shared" si="10"/>
        <v>-3.9999999999999998E-6</v>
      </c>
      <c r="L22" s="10">
        <f t="shared" si="11"/>
        <v>-3.8571428571428577E-5</v>
      </c>
      <c r="M22" s="10">
        <f t="shared" si="12"/>
        <v>-3.8571428571428577E-5</v>
      </c>
      <c r="N22" s="11">
        <f>ROUND(((Table356[[#This Row],[I1]]+Table356[[#This Row],[I2]])-(Table356[[#This Row],[I3]]+Table356[[#This Row],[I4]]))*1000000, 2)</f>
        <v>69.14</v>
      </c>
      <c r="O22" s="11">
        <v>69.14</v>
      </c>
      <c r="P22" s="13">
        <f t="shared" si="14"/>
        <v>4</v>
      </c>
      <c r="R22" s="11">
        <v>-69.14</v>
      </c>
      <c r="S22" s="11">
        <f t="shared" ref="S22:S82" si="15">IF(ISBLANK(R23),"",ROUND(R23-R22,2))</f>
        <v>0</v>
      </c>
      <c r="T22" s="11">
        <v>21.14</v>
      </c>
      <c r="U22" s="13">
        <f t="shared" si="13"/>
        <v>2</v>
      </c>
    </row>
    <row r="23" spans="2:21" x14ac:dyDescent="0.35">
      <c r="B23" s="6">
        <v>28</v>
      </c>
      <c r="C23" s="2" t="s">
        <v>21</v>
      </c>
      <c r="D23" s="6" t="str">
        <f t="shared" si="3"/>
        <v>0</v>
      </c>
      <c r="E23" s="6" t="str">
        <f t="shared" si="4"/>
        <v>1</v>
      </c>
      <c r="F23" s="6" t="str">
        <f t="shared" si="5"/>
        <v>1</v>
      </c>
      <c r="G23" s="6" t="str">
        <f t="shared" si="6"/>
        <v>1</v>
      </c>
      <c r="H23" s="6" t="str">
        <f t="shared" si="7"/>
        <v>0</v>
      </c>
      <c r="I23" s="6" t="str">
        <f t="shared" si="8"/>
        <v>0</v>
      </c>
      <c r="J23" s="10">
        <f t="shared" si="9"/>
        <v>-6.0000000000000002E-6</v>
      </c>
      <c r="K23" s="10">
        <f t="shared" si="10"/>
        <v>-6.0000000000000002E-6</v>
      </c>
      <c r="L23" s="10">
        <f t="shared" si="11"/>
        <v>-4.0571428571428578E-5</v>
      </c>
      <c r="M23" s="10">
        <f t="shared" si="12"/>
        <v>-4.0571428571428578E-5</v>
      </c>
      <c r="N23" s="11">
        <f>ROUND(((Table356[[#This Row],[I1]]+Table356[[#This Row],[I2]])-(Table356[[#This Row],[I3]]+Table356[[#This Row],[I4]]))*1000000, 2)</f>
        <v>69.14</v>
      </c>
      <c r="O23" s="11">
        <v>-53.14</v>
      </c>
      <c r="P23" s="13">
        <f t="shared" si="14"/>
        <v>8</v>
      </c>
      <c r="R23" s="11">
        <v>-69.14</v>
      </c>
      <c r="S23" s="11">
        <f t="shared" si="15"/>
        <v>16</v>
      </c>
      <c r="T23" s="11" t="str">
        <v/>
      </c>
      <c r="U23" s="13" t="str">
        <f t="shared" si="13"/>
        <v/>
      </c>
    </row>
    <row r="24" spans="2:21" x14ac:dyDescent="0.35">
      <c r="B24" s="6">
        <v>0</v>
      </c>
      <c r="C24" s="2" t="s">
        <v>16</v>
      </c>
      <c r="D24" s="6" t="str">
        <f t="shared" si="3"/>
        <v>0</v>
      </c>
      <c r="E24" s="6" t="str">
        <f t="shared" si="4"/>
        <v>0</v>
      </c>
      <c r="F24" s="6" t="str">
        <f t="shared" si="5"/>
        <v>0</v>
      </c>
      <c r="G24" s="6" t="str">
        <f t="shared" si="6"/>
        <v>0</v>
      </c>
      <c r="H24" s="6" t="str">
        <f t="shared" si="7"/>
        <v>0</v>
      </c>
      <c r="I24" s="6" t="str">
        <f t="shared" si="8"/>
        <v>0</v>
      </c>
      <c r="J24" s="10">
        <f t="shared" si="9"/>
        <v>0</v>
      </c>
      <c r="K24" s="10">
        <f t="shared" si="10"/>
        <v>0</v>
      </c>
      <c r="L24" s="10">
        <f t="shared" si="11"/>
        <v>0</v>
      </c>
      <c r="M24" s="10">
        <f t="shared" si="12"/>
        <v>0</v>
      </c>
      <c r="N24" s="11">
        <f>ROUND(((Table356[[#This Row],[I1]]+Table356[[#This Row],[I2]])-(Table356[[#This Row],[I3]]+Table356[[#This Row],[I4]]))*1000000, 2)</f>
        <v>0</v>
      </c>
      <c r="O24" s="11">
        <v>-69.14</v>
      </c>
      <c r="P24" s="13">
        <f t="shared" si="14"/>
        <v>4</v>
      </c>
      <c r="R24" s="11">
        <v>-53.14</v>
      </c>
      <c r="S24" s="11">
        <f t="shared" si="15"/>
        <v>0</v>
      </c>
      <c r="U24" s="13" t="str">
        <f t="shared" si="13"/>
        <v/>
      </c>
    </row>
    <row r="25" spans="2:21" hidden="1" x14ac:dyDescent="0.35">
      <c r="B25" s="6">
        <v>5</v>
      </c>
      <c r="C25" s="2" t="s">
        <v>20</v>
      </c>
      <c r="D25" s="6" t="str">
        <f t="shared" si="3"/>
        <v>0</v>
      </c>
      <c r="E25" s="6" t="str">
        <f t="shared" si="4"/>
        <v>0</v>
      </c>
      <c r="F25" s="6" t="str">
        <f t="shared" si="5"/>
        <v>0</v>
      </c>
      <c r="G25" s="6" t="str">
        <f t="shared" si="6"/>
        <v>1</v>
      </c>
      <c r="H25" s="6" t="str">
        <f t="shared" si="7"/>
        <v>0</v>
      </c>
      <c r="I25" s="6" t="str">
        <f t="shared" si="8"/>
        <v>1</v>
      </c>
      <c r="J25" s="10">
        <f t="shared" si="9"/>
        <v>-3.0571428571428572E-5</v>
      </c>
      <c r="K25" s="10">
        <f t="shared" si="10"/>
        <v>-3.0571428571428572E-5</v>
      </c>
      <c r="L25" s="10">
        <f t="shared" si="11"/>
        <v>-3.9999999999999998E-6</v>
      </c>
      <c r="M25" s="10">
        <f t="shared" si="12"/>
        <v>-3.9999999999999998E-6</v>
      </c>
      <c r="N25" s="11">
        <f>ROUND(((Table356[[#This Row],[I1]]+Table356[[#This Row],[I2]])-(Table356[[#This Row],[I3]]+Table356[[#This Row],[I4]]))*1000000, 2)</f>
        <v>-53.14</v>
      </c>
      <c r="O25" s="11">
        <v>-37.14</v>
      </c>
      <c r="P25" s="13">
        <f t="shared" si="14"/>
        <v>4</v>
      </c>
      <c r="R25" s="11">
        <v>-53.14</v>
      </c>
      <c r="S25" s="11">
        <f t="shared" si="15"/>
        <v>0</v>
      </c>
      <c r="U25" s="13" t="str">
        <f>IF(OR(ISBLANK(T25), T25 = ""),"",COUNTIF($S$20:$S$83,T25))</f>
        <v/>
      </c>
    </row>
    <row r="26" spans="2:21" x14ac:dyDescent="0.35">
      <c r="B26" s="6">
        <v>1</v>
      </c>
      <c r="C26" s="2" t="s">
        <v>16</v>
      </c>
      <c r="D26" s="6" t="str">
        <f t="shared" si="3"/>
        <v>0</v>
      </c>
      <c r="E26" s="6" t="str">
        <f t="shared" si="4"/>
        <v>0</v>
      </c>
      <c r="F26" s="6" t="str">
        <f t="shared" si="5"/>
        <v>0</v>
      </c>
      <c r="G26" s="6" t="str">
        <f t="shared" si="6"/>
        <v>0</v>
      </c>
      <c r="H26" s="6" t="str">
        <f t="shared" si="7"/>
        <v>0</v>
      </c>
      <c r="I26" s="6" t="str">
        <f t="shared" si="8"/>
        <v>1</v>
      </c>
      <c r="J26" s="10">
        <f t="shared" si="9"/>
        <v>-2.8571428571428574E-5</v>
      </c>
      <c r="K26" s="10">
        <f t="shared" si="10"/>
        <v>-2.8571428571428574E-5</v>
      </c>
      <c r="L26" s="10">
        <f t="shared" si="11"/>
        <v>-1.9999999999999999E-6</v>
      </c>
      <c r="M26" s="10">
        <f t="shared" si="12"/>
        <v>-1.9999999999999999E-6</v>
      </c>
      <c r="N26" s="11">
        <f>ROUND(((Table356[[#This Row],[I1]]+Table356[[#This Row],[I2]])-(Table356[[#This Row],[I3]]+Table356[[#This Row],[I4]]))*1000000, 2)</f>
        <v>-53.14</v>
      </c>
      <c r="O26" s="11">
        <v>37.14</v>
      </c>
      <c r="P26" s="13">
        <f t="shared" si="14"/>
        <v>4</v>
      </c>
      <c r="R26" s="11">
        <v>-53.14</v>
      </c>
      <c r="S26" s="11">
        <f t="shared" si="15"/>
        <v>0</v>
      </c>
      <c r="U26" s="13" t="str">
        <f t="shared" ref="U26:U83" si="16">IF(OR(ISBLANK(T26), T26 = ""),"",COUNTIF($S$20:$S$83,T26))</f>
        <v/>
      </c>
    </row>
    <row r="27" spans="2:21" x14ac:dyDescent="0.35">
      <c r="B27" s="6">
        <v>3</v>
      </c>
      <c r="C27" s="2" t="s">
        <v>16</v>
      </c>
      <c r="D27" s="6" t="str">
        <f t="shared" si="3"/>
        <v>0</v>
      </c>
      <c r="E27" s="6" t="str">
        <f t="shared" si="4"/>
        <v>0</v>
      </c>
      <c r="F27" s="6" t="str">
        <f t="shared" si="5"/>
        <v>0</v>
      </c>
      <c r="G27" s="6" t="str">
        <f t="shared" si="6"/>
        <v>0</v>
      </c>
      <c r="H27" s="6" t="str">
        <f t="shared" si="7"/>
        <v>1</v>
      </c>
      <c r="I27" s="6" t="str">
        <f t="shared" si="8"/>
        <v>1</v>
      </c>
      <c r="J27" s="10">
        <f t="shared" si="9"/>
        <v>-3.8571428571428577E-5</v>
      </c>
      <c r="K27" s="10">
        <f t="shared" si="10"/>
        <v>-3.8571428571428577E-5</v>
      </c>
      <c r="L27" s="10">
        <f t="shared" si="11"/>
        <v>-3.9999999999999998E-6</v>
      </c>
      <c r="M27" s="10">
        <f t="shared" si="12"/>
        <v>-3.9999999999999998E-6</v>
      </c>
      <c r="N27" s="11">
        <f>ROUND(((Table356[[#This Row],[I1]]+Table356[[#This Row],[I2]])-(Table356[[#This Row],[I3]]+Table356[[#This Row],[I4]]))*1000000, 2)</f>
        <v>-69.14</v>
      </c>
      <c r="O27" s="11">
        <v>-16</v>
      </c>
      <c r="P27" s="13">
        <f t="shared" si="14"/>
        <v>8</v>
      </c>
      <c r="R27" s="11">
        <v>-53.14</v>
      </c>
      <c r="S27" s="11">
        <f t="shared" si="15"/>
        <v>0</v>
      </c>
      <c r="U27" s="13" t="str">
        <f t="shared" si="16"/>
        <v/>
      </c>
    </row>
    <row r="28" spans="2:21" x14ac:dyDescent="0.35">
      <c r="B28" s="6">
        <v>7</v>
      </c>
      <c r="C28" s="2" t="s">
        <v>16</v>
      </c>
      <c r="D28" s="6" t="str">
        <f t="shared" si="3"/>
        <v>0</v>
      </c>
      <c r="E28" s="6" t="str">
        <f t="shared" si="4"/>
        <v>0</v>
      </c>
      <c r="F28" s="6" t="str">
        <f t="shared" si="5"/>
        <v>0</v>
      </c>
      <c r="G28" s="6" t="str">
        <f t="shared" si="6"/>
        <v>1</v>
      </c>
      <c r="H28" s="6" t="str">
        <f t="shared" si="7"/>
        <v>1</v>
      </c>
      <c r="I28" s="6" t="str">
        <f t="shared" si="8"/>
        <v>1</v>
      </c>
      <c r="J28" s="10">
        <f t="shared" si="9"/>
        <v>-4.0571428571428578E-5</v>
      </c>
      <c r="K28" s="10">
        <f t="shared" si="10"/>
        <v>-4.0571428571428578E-5</v>
      </c>
      <c r="L28" s="10">
        <f t="shared" si="11"/>
        <v>-6.0000000000000002E-6</v>
      </c>
      <c r="M28" s="10">
        <f t="shared" si="12"/>
        <v>-6.0000000000000002E-6</v>
      </c>
      <c r="N28" s="11">
        <f>ROUND(((Table356[[#This Row],[I1]]+Table356[[#This Row],[I2]])-(Table356[[#This Row],[I3]]+Table356[[#This Row],[I4]]))*1000000, 2)</f>
        <v>-69.14</v>
      </c>
      <c r="O28" s="11">
        <v>16</v>
      </c>
      <c r="P28" s="13">
        <f t="shared" si="14"/>
        <v>8</v>
      </c>
      <c r="R28" s="11">
        <v>-53.14</v>
      </c>
      <c r="S28" s="11">
        <f t="shared" si="15"/>
        <v>0</v>
      </c>
      <c r="U28" s="13" t="str">
        <f t="shared" si="16"/>
        <v/>
      </c>
    </row>
    <row r="29" spans="2:21" ht="15" hidden="1" customHeight="1" x14ac:dyDescent="0.35">
      <c r="B29" s="6">
        <v>9</v>
      </c>
      <c r="C29" s="2" t="s">
        <v>20</v>
      </c>
      <c r="D29" s="6" t="str">
        <f t="shared" si="3"/>
        <v>0</v>
      </c>
      <c r="E29" s="6" t="str">
        <f t="shared" si="4"/>
        <v>0</v>
      </c>
      <c r="F29" s="6" t="str">
        <f t="shared" si="5"/>
        <v>1</v>
      </c>
      <c r="G29" s="6" t="str">
        <f t="shared" si="6"/>
        <v>0</v>
      </c>
      <c r="H29" s="6" t="str">
        <f t="shared" si="7"/>
        <v>0</v>
      </c>
      <c r="I29" s="6" t="str">
        <f t="shared" si="8"/>
        <v>1</v>
      </c>
      <c r="J29" s="10">
        <f t="shared" si="9"/>
        <v>-3.0571428571428572E-5</v>
      </c>
      <c r="K29" s="10">
        <f t="shared" si="10"/>
        <v>-3.0571428571428572E-5</v>
      </c>
      <c r="L29" s="10">
        <f t="shared" si="11"/>
        <v>-1.2E-5</v>
      </c>
      <c r="M29" s="10">
        <f t="shared" si="12"/>
        <v>-1.2E-5</v>
      </c>
      <c r="N29" s="11">
        <f>ROUND(((Table356[[#This Row],[I1]]+Table356[[#This Row],[I2]])-(Table356[[#This Row],[I3]]+Table356[[#This Row],[I4]]))*1000000, 2)</f>
        <v>-37.14</v>
      </c>
      <c r="P29" s="13" t="str">
        <f t="shared" si="14"/>
        <v/>
      </c>
      <c r="R29" s="11">
        <v>-53.14</v>
      </c>
      <c r="S29" s="11">
        <f t="shared" si="15"/>
        <v>0</v>
      </c>
      <c r="U29" s="13" t="str">
        <f t="shared" si="16"/>
        <v/>
      </c>
    </row>
    <row r="30" spans="2:21" ht="15" hidden="1" customHeight="1" x14ac:dyDescent="0.35">
      <c r="B30" s="6">
        <v>10</v>
      </c>
      <c r="C30" s="2" t="s">
        <v>20</v>
      </c>
      <c r="D30" s="6" t="str">
        <f t="shared" si="3"/>
        <v>0</v>
      </c>
      <c r="E30" s="6" t="str">
        <f t="shared" si="4"/>
        <v>0</v>
      </c>
      <c r="F30" s="6" t="str">
        <f t="shared" si="5"/>
        <v>1</v>
      </c>
      <c r="G30" s="6" t="str">
        <f t="shared" si="6"/>
        <v>0</v>
      </c>
      <c r="H30" s="6" t="str">
        <f t="shared" si="7"/>
        <v>1</v>
      </c>
      <c r="I30" s="6" t="str">
        <f t="shared" si="8"/>
        <v>0</v>
      </c>
      <c r="J30" s="10">
        <f t="shared" si="9"/>
        <v>-1.2E-5</v>
      </c>
      <c r="K30" s="10">
        <f t="shared" si="10"/>
        <v>-1.2E-5</v>
      </c>
      <c r="L30" s="10">
        <f t="shared" si="11"/>
        <v>-1.2E-5</v>
      </c>
      <c r="M30" s="10">
        <f t="shared" si="12"/>
        <v>-1.2E-5</v>
      </c>
      <c r="N30" s="11">
        <f>ROUND(((Table356[[#This Row],[I1]]+Table356[[#This Row],[I2]])-(Table356[[#This Row],[I3]]+Table356[[#This Row],[I4]]))*1000000, 2)</f>
        <v>0</v>
      </c>
      <c r="P30" s="13" t="str">
        <f t="shared" si="14"/>
        <v/>
      </c>
      <c r="R30" s="11">
        <v>-53.14</v>
      </c>
      <c r="S30" s="11">
        <f t="shared" si="15"/>
        <v>0</v>
      </c>
      <c r="U30" s="13" t="str">
        <f t="shared" si="16"/>
        <v/>
      </c>
    </row>
    <row r="31" spans="2:21" ht="15" hidden="1" customHeight="1" x14ac:dyDescent="0.35">
      <c r="B31" s="6">
        <v>11</v>
      </c>
      <c r="C31" s="2" t="s">
        <v>20</v>
      </c>
      <c r="D31" s="6" t="str">
        <f t="shared" si="3"/>
        <v>0</v>
      </c>
      <c r="E31" s="6" t="str">
        <f t="shared" si="4"/>
        <v>0</v>
      </c>
      <c r="F31" s="6" t="str">
        <f t="shared" si="5"/>
        <v>1</v>
      </c>
      <c r="G31" s="6" t="str">
        <f t="shared" si="6"/>
        <v>0</v>
      </c>
      <c r="H31" s="6" t="str">
        <f t="shared" si="7"/>
        <v>1</v>
      </c>
      <c r="I31" s="6" t="str">
        <f t="shared" si="8"/>
        <v>1</v>
      </c>
      <c r="J31" s="10">
        <f t="shared" si="9"/>
        <v>-4.0571428571428578E-5</v>
      </c>
      <c r="K31" s="10">
        <f t="shared" si="10"/>
        <v>-4.0571428571428578E-5</v>
      </c>
      <c r="L31" s="10">
        <f t="shared" si="11"/>
        <v>-1.4E-5</v>
      </c>
      <c r="M31" s="10">
        <f t="shared" si="12"/>
        <v>-1.4E-5</v>
      </c>
      <c r="N31" s="11">
        <f>ROUND(((Table356[[#This Row],[I1]]+Table356[[#This Row],[I2]])-(Table356[[#This Row],[I3]]+Table356[[#This Row],[I4]]))*1000000, 2)</f>
        <v>-53.14</v>
      </c>
      <c r="P31" s="13" t="str">
        <f t="shared" si="14"/>
        <v/>
      </c>
      <c r="R31" s="11">
        <v>-53.14</v>
      </c>
      <c r="S31" s="11">
        <f t="shared" si="15"/>
        <v>16</v>
      </c>
      <c r="U31" s="13" t="str">
        <f t="shared" si="16"/>
        <v/>
      </c>
    </row>
    <row r="32" spans="2:21" x14ac:dyDescent="0.35">
      <c r="B32" s="6">
        <v>15</v>
      </c>
      <c r="C32" s="2" t="s">
        <v>16</v>
      </c>
      <c r="D32" s="6" t="str">
        <f t="shared" si="3"/>
        <v>0</v>
      </c>
      <c r="E32" s="6" t="str">
        <f t="shared" si="4"/>
        <v>0</v>
      </c>
      <c r="F32" s="6" t="str">
        <f t="shared" si="5"/>
        <v>1</v>
      </c>
      <c r="G32" s="6" t="str">
        <f t="shared" si="6"/>
        <v>1</v>
      </c>
      <c r="H32" s="6" t="str">
        <f t="shared" si="7"/>
        <v>1</v>
      </c>
      <c r="I32" s="6" t="str">
        <f t="shared" si="8"/>
        <v>1</v>
      </c>
      <c r="J32" s="10">
        <f t="shared" si="9"/>
        <v>-4.2571428571428572E-5</v>
      </c>
      <c r="K32" s="10">
        <f t="shared" si="10"/>
        <v>-4.2571428571428572E-5</v>
      </c>
      <c r="L32" s="10">
        <f t="shared" si="11"/>
        <v>-1.5999999999999999E-5</v>
      </c>
      <c r="M32" s="10">
        <f t="shared" si="12"/>
        <v>-1.5999999999999999E-5</v>
      </c>
      <c r="N32" s="11">
        <f>ROUND(((Table356[[#This Row],[I1]]+Table356[[#This Row],[I2]])-(Table356[[#This Row],[I3]]+Table356[[#This Row],[I4]]))*1000000, 2)</f>
        <v>-53.14</v>
      </c>
      <c r="P32" s="13" t="str">
        <f t="shared" si="14"/>
        <v/>
      </c>
      <c r="R32" s="11">
        <v>-37.14</v>
      </c>
      <c r="S32" s="11">
        <f t="shared" si="15"/>
        <v>0</v>
      </c>
      <c r="U32" s="13" t="str">
        <f t="shared" si="16"/>
        <v/>
      </c>
    </row>
    <row r="33" spans="2:21" ht="15" hidden="1" customHeight="1" x14ac:dyDescent="0.35">
      <c r="B33" s="6">
        <v>13</v>
      </c>
      <c r="C33" s="2" t="s">
        <v>20</v>
      </c>
      <c r="D33" s="6" t="str">
        <f t="shared" si="3"/>
        <v>0</v>
      </c>
      <c r="E33" s="6" t="str">
        <f t="shared" si="4"/>
        <v>0</v>
      </c>
      <c r="F33" s="6" t="str">
        <f t="shared" si="5"/>
        <v>1</v>
      </c>
      <c r="G33" s="6" t="str">
        <f t="shared" si="6"/>
        <v>1</v>
      </c>
      <c r="H33" s="6" t="str">
        <f t="shared" si="7"/>
        <v>0</v>
      </c>
      <c r="I33" s="6" t="str">
        <f t="shared" si="8"/>
        <v>1</v>
      </c>
      <c r="J33" s="10">
        <f t="shared" si="9"/>
        <v>-3.2571428571428573E-5</v>
      </c>
      <c r="K33" s="10">
        <f t="shared" si="10"/>
        <v>-3.2571428571428573E-5</v>
      </c>
      <c r="L33" s="10">
        <f t="shared" si="11"/>
        <v>-1.4E-5</v>
      </c>
      <c r="M33" s="10">
        <f t="shared" si="12"/>
        <v>-1.4E-5</v>
      </c>
      <c r="N33" s="11">
        <f>ROUND(((Table356[[#This Row],[I1]]+Table356[[#This Row],[I2]])-(Table356[[#This Row],[I3]]+Table356[[#This Row],[I4]]))*1000000, 2)</f>
        <v>-37.14</v>
      </c>
      <c r="P33" s="13" t="str">
        <f t="shared" si="14"/>
        <v/>
      </c>
      <c r="R33" s="11">
        <v>-37.14</v>
      </c>
      <c r="S33" s="11">
        <f t="shared" si="15"/>
        <v>0</v>
      </c>
      <c r="U33" s="13" t="str">
        <f t="shared" si="16"/>
        <v/>
      </c>
    </row>
    <row r="34" spans="2:21" x14ac:dyDescent="0.35">
      <c r="B34" s="6">
        <v>31</v>
      </c>
      <c r="C34" s="2" t="s">
        <v>16</v>
      </c>
      <c r="D34" s="6" t="str">
        <f t="shared" si="3"/>
        <v>0</v>
      </c>
      <c r="E34" s="6" t="str">
        <f t="shared" si="4"/>
        <v>1</v>
      </c>
      <c r="F34" s="6" t="str">
        <f t="shared" si="5"/>
        <v>1</v>
      </c>
      <c r="G34" s="6" t="str">
        <f t="shared" si="6"/>
        <v>1</v>
      </c>
      <c r="H34" s="6" t="str">
        <f t="shared" si="7"/>
        <v>1</v>
      </c>
      <c r="I34" s="6" t="str">
        <f t="shared" si="8"/>
        <v>1</v>
      </c>
      <c r="J34" s="10">
        <f t="shared" si="9"/>
        <v>-4.457142857142858E-5</v>
      </c>
      <c r="K34" s="10">
        <f t="shared" si="10"/>
        <v>-4.457142857142858E-5</v>
      </c>
      <c r="L34" s="10">
        <f t="shared" si="11"/>
        <v>-4.457142857142858E-5</v>
      </c>
      <c r="M34" s="10">
        <f t="shared" si="12"/>
        <v>-4.457142857142858E-5</v>
      </c>
      <c r="N34" s="11">
        <f>ROUND(((Table356[[#This Row],[I1]]+Table356[[#This Row],[I2]])-(Table356[[#This Row],[I3]]+Table356[[#This Row],[I4]]))*1000000, 2)</f>
        <v>0</v>
      </c>
      <c r="P34" s="13" t="str">
        <f t="shared" si="14"/>
        <v/>
      </c>
      <c r="R34" s="11">
        <v>-37.14</v>
      </c>
      <c r="S34" s="11">
        <f t="shared" si="15"/>
        <v>0</v>
      </c>
      <c r="U34" s="13" t="str">
        <f t="shared" si="16"/>
        <v/>
      </c>
    </row>
    <row r="35" spans="2:21" hidden="1" x14ac:dyDescent="0.35">
      <c r="B35" s="6">
        <v>17</v>
      </c>
      <c r="C35" s="2" t="s">
        <v>20</v>
      </c>
      <c r="D35" s="6" t="str">
        <f t="shared" si="3"/>
        <v>0</v>
      </c>
      <c r="E35" s="6" t="str">
        <f t="shared" si="4"/>
        <v>1</v>
      </c>
      <c r="F35" s="6" t="str">
        <f t="shared" si="5"/>
        <v>0</v>
      </c>
      <c r="G35" s="6" t="str">
        <f t="shared" si="6"/>
        <v>0</v>
      </c>
      <c r="H35" s="6" t="str">
        <f t="shared" si="7"/>
        <v>0</v>
      </c>
      <c r="I35" s="6" t="str">
        <f t="shared" si="8"/>
        <v>1</v>
      </c>
      <c r="J35" s="10">
        <f t="shared" si="9"/>
        <v>-3.0571428571428572E-5</v>
      </c>
      <c r="K35" s="10">
        <f t="shared" si="10"/>
        <v>-3.0571428571428572E-5</v>
      </c>
      <c r="L35" s="10">
        <f t="shared" si="11"/>
        <v>-3.0571428571428572E-5</v>
      </c>
      <c r="M35" s="10">
        <f t="shared" si="12"/>
        <v>-3.0571428571428572E-5</v>
      </c>
      <c r="N35" s="11">
        <f>ROUND(((Table356[[#This Row],[I1]]+Table356[[#This Row],[I2]])-(Table356[[#This Row],[I3]]+Table356[[#This Row],[I4]]))*1000000, 2)</f>
        <v>0</v>
      </c>
      <c r="P35" s="13" t="str">
        <f t="shared" si="14"/>
        <v/>
      </c>
      <c r="R35" s="11">
        <v>-37.14</v>
      </c>
      <c r="S35" s="11">
        <f t="shared" si="15"/>
        <v>21.14</v>
      </c>
      <c r="U35" s="13" t="str">
        <f t="shared" si="16"/>
        <v/>
      </c>
    </row>
    <row r="36" spans="2:21" hidden="1" x14ac:dyDescent="0.35">
      <c r="B36" s="6">
        <v>18</v>
      </c>
      <c r="C36" s="2" t="s">
        <v>20</v>
      </c>
      <c r="D36" s="6" t="str">
        <f t="shared" si="3"/>
        <v>0</v>
      </c>
      <c r="E36" s="6" t="str">
        <f t="shared" si="4"/>
        <v>1</v>
      </c>
      <c r="F36" s="6" t="str">
        <f t="shared" si="5"/>
        <v>0</v>
      </c>
      <c r="G36" s="6" t="str">
        <f t="shared" si="6"/>
        <v>0</v>
      </c>
      <c r="H36" s="6" t="str">
        <f t="shared" si="7"/>
        <v>1</v>
      </c>
      <c r="I36" s="6" t="str">
        <f t="shared" si="8"/>
        <v>0</v>
      </c>
      <c r="J36" s="10">
        <f t="shared" si="9"/>
        <v>-1.2E-5</v>
      </c>
      <c r="K36" s="10">
        <f t="shared" si="10"/>
        <v>-1.2E-5</v>
      </c>
      <c r="L36" s="10">
        <f t="shared" si="11"/>
        <v>-3.0571428571428572E-5</v>
      </c>
      <c r="M36" s="10">
        <f t="shared" si="12"/>
        <v>-3.0571428571428572E-5</v>
      </c>
      <c r="N36" s="11">
        <f>ROUND(((Table356[[#This Row],[I1]]+Table356[[#This Row],[I2]])-(Table356[[#This Row],[I3]]+Table356[[#This Row],[I4]]))*1000000, 2)</f>
        <v>37.14</v>
      </c>
      <c r="P36" s="13" t="str">
        <f t="shared" si="14"/>
        <v/>
      </c>
      <c r="R36" s="11">
        <v>-16</v>
      </c>
      <c r="S36" s="11">
        <f t="shared" si="15"/>
        <v>0</v>
      </c>
      <c r="U36" s="13" t="str">
        <f t="shared" si="16"/>
        <v/>
      </c>
    </row>
    <row r="37" spans="2:21" ht="15" hidden="1" customHeight="1" x14ac:dyDescent="0.35">
      <c r="B37" s="6">
        <v>19</v>
      </c>
      <c r="C37" s="2" t="s">
        <v>20</v>
      </c>
      <c r="D37" s="6" t="str">
        <f t="shared" si="3"/>
        <v>0</v>
      </c>
      <c r="E37" s="6" t="str">
        <f t="shared" si="4"/>
        <v>1</v>
      </c>
      <c r="F37" s="6" t="str">
        <f t="shared" si="5"/>
        <v>0</v>
      </c>
      <c r="G37" s="6" t="str">
        <f t="shared" si="6"/>
        <v>0</v>
      </c>
      <c r="H37" s="6" t="str">
        <f t="shared" si="7"/>
        <v>1</v>
      </c>
      <c r="I37" s="6" t="str">
        <f t="shared" si="8"/>
        <v>1</v>
      </c>
      <c r="J37" s="10">
        <f t="shared" si="9"/>
        <v>-4.0571428571428578E-5</v>
      </c>
      <c r="K37" s="10">
        <f t="shared" si="10"/>
        <v>-4.0571428571428578E-5</v>
      </c>
      <c r="L37" s="10">
        <f t="shared" si="11"/>
        <v>-3.2571428571428573E-5</v>
      </c>
      <c r="M37" s="10">
        <f t="shared" si="12"/>
        <v>-3.2571428571428573E-5</v>
      </c>
      <c r="N37" s="11">
        <f>ROUND(((Table356[[#This Row],[I1]]+Table356[[#This Row],[I2]])-(Table356[[#This Row],[I3]]+Table356[[#This Row],[I4]]))*1000000, 2)</f>
        <v>-16</v>
      </c>
      <c r="P37" s="13" t="str">
        <f t="shared" si="14"/>
        <v/>
      </c>
      <c r="R37" s="11">
        <v>-16</v>
      </c>
      <c r="S37" s="11">
        <f t="shared" si="15"/>
        <v>0</v>
      </c>
      <c r="U37" s="13" t="str">
        <f t="shared" si="16"/>
        <v/>
      </c>
    </row>
    <row r="38" spans="2:21" ht="15" hidden="1" customHeight="1" x14ac:dyDescent="0.35">
      <c r="B38" s="6">
        <v>20</v>
      </c>
      <c r="C38" s="2" t="s">
        <v>20</v>
      </c>
      <c r="D38" s="6" t="str">
        <f t="shared" si="3"/>
        <v>0</v>
      </c>
      <c r="E38" s="6" t="str">
        <f t="shared" si="4"/>
        <v>1</v>
      </c>
      <c r="F38" s="6" t="str">
        <f t="shared" si="5"/>
        <v>0</v>
      </c>
      <c r="G38" s="6" t="str">
        <f t="shared" si="6"/>
        <v>1</v>
      </c>
      <c r="H38" s="6" t="str">
        <f t="shared" si="7"/>
        <v>0</v>
      </c>
      <c r="I38" s="6" t="str">
        <f t="shared" si="8"/>
        <v>0</v>
      </c>
      <c r="J38" s="10">
        <f t="shared" si="9"/>
        <v>-3.9999999999999998E-6</v>
      </c>
      <c r="K38" s="10">
        <f t="shared" si="10"/>
        <v>-3.9999999999999998E-6</v>
      </c>
      <c r="L38" s="10">
        <f t="shared" si="11"/>
        <v>-3.0571428571428572E-5</v>
      </c>
      <c r="M38" s="10">
        <f t="shared" si="12"/>
        <v>-3.0571428571428572E-5</v>
      </c>
      <c r="N38" s="11">
        <f>ROUND(((Table356[[#This Row],[I1]]+Table356[[#This Row],[I2]])-(Table356[[#This Row],[I3]]+Table356[[#This Row],[I4]]))*1000000, 2)</f>
        <v>53.14</v>
      </c>
      <c r="P38" s="13" t="str">
        <f t="shared" si="14"/>
        <v/>
      </c>
      <c r="R38" s="11">
        <v>-16</v>
      </c>
      <c r="S38" s="11">
        <f t="shared" si="15"/>
        <v>0</v>
      </c>
      <c r="U38" s="13" t="str">
        <f t="shared" si="16"/>
        <v/>
      </c>
    </row>
    <row r="39" spans="2:21" ht="15" hidden="1" customHeight="1" x14ac:dyDescent="0.35">
      <c r="B39" s="6">
        <v>21</v>
      </c>
      <c r="C39" s="2" t="s">
        <v>20</v>
      </c>
      <c r="D39" s="6" t="str">
        <f t="shared" si="3"/>
        <v>0</v>
      </c>
      <c r="E39" s="6" t="str">
        <f t="shared" si="4"/>
        <v>1</v>
      </c>
      <c r="F39" s="6" t="str">
        <f t="shared" si="5"/>
        <v>0</v>
      </c>
      <c r="G39" s="6" t="str">
        <f t="shared" si="6"/>
        <v>1</v>
      </c>
      <c r="H39" s="6" t="str">
        <f t="shared" si="7"/>
        <v>0</v>
      </c>
      <c r="I39" s="6" t="str">
        <f t="shared" si="8"/>
        <v>1</v>
      </c>
      <c r="J39" s="10">
        <f t="shared" si="9"/>
        <v>-3.2571428571428573E-5</v>
      </c>
      <c r="K39" s="10">
        <f t="shared" si="10"/>
        <v>-3.2571428571428573E-5</v>
      </c>
      <c r="L39" s="10">
        <f t="shared" si="11"/>
        <v>-3.2571428571428573E-5</v>
      </c>
      <c r="M39" s="10">
        <f t="shared" si="12"/>
        <v>-3.2571428571428573E-5</v>
      </c>
      <c r="N39" s="11">
        <f>ROUND(((Table356[[#This Row],[I1]]+Table356[[#This Row],[I2]])-(Table356[[#This Row],[I3]]+Table356[[#This Row],[I4]]))*1000000, 2)</f>
        <v>0</v>
      </c>
      <c r="P39" s="13" t="str">
        <f t="shared" si="14"/>
        <v/>
      </c>
      <c r="R39" s="11">
        <v>-16</v>
      </c>
      <c r="S39" s="11">
        <f t="shared" si="15"/>
        <v>0</v>
      </c>
      <c r="U39" s="13" t="str">
        <f t="shared" si="16"/>
        <v/>
      </c>
    </row>
    <row r="40" spans="2:21" ht="15" hidden="1" customHeight="1" x14ac:dyDescent="0.35">
      <c r="B40" s="6">
        <v>22</v>
      </c>
      <c r="C40" s="2" t="s">
        <v>20</v>
      </c>
      <c r="D40" s="6" t="str">
        <f t="shared" si="3"/>
        <v>0</v>
      </c>
      <c r="E40" s="6" t="str">
        <f t="shared" si="4"/>
        <v>1</v>
      </c>
      <c r="F40" s="6" t="str">
        <f t="shared" si="5"/>
        <v>0</v>
      </c>
      <c r="G40" s="6" t="str">
        <f t="shared" si="6"/>
        <v>1</v>
      </c>
      <c r="H40" s="6" t="str">
        <f t="shared" si="7"/>
        <v>1</v>
      </c>
      <c r="I40" s="6" t="str">
        <f t="shared" si="8"/>
        <v>0</v>
      </c>
      <c r="J40" s="10">
        <f t="shared" si="9"/>
        <v>-1.4000000000000001E-5</v>
      </c>
      <c r="K40" s="10">
        <f t="shared" si="10"/>
        <v>-1.4000000000000001E-5</v>
      </c>
      <c r="L40" s="10">
        <f t="shared" si="11"/>
        <v>-3.2571428571428573E-5</v>
      </c>
      <c r="M40" s="10">
        <f t="shared" si="12"/>
        <v>-3.2571428571428573E-5</v>
      </c>
      <c r="N40" s="11">
        <f>ROUND(((Table356[[#This Row],[I1]]+Table356[[#This Row],[I2]])-(Table356[[#This Row],[I3]]+Table356[[#This Row],[I4]]))*1000000, 2)</f>
        <v>37.14</v>
      </c>
      <c r="P40" s="13" t="str">
        <f t="shared" si="14"/>
        <v/>
      </c>
      <c r="R40" s="11">
        <v>-16</v>
      </c>
      <c r="S40" s="11">
        <f t="shared" si="15"/>
        <v>0</v>
      </c>
      <c r="U40" s="13" t="str">
        <f t="shared" si="16"/>
        <v/>
      </c>
    </row>
    <row r="41" spans="2:21" ht="15" hidden="1" customHeight="1" x14ac:dyDescent="0.35">
      <c r="B41" s="6">
        <v>23</v>
      </c>
      <c r="C41" s="2" t="s">
        <v>20</v>
      </c>
      <c r="D41" s="6" t="str">
        <f t="shared" si="3"/>
        <v>0</v>
      </c>
      <c r="E41" s="6" t="str">
        <f t="shared" si="4"/>
        <v>1</v>
      </c>
      <c r="F41" s="6" t="str">
        <f t="shared" si="5"/>
        <v>0</v>
      </c>
      <c r="G41" s="6" t="str">
        <f t="shared" si="6"/>
        <v>1</v>
      </c>
      <c r="H41" s="6" t="str">
        <f t="shared" si="7"/>
        <v>1</v>
      </c>
      <c r="I41" s="6" t="str">
        <f t="shared" si="8"/>
        <v>1</v>
      </c>
      <c r="J41" s="10">
        <f t="shared" si="9"/>
        <v>-4.2571428571428572E-5</v>
      </c>
      <c r="K41" s="10">
        <f t="shared" si="10"/>
        <v>-4.2571428571428572E-5</v>
      </c>
      <c r="L41" s="10">
        <f t="shared" si="11"/>
        <v>-3.4571428571428574E-5</v>
      </c>
      <c r="M41" s="10">
        <f t="shared" si="12"/>
        <v>-3.4571428571428574E-5</v>
      </c>
      <c r="N41" s="11">
        <f>ROUND(((Table356[[#This Row],[I1]]+Table356[[#This Row],[I2]])-(Table356[[#This Row],[I3]]+Table356[[#This Row],[I4]]))*1000000, 2)</f>
        <v>-16</v>
      </c>
      <c r="P41" s="13" t="str">
        <f t="shared" si="14"/>
        <v/>
      </c>
      <c r="R41" s="11">
        <v>-16</v>
      </c>
      <c r="S41" s="11">
        <f t="shared" si="15"/>
        <v>0</v>
      </c>
      <c r="U41" s="13" t="str">
        <f t="shared" si="16"/>
        <v/>
      </c>
    </row>
    <row r="42" spans="2:21" ht="15" hidden="1" customHeight="1" x14ac:dyDescent="0.35">
      <c r="B42" s="6">
        <v>25</v>
      </c>
      <c r="C42" s="2" t="s">
        <v>20</v>
      </c>
      <c r="D42" s="6" t="str">
        <f t="shared" si="3"/>
        <v>0</v>
      </c>
      <c r="E42" s="6" t="str">
        <f t="shared" si="4"/>
        <v>1</v>
      </c>
      <c r="F42" s="6" t="str">
        <f t="shared" si="5"/>
        <v>1</v>
      </c>
      <c r="G42" s="6" t="str">
        <f t="shared" si="6"/>
        <v>0</v>
      </c>
      <c r="H42" s="6" t="str">
        <f t="shared" si="7"/>
        <v>0</v>
      </c>
      <c r="I42" s="6" t="str">
        <f t="shared" si="8"/>
        <v>1</v>
      </c>
      <c r="J42" s="10">
        <f t="shared" si="9"/>
        <v>-3.2571428571428573E-5</v>
      </c>
      <c r="K42" s="10">
        <f t="shared" si="10"/>
        <v>-3.2571428571428573E-5</v>
      </c>
      <c r="L42" s="10">
        <f t="shared" si="11"/>
        <v>-4.0571428571428578E-5</v>
      </c>
      <c r="M42" s="10">
        <f t="shared" si="12"/>
        <v>-4.0571428571428578E-5</v>
      </c>
      <c r="N42" s="11">
        <f>ROUND(((Table356[[#This Row],[I1]]+Table356[[#This Row],[I2]])-(Table356[[#This Row],[I3]]+Table356[[#This Row],[I4]]))*1000000, 2)</f>
        <v>16</v>
      </c>
      <c r="P42" s="13" t="str">
        <f t="shared" ref="P42:P78" si="17">IF(ISBLANK(O42), "", COUNTIF($L$20:$L$83,O42))</f>
        <v/>
      </c>
      <c r="R42" s="11">
        <v>-16</v>
      </c>
      <c r="S42" s="11">
        <f t="shared" si="15"/>
        <v>0</v>
      </c>
      <c r="U42" s="13" t="str">
        <f t="shared" si="16"/>
        <v/>
      </c>
    </row>
    <row r="43" spans="2:21" ht="15" hidden="1" customHeight="1" x14ac:dyDescent="0.35">
      <c r="B43" s="6">
        <v>26</v>
      </c>
      <c r="C43" s="2" t="s">
        <v>20</v>
      </c>
      <c r="D43" s="6" t="str">
        <f t="shared" si="3"/>
        <v>0</v>
      </c>
      <c r="E43" s="6" t="str">
        <f t="shared" si="4"/>
        <v>1</v>
      </c>
      <c r="F43" s="6" t="str">
        <f t="shared" si="5"/>
        <v>1</v>
      </c>
      <c r="G43" s="6" t="str">
        <f t="shared" si="6"/>
        <v>0</v>
      </c>
      <c r="H43" s="6" t="str">
        <f t="shared" si="7"/>
        <v>1</v>
      </c>
      <c r="I43" s="6" t="str">
        <f t="shared" si="8"/>
        <v>0</v>
      </c>
      <c r="J43" s="10">
        <f t="shared" si="9"/>
        <v>-1.4000000000000001E-5</v>
      </c>
      <c r="K43" s="10">
        <f t="shared" si="10"/>
        <v>-1.4000000000000001E-5</v>
      </c>
      <c r="L43" s="10">
        <f t="shared" si="11"/>
        <v>-4.0571428571428578E-5</v>
      </c>
      <c r="M43" s="10">
        <f t="shared" si="12"/>
        <v>-4.0571428571428578E-5</v>
      </c>
      <c r="N43" s="11">
        <f>ROUND(((Table356[[#This Row],[I1]]+Table356[[#This Row],[I2]])-(Table356[[#This Row],[I3]]+Table356[[#This Row],[I4]]))*1000000, 2)</f>
        <v>53.14</v>
      </c>
      <c r="P43" s="13" t="str">
        <f t="shared" si="17"/>
        <v/>
      </c>
      <c r="R43" s="11">
        <v>-16</v>
      </c>
      <c r="S43" s="11">
        <f t="shared" si="15"/>
        <v>16</v>
      </c>
      <c r="U43" s="13" t="str">
        <f t="shared" si="16"/>
        <v/>
      </c>
    </row>
    <row r="44" spans="2:21" hidden="1" x14ac:dyDescent="0.35">
      <c r="B44" s="6">
        <v>27</v>
      </c>
      <c r="C44" s="2" t="s">
        <v>20</v>
      </c>
      <c r="D44" s="6" t="str">
        <f t="shared" si="3"/>
        <v>0</v>
      </c>
      <c r="E44" s="6" t="str">
        <f t="shared" si="4"/>
        <v>1</v>
      </c>
      <c r="F44" s="6" t="str">
        <f t="shared" si="5"/>
        <v>1</v>
      </c>
      <c r="G44" s="6" t="str">
        <f t="shared" si="6"/>
        <v>0</v>
      </c>
      <c r="H44" s="6" t="str">
        <f t="shared" si="7"/>
        <v>1</v>
      </c>
      <c r="I44" s="6" t="str">
        <f t="shared" si="8"/>
        <v>1</v>
      </c>
      <c r="J44" s="10">
        <f t="shared" si="9"/>
        <v>-4.2571428571428572E-5</v>
      </c>
      <c r="K44" s="10">
        <f t="shared" si="10"/>
        <v>-4.2571428571428572E-5</v>
      </c>
      <c r="L44" s="10">
        <f t="shared" si="11"/>
        <v>-4.2571428571428579E-5</v>
      </c>
      <c r="M44" s="10">
        <f t="shared" si="12"/>
        <v>-4.2571428571428579E-5</v>
      </c>
      <c r="N44" s="11">
        <f>ROUND(((Table356[[#This Row],[I1]]+Table356[[#This Row],[I2]])-(Table356[[#This Row],[I3]]+Table356[[#This Row],[I4]]))*1000000, 2)</f>
        <v>0</v>
      </c>
      <c r="P44" s="13" t="str">
        <f t="shared" si="17"/>
        <v/>
      </c>
      <c r="R44" s="11">
        <v>0</v>
      </c>
      <c r="S44" s="11">
        <f t="shared" si="15"/>
        <v>0</v>
      </c>
      <c r="U44" s="13" t="str">
        <f t="shared" si="16"/>
        <v/>
      </c>
    </row>
    <row r="45" spans="2:21" ht="15" hidden="1" customHeight="1" x14ac:dyDescent="0.35">
      <c r="B45" s="6">
        <v>29</v>
      </c>
      <c r="C45" s="2" t="s">
        <v>20</v>
      </c>
      <c r="D45" s="6" t="str">
        <f t="shared" si="3"/>
        <v>0</v>
      </c>
      <c r="E45" s="6" t="str">
        <f t="shared" si="4"/>
        <v>1</v>
      </c>
      <c r="F45" s="6" t="str">
        <f t="shared" si="5"/>
        <v>1</v>
      </c>
      <c r="G45" s="6" t="str">
        <f t="shared" si="6"/>
        <v>1</v>
      </c>
      <c r="H45" s="6" t="str">
        <f t="shared" si="7"/>
        <v>0</v>
      </c>
      <c r="I45" s="6" t="str">
        <f t="shared" si="8"/>
        <v>1</v>
      </c>
      <c r="J45" s="10">
        <f t="shared" si="9"/>
        <v>-3.4571428571428574E-5</v>
      </c>
      <c r="K45" s="10">
        <f t="shared" si="10"/>
        <v>-3.4571428571428574E-5</v>
      </c>
      <c r="L45" s="10">
        <f t="shared" si="11"/>
        <v>-4.2571428571428579E-5</v>
      </c>
      <c r="M45" s="10">
        <f t="shared" si="12"/>
        <v>-4.2571428571428579E-5</v>
      </c>
      <c r="N45" s="11">
        <f>ROUND(((Table356[[#This Row],[I1]]+Table356[[#This Row],[I2]])-(Table356[[#This Row],[I3]]+Table356[[#This Row],[I4]]))*1000000, 2)</f>
        <v>16</v>
      </c>
      <c r="P45" s="13" t="str">
        <f t="shared" si="17"/>
        <v/>
      </c>
      <c r="R45" s="11">
        <v>0</v>
      </c>
      <c r="S45" s="11">
        <f t="shared" si="15"/>
        <v>0</v>
      </c>
      <c r="U45" s="13" t="str">
        <f t="shared" si="16"/>
        <v/>
      </c>
    </row>
    <row r="46" spans="2:21" ht="15" hidden="1" customHeight="1" x14ac:dyDescent="0.35">
      <c r="B46" s="6">
        <v>30</v>
      </c>
      <c r="C46" s="2" t="s">
        <v>20</v>
      </c>
      <c r="D46" s="6" t="str">
        <f t="shared" si="3"/>
        <v>0</v>
      </c>
      <c r="E46" s="6" t="str">
        <f t="shared" si="4"/>
        <v>1</v>
      </c>
      <c r="F46" s="6" t="str">
        <f t="shared" si="5"/>
        <v>1</v>
      </c>
      <c r="G46" s="6" t="str">
        <f t="shared" si="6"/>
        <v>1</v>
      </c>
      <c r="H46" s="6" t="str">
        <f t="shared" si="7"/>
        <v>1</v>
      </c>
      <c r="I46" s="6" t="str">
        <f t="shared" si="8"/>
        <v>0</v>
      </c>
      <c r="J46" s="10">
        <f t="shared" si="9"/>
        <v>-1.6000000000000003E-5</v>
      </c>
      <c r="K46" s="10">
        <f t="shared" si="10"/>
        <v>-1.6000000000000003E-5</v>
      </c>
      <c r="L46" s="10">
        <f t="shared" si="11"/>
        <v>-4.2571428571428579E-5</v>
      </c>
      <c r="M46" s="10">
        <f t="shared" si="12"/>
        <v>-4.2571428571428579E-5</v>
      </c>
      <c r="N46" s="11">
        <f>ROUND(((Table356[[#This Row],[I1]]+Table356[[#This Row],[I2]])-(Table356[[#This Row],[I3]]+Table356[[#This Row],[I4]]))*1000000, 2)</f>
        <v>53.14</v>
      </c>
      <c r="P46" s="13" t="str">
        <f t="shared" si="17"/>
        <v/>
      </c>
      <c r="R46" s="11">
        <v>0</v>
      </c>
      <c r="S46" s="11">
        <f t="shared" si="15"/>
        <v>0</v>
      </c>
      <c r="U46" s="13" t="str">
        <f t="shared" si="16"/>
        <v/>
      </c>
    </row>
    <row r="47" spans="2:21" ht="15" customHeight="1" x14ac:dyDescent="0.35">
      <c r="B47" s="6">
        <v>8</v>
      </c>
      <c r="C47" s="2" t="s">
        <v>19</v>
      </c>
      <c r="D47" s="6" t="str">
        <f t="shared" si="3"/>
        <v>0</v>
      </c>
      <c r="E47" s="6" t="str">
        <f t="shared" si="4"/>
        <v>0</v>
      </c>
      <c r="F47" s="6" t="str">
        <f t="shared" si="5"/>
        <v>1</v>
      </c>
      <c r="G47" s="6" t="str">
        <f t="shared" si="6"/>
        <v>0</v>
      </c>
      <c r="H47" s="6" t="str">
        <f t="shared" si="7"/>
        <v>0</v>
      </c>
      <c r="I47" s="6" t="str">
        <f t="shared" si="8"/>
        <v>0</v>
      </c>
      <c r="J47" s="10">
        <f t="shared" si="9"/>
        <v>-1.9999999999999999E-6</v>
      </c>
      <c r="K47" s="10">
        <f t="shared" si="10"/>
        <v>-1.9999999999999999E-6</v>
      </c>
      <c r="L47" s="10">
        <f t="shared" si="11"/>
        <v>-1.0000000000000001E-5</v>
      </c>
      <c r="M47" s="10">
        <f t="shared" si="12"/>
        <v>-1.0000000000000001E-5</v>
      </c>
      <c r="N47" s="11">
        <f>ROUND(((Table356[[#This Row],[I1]]+Table356[[#This Row],[I2]])-(Table356[[#This Row],[I3]]+Table356[[#This Row],[I4]]))*1000000, 2)</f>
        <v>16</v>
      </c>
      <c r="P47" s="13" t="str">
        <f t="shared" si="17"/>
        <v/>
      </c>
      <c r="R47" s="11">
        <v>0</v>
      </c>
      <c r="S47" s="11">
        <f t="shared" si="15"/>
        <v>0</v>
      </c>
      <c r="U47" s="13" t="str">
        <f t="shared" si="16"/>
        <v/>
      </c>
    </row>
    <row r="48" spans="2:21" x14ac:dyDescent="0.35">
      <c r="B48" s="6">
        <v>12</v>
      </c>
      <c r="C48" s="2" t="s">
        <v>19</v>
      </c>
      <c r="D48" s="6" t="str">
        <f t="shared" si="3"/>
        <v>0</v>
      </c>
      <c r="E48" s="6" t="str">
        <f t="shared" si="4"/>
        <v>0</v>
      </c>
      <c r="F48" s="6" t="str">
        <f t="shared" si="5"/>
        <v>1</v>
      </c>
      <c r="G48" s="6" t="str">
        <f t="shared" si="6"/>
        <v>1</v>
      </c>
      <c r="H48" s="6" t="str">
        <f t="shared" si="7"/>
        <v>0</v>
      </c>
      <c r="I48" s="6" t="str">
        <f t="shared" si="8"/>
        <v>0</v>
      </c>
      <c r="J48" s="10">
        <f t="shared" si="9"/>
        <v>-3.9999999999999998E-6</v>
      </c>
      <c r="K48" s="10">
        <f t="shared" si="10"/>
        <v>-3.9999999999999998E-6</v>
      </c>
      <c r="L48" s="10">
        <f t="shared" si="11"/>
        <v>-1.2E-5</v>
      </c>
      <c r="M48" s="10">
        <f t="shared" si="12"/>
        <v>-1.2E-5</v>
      </c>
      <c r="N48" s="11">
        <f>ROUND(((Table356[[#This Row],[I1]]+Table356[[#This Row],[I2]])-(Table356[[#This Row],[I3]]+Table356[[#This Row],[I4]]))*1000000, 2)</f>
        <v>16</v>
      </c>
      <c r="P48" s="13" t="str">
        <f t="shared" si="17"/>
        <v/>
      </c>
      <c r="R48" s="11">
        <v>0</v>
      </c>
      <c r="S48" s="11">
        <f t="shared" si="15"/>
        <v>0</v>
      </c>
      <c r="U48" s="13" t="str">
        <f t="shared" si="16"/>
        <v/>
      </c>
    </row>
    <row r="49" spans="2:21" ht="15" hidden="1" customHeight="1" x14ac:dyDescent="0.35">
      <c r="B49" s="6">
        <v>32</v>
      </c>
      <c r="C49" s="2" t="s">
        <v>22</v>
      </c>
      <c r="D49" s="6" t="str">
        <f t="shared" si="3"/>
        <v>1</v>
      </c>
      <c r="E49" s="6" t="str">
        <f t="shared" si="4"/>
        <v>0</v>
      </c>
      <c r="F49" s="6" t="str">
        <f t="shared" si="5"/>
        <v>0</v>
      </c>
      <c r="G49" s="6" t="str">
        <f t="shared" si="6"/>
        <v>0</v>
      </c>
      <c r="H49" s="6" t="str">
        <f t="shared" si="7"/>
        <v>0</v>
      </c>
      <c r="I49" s="6" t="str">
        <f t="shared" si="8"/>
        <v>0</v>
      </c>
      <c r="J49" s="10">
        <f t="shared" si="9"/>
        <v>-2.8571428571428574E-5</v>
      </c>
      <c r="K49" s="10">
        <f t="shared" si="10"/>
        <v>-2.8571428571428574E-5</v>
      </c>
      <c r="L49" s="10">
        <f t="shared" si="11"/>
        <v>-2.8571428571428574E-5</v>
      </c>
      <c r="M49" s="10">
        <f t="shared" si="12"/>
        <v>-2.8571428571428574E-5</v>
      </c>
      <c r="N49" s="11">
        <f>ROUND(((Table356[[#This Row],[I1]]+Table356[[#This Row],[I2]])-(Table356[[#This Row],[I3]]+Table356[[#This Row],[I4]]))*1000000, 2)</f>
        <v>0</v>
      </c>
      <c r="P49" s="13" t="str">
        <f t="shared" si="17"/>
        <v/>
      </c>
      <c r="R49" s="11">
        <v>0</v>
      </c>
      <c r="S49" s="11">
        <f t="shared" si="15"/>
        <v>0</v>
      </c>
      <c r="U49" s="13" t="str">
        <f t="shared" si="16"/>
        <v/>
      </c>
    </row>
    <row r="50" spans="2:21" ht="15" hidden="1" customHeight="1" x14ac:dyDescent="0.35">
      <c r="B50" s="6">
        <v>33</v>
      </c>
      <c r="C50" s="2" t="s">
        <v>22</v>
      </c>
      <c r="D50" s="6" t="str">
        <f t="shared" si="3"/>
        <v>1</v>
      </c>
      <c r="E50" s="6" t="str">
        <f t="shared" si="4"/>
        <v>0</v>
      </c>
      <c r="F50" s="6" t="str">
        <f t="shared" si="5"/>
        <v>0</v>
      </c>
      <c r="G50" s="6" t="str">
        <f t="shared" si="6"/>
        <v>0</v>
      </c>
      <c r="H50" s="6" t="str">
        <f t="shared" si="7"/>
        <v>0</v>
      </c>
      <c r="I50" s="6" t="str">
        <f t="shared" si="8"/>
        <v>1</v>
      </c>
      <c r="J50" s="10">
        <f t="shared" si="9"/>
        <v>-5.7142857142857148E-5</v>
      </c>
      <c r="K50" s="10">
        <f t="shared" si="10"/>
        <v>-5.7142857142857148E-5</v>
      </c>
      <c r="L50" s="10">
        <f t="shared" si="11"/>
        <v>-3.0571428571428572E-5</v>
      </c>
      <c r="M50" s="10">
        <f t="shared" si="12"/>
        <v>-3.0571428571428572E-5</v>
      </c>
      <c r="N50" s="11">
        <f>ROUND(((Table356[[#This Row],[I1]]+Table356[[#This Row],[I2]])-(Table356[[#This Row],[I3]]+Table356[[#This Row],[I4]]))*1000000, 2)</f>
        <v>-53.14</v>
      </c>
      <c r="P50" s="13" t="str">
        <f t="shared" si="17"/>
        <v/>
      </c>
      <c r="R50" s="11">
        <v>0</v>
      </c>
      <c r="S50" s="11">
        <f t="shared" si="15"/>
        <v>0</v>
      </c>
      <c r="U50" s="13" t="str">
        <f t="shared" si="16"/>
        <v/>
      </c>
    </row>
    <row r="51" spans="2:21" hidden="1" x14ac:dyDescent="0.35">
      <c r="B51" s="6">
        <v>34</v>
      </c>
      <c r="C51" s="2" t="s">
        <v>22</v>
      </c>
      <c r="D51" s="6" t="str">
        <f t="shared" si="3"/>
        <v>1</v>
      </c>
      <c r="E51" s="6" t="str">
        <f t="shared" si="4"/>
        <v>0</v>
      </c>
      <c r="F51" s="6" t="str">
        <f t="shared" si="5"/>
        <v>0</v>
      </c>
      <c r="G51" s="6" t="str">
        <f t="shared" si="6"/>
        <v>0</v>
      </c>
      <c r="H51" s="6" t="str">
        <f t="shared" si="7"/>
        <v>1</v>
      </c>
      <c r="I51" s="6" t="str">
        <f t="shared" si="8"/>
        <v>0</v>
      </c>
      <c r="J51" s="10">
        <f t="shared" si="9"/>
        <v>-3.8571428571428577E-5</v>
      </c>
      <c r="K51" s="10">
        <f t="shared" si="10"/>
        <v>-3.8571428571428577E-5</v>
      </c>
      <c r="L51" s="10">
        <f t="shared" si="11"/>
        <v>-3.0571428571428572E-5</v>
      </c>
      <c r="M51" s="10">
        <f t="shared" si="12"/>
        <v>-3.0571428571428572E-5</v>
      </c>
      <c r="N51" s="11">
        <f>ROUND(((Table356[[#This Row],[I1]]+Table356[[#This Row],[I2]])-(Table356[[#This Row],[I3]]+Table356[[#This Row],[I4]]))*1000000, 2)</f>
        <v>-16</v>
      </c>
      <c r="P51" s="13" t="str">
        <f t="shared" si="17"/>
        <v/>
      </c>
      <c r="R51" s="11">
        <v>0</v>
      </c>
      <c r="S51" s="11">
        <f t="shared" si="15"/>
        <v>0</v>
      </c>
      <c r="U51" s="13" t="str">
        <f t="shared" si="16"/>
        <v/>
      </c>
    </row>
    <row r="52" spans="2:21" hidden="1" x14ac:dyDescent="0.35">
      <c r="B52" s="6">
        <v>35</v>
      </c>
      <c r="C52" s="2" t="s">
        <v>22</v>
      </c>
      <c r="D52" s="6" t="str">
        <f t="shared" ref="D52:D83" si="18">LEFT(RIGHT(DEC2BIN($B52,6),6),1)</f>
        <v>1</v>
      </c>
      <c r="E52" s="6" t="str">
        <f t="shared" ref="E52:E83" si="19">LEFT(RIGHT(DEC2BIN($B52,6),5),1)</f>
        <v>0</v>
      </c>
      <c r="F52" s="6" t="str">
        <f t="shared" ref="F52:F83" si="20">LEFT(RIGHT(DEC2BIN($B52,6),4),1)</f>
        <v>0</v>
      </c>
      <c r="G52" s="6" t="str">
        <f t="shared" ref="G52:G83" si="21">LEFT(RIGHT(DEC2BIN($B52,6),3),1)</f>
        <v>0</v>
      </c>
      <c r="H52" s="6" t="str">
        <f t="shared" ref="H52:H83" si="22">LEFT(RIGHT(DEC2BIN($B52,6),2),1)</f>
        <v>1</v>
      </c>
      <c r="I52" s="6" t="str">
        <f t="shared" ref="I52:I83" si="23">LEFT(RIGHT(DEC2BIN($B52,6),1),1)</f>
        <v>1</v>
      </c>
      <c r="J52" s="10">
        <f t="shared" ref="J52:J83" si="24">(($D52*$E$11)+($E52*$E$12)+($F52*$E$13)+($G52*$E$14)+($H52*$E$15)+($I52*$E$16))</f>
        <v>-6.7142857142857154E-5</v>
      </c>
      <c r="K52" s="10">
        <f t="shared" ref="K52:K83" si="25">(($D52*$F$11)+($E52*$F$12)+($F52*$F$13)+($G52*$F$14)+($H52*$F$15)+($I52*$F$16))</f>
        <v>-6.7142857142857154E-5</v>
      </c>
      <c r="L52" s="10">
        <f t="shared" ref="L52:L83" si="26">(($D52*G$11)+($E52*G$12)+($F52*G$13)+($G52*G$14)+($H52*G$15)+($I52*G$16))</f>
        <v>-3.2571428571428573E-5</v>
      </c>
      <c r="M52" s="10">
        <f t="shared" ref="M52:M83" si="27">(($D52*H$11)+($E52*H$12)+($F52*H$13)+($G52*H$14)+($H52*H$15)+($I52*H$16))</f>
        <v>-3.2571428571428573E-5</v>
      </c>
      <c r="N52" s="11">
        <f>ROUND(((Table356[[#This Row],[I1]]+Table356[[#This Row],[I2]])-(Table356[[#This Row],[I3]]+Table356[[#This Row],[I4]]))*1000000, 2)</f>
        <v>-69.14</v>
      </c>
      <c r="P52" s="13" t="str">
        <f t="shared" si="17"/>
        <v/>
      </c>
      <c r="R52" s="11">
        <v>0</v>
      </c>
      <c r="S52" s="11">
        <f t="shared" si="15"/>
        <v>0</v>
      </c>
      <c r="U52" s="13" t="str">
        <f t="shared" si="16"/>
        <v/>
      </c>
    </row>
    <row r="53" spans="2:21" hidden="1" x14ac:dyDescent="0.35">
      <c r="B53" s="6">
        <v>36</v>
      </c>
      <c r="C53" s="2" t="s">
        <v>22</v>
      </c>
      <c r="D53" s="6" t="str">
        <f t="shared" si="18"/>
        <v>1</v>
      </c>
      <c r="E53" s="6" t="str">
        <f t="shared" si="19"/>
        <v>0</v>
      </c>
      <c r="F53" s="6" t="str">
        <f t="shared" si="20"/>
        <v>0</v>
      </c>
      <c r="G53" s="6" t="str">
        <f t="shared" si="21"/>
        <v>1</v>
      </c>
      <c r="H53" s="6" t="str">
        <f t="shared" si="22"/>
        <v>0</v>
      </c>
      <c r="I53" s="6" t="str">
        <f t="shared" si="23"/>
        <v>0</v>
      </c>
      <c r="J53" s="10">
        <f t="shared" si="24"/>
        <v>-3.0571428571428572E-5</v>
      </c>
      <c r="K53" s="10">
        <f t="shared" si="25"/>
        <v>-3.0571428571428572E-5</v>
      </c>
      <c r="L53" s="10">
        <f t="shared" si="26"/>
        <v>-3.0571428571428572E-5</v>
      </c>
      <c r="M53" s="10">
        <f t="shared" si="27"/>
        <v>-3.0571428571428572E-5</v>
      </c>
      <c r="N53" s="11">
        <f>ROUND(((Table356[[#This Row],[I1]]+Table356[[#This Row],[I2]])-(Table356[[#This Row],[I3]]+Table356[[#This Row],[I4]]))*1000000, 2)</f>
        <v>0</v>
      </c>
      <c r="P53" s="13" t="str">
        <f t="shared" si="17"/>
        <v/>
      </c>
      <c r="R53" s="11">
        <v>0</v>
      </c>
      <c r="S53" s="11">
        <f t="shared" si="15"/>
        <v>0</v>
      </c>
      <c r="U53" s="13" t="str">
        <f t="shared" si="16"/>
        <v/>
      </c>
    </row>
    <row r="54" spans="2:21" hidden="1" x14ac:dyDescent="0.35">
      <c r="B54" s="6">
        <v>37</v>
      </c>
      <c r="C54" s="2" t="s">
        <v>22</v>
      </c>
      <c r="D54" s="6" t="str">
        <f t="shared" si="18"/>
        <v>1</v>
      </c>
      <c r="E54" s="6" t="str">
        <f t="shared" si="19"/>
        <v>0</v>
      </c>
      <c r="F54" s="6" t="str">
        <f t="shared" si="20"/>
        <v>0</v>
      </c>
      <c r="G54" s="6" t="str">
        <f t="shared" si="21"/>
        <v>1</v>
      </c>
      <c r="H54" s="6" t="str">
        <f t="shared" si="22"/>
        <v>0</v>
      </c>
      <c r="I54" s="6" t="str">
        <f t="shared" si="23"/>
        <v>1</v>
      </c>
      <c r="J54" s="10">
        <f t="shared" si="24"/>
        <v>-5.914285714285715E-5</v>
      </c>
      <c r="K54" s="10">
        <f t="shared" si="25"/>
        <v>-5.914285714285715E-5</v>
      </c>
      <c r="L54" s="10">
        <f t="shared" si="26"/>
        <v>-3.2571428571428573E-5</v>
      </c>
      <c r="M54" s="10">
        <f t="shared" si="27"/>
        <v>-3.2571428571428573E-5</v>
      </c>
      <c r="N54" s="11">
        <f>ROUND(((Table356[[#This Row],[I1]]+Table356[[#This Row],[I2]])-(Table356[[#This Row],[I3]]+Table356[[#This Row],[I4]]))*1000000, 2)</f>
        <v>-53.14</v>
      </c>
      <c r="P54" s="13" t="str">
        <f t="shared" si="17"/>
        <v/>
      </c>
      <c r="R54" s="11">
        <v>0</v>
      </c>
      <c r="S54" s="11">
        <f t="shared" si="15"/>
        <v>0</v>
      </c>
      <c r="U54" s="13" t="str">
        <f t="shared" si="16"/>
        <v/>
      </c>
    </row>
    <row r="55" spans="2:21" hidden="1" x14ac:dyDescent="0.35">
      <c r="B55" s="6">
        <v>38</v>
      </c>
      <c r="C55" s="2" t="s">
        <v>22</v>
      </c>
      <c r="D55" s="6" t="str">
        <f t="shared" si="18"/>
        <v>1</v>
      </c>
      <c r="E55" s="6" t="str">
        <f t="shared" si="19"/>
        <v>0</v>
      </c>
      <c r="F55" s="6" t="str">
        <f t="shared" si="20"/>
        <v>0</v>
      </c>
      <c r="G55" s="6" t="str">
        <f t="shared" si="21"/>
        <v>1</v>
      </c>
      <c r="H55" s="6" t="str">
        <f t="shared" si="22"/>
        <v>1</v>
      </c>
      <c r="I55" s="6" t="str">
        <f t="shared" si="23"/>
        <v>0</v>
      </c>
      <c r="J55" s="10">
        <f t="shared" si="24"/>
        <v>-4.0571428571428571E-5</v>
      </c>
      <c r="K55" s="10">
        <f t="shared" si="25"/>
        <v>-4.0571428571428571E-5</v>
      </c>
      <c r="L55" s="10">
        <f t="shared" si="26"/>
        <v>-3.2571428571428573E-5</v>
      </c>
      <c r="M55" s="10">
        <f t="shared" si="27"/>
        <v>-3.2571428571428573E-5</v>
      </c>
      <c r="N55" s="11">
        <f>ROUND(((Table356[[#This Row],[I1]]+Table356[[#This Row],[I2]])-(Table356[[#This Row],[I3]]+Table356[[#This Row],[I4]]))*1000000, 2)</f>
        <v>-16</v>
      </c>
      <c r="P55" s="13" t="str">
        <f t="shared" si="17"/>
        <v/>
      </c>
      <c r="R55" s="11">
        <v>0</v>
      </c>
      <c r="S55" s="11">
        <f t="shared" si="15"/>
        <v>0</v>
      </c>
      <c r="U55" s="13" t="str">
        <f t="shared" si="16"/>
        <v/>
      </c>
    </row>
    <row r="56" spans="2:21" hidden="1" x14ac:dyDescent="0.35">
      <c r="B56" s="6">
        <v>39</v>
      </c>
      <c r="C56" s="2" t="s">
        <v>22</v>
      </c>
      <c r="D56" s="6" t="str">
        <f t="shared" si="18"/>
        <v>1</v>
      </c>
      <c r="E56" s="6" t="str">
        <f t="shared" si="19"/>
        <v>0</v>
      </c>
      <c r="F56" s="6" t="str">
        <f t="shared" si="20"/>
        <v>0</v>
      </c>
      <c r="G56" s="6" t="str">
        <f t="shared" si="21"/>
        <v>1</v>
      </c>
      <c r="H56" s="6" t="str">
        <f t="shared" si="22"/>
        <v>1</v>
      </c>
      <c r="I56" s="6" t="str">
        <f t="shared" si="23"/>
        <v>1</v>
      </c>
      <c r="J56" s="10">
        <f t="shared" si="24"/>
        <v>-6.9142857142857149E-5</v>
      </c>
      <c r="K56" s="10">
        <f t="shared" si="25"/>
        <v>-6.9142857142857149E-5</v>
      </c>
      <c r="L56" s="10">
        <f t="shared" si="26"/>
        <v>-3.4571428571428574E-5</v>
      </c>
      <c r="M56" s="10">
        <f t="shared" si="27"/>
        <v>-3.4571428571428574E-5</v>
      </c>
      <c r="N56" s="11">
        <f>ROUND(((Table356[[#This Row],[I1]]+Table356[[#This Row],[I2]])-(Table356[[#This Row],[I3]]+Table356[[#This Row],[I4]]))*1000000, 2)</f>
        <v>-69.14</v>
      </c>
      <c r="P56" s="13" t="str">
        <f t="shared" si="17"/>
        <v/>
      </c>
      <c r="R56" s="11">
        <v>0</v>
      </c>
      <c r="S56" s="11">
        <f t="shared" si="15"/>
        <v>0</v>
      </c>
      <c r="U56" s="13" t="str">
        <f t="shared" si="16"/>
        <v/>
      </c>
    </row>
    <row r="57" spans="2:21" hidden="1" x14ac:dyDescent="0.35">
      <c r="B57" s="6">
        <v>40</v>
      </c>
      <c r="C57" s="2" t="s">
        <v>22</v>
      </c>
      <c r="D57" s="6" t="str">
        <f t="shared" si="18"/>
        <v>1</v>
      </c>
      <c r="E57" s="6" t="str">
        <f t="shared" si="19"/>
        <v>0</v>
      </c>
      <c r="F57" s="6" t="str">
        <f t="shared" si="20"/>
        <v>1</v>
      </c>
      <c r="G57" s="6" t="str">
        <f t="shared" si="21"/>
        <v>0</v>
      </c>
      <c r="H57" s="6" t="str">
        <f t="shared" si="22"/>
        <v>0</v>
      </c>
      <c r="I57" s="6" t="str">
        <f t="shared" si="23"/>
        <v>0</v>
      </c>
      <c r="J57" s="10">
        <f t="shared" si="24"/>
        <v>-3.0571428571428572E-5</v>
      </c>
      <c r="K57" s="10">
        <f t="shared" si="25"/>
        <v>-3.0571428571428572E-5</v>
      </c>
      <c r="L57" s="10">
        <f t="shared" si="26"/>
        <v>-3.8571428571428577E-5</v>
      </c>
      <c r="M57" s="10">
        <f t="shared" si="27"/>
        <v>-3.8571428571428577E-5</v>
      </c>
      <c r="N57" s="11">
        <f>ROUND(((Table356[[#This Row],[I1]]+Table356[[#This Row],[I2]])-(Table356[[#This Row],[I3]]+Table356[[#This Row],[I4]]))*1000000, 2)</f>
        <v>16</v>
      </c>
      <c r="P57" s="13" t="str">
        <f t="shared" si="17"/>
        <v/>
      </c>
      <c r="R57" s="11">
        <v>0</v>
      </c>
      <c r="S57" s="11">
        <f t="shared" si="15"/>
        <v>0</v>
      </c>
      <c r="U57" s="13" t="str">
        <f t="shared" si="16"/>
        <v/>
      </c>
    </row>
    <row r="58" spans="2:21" hidden="1" x14ac:dyDescent="0.35">
      <c r="B58" s="6">
        <v>41</v>
      </c>
      <c r="C58" s="2" t="s">
        <v>22</v>
      </c>
      <c r="D58" s="6" t="str">
        <f t="shared" si="18"/>
        <v>1</v>
      </c>
      <c r="E58" s="6" t="str">
        <f t="shared" si="19"/>
        <v>0</v>
      </c>
      <c r="F58" s="6" t="str">
        <f t="shared" si="20"/>
        <v>1</v>
      </c>
      <c r="G58" s="6" t="str">
        <f t="shared" si="21"/>
        <v>0</v>
      </c>
      <c r="H58" s="6" t="str">
        <f t="shared" si="22"/>
        <v>0</v>
      </c>
      <c r="I58" s="6" t="str">
        <f t="shared" si="23"/>
        <v>1</v>
      </c>
      <c r="J58" s="10">
        <f t="shared" si="24"/>
        <v>-5.914285714285715E-5</v>
      </c>
      <c r="K58" s="10">
        <f t="shared" si="25"/>
        <v>-5.914285714285715E-5</v>
      </c>
      <c r="L58" s="10">
        <f t="shared" si="26"/>
        <v>-4.0571428571428578E-5</v>
      </c>
      <c r="M58" s="10">
        <f t="shared" si="27"/>
        <v>-4.0571428571428578E-5</v>
      </c>
      <c r="N58" s="11">
        <f>ROUND(((Table356[[#This Row],[I1]]+Table356[[#This Row],[I2]])-(Table356[[#This Row],[I3]]+Table356[[#This Row],[I4]]))*1000000, 2)</f>
        <v>-37.14</v>
      </c>
      <c r="P58" s="13" t="str">
        <f t="shared" si="17"/>
        <v/>
      </c>
      <c r="R58" s="11">
        <v>0</v>
      </c>
      <c r="S58" s="11">
        <f t="shared" si="15"/>
        <v>0</v>
      </c>
      <c r="U58" s="13" t="str">
        <f t="shared" si="16"/>
        <v/>
      </c>
    </row>
    <row r="59" spans="2:21" hidden="1" x14ac:dyDescent="0.35">
      <c r="B59" s="6">
        <v>42</v>
      </c>
      <c r="C59" s="2" t="s">
        <v>22</v>
      </c>
      <c r="D59" s="6" t="str">
        <f t="shared" si="18"/>
        <v>1</v>
      </c>
      <c r="E59" s="6" t="str">
        <f t="shared" si="19"/>
        <v>0</v>
      </c>
      <c r="F59" s="6" t="str">
        <f t="shared" si="20"/>
        <v>1</v>
      </c>
      <c r="G59" s="6" t="str">
        <f t="shared" si="21"/>
        <v>0</v>
      </c>
      <c r="H59" s="6" t="str">
        <f t="shared" si="22"/>
        <v>1</v>
      </c>
      <c r="I59" s="6" t="str">
        <f t="shared" si="23"/>
        <v>0</v>
      </c>
      <c r="J59" s="10">
        <f t="shared" si="24"/>
        <v>-4.0571428571428571E-5</v>
      </c>
      <c r="K59" s="10">
        <f t="shared" si="25"/>
        <v>-4.0571428571428571E-5</v>
      </c>
      <c r="L59" s="10">
        <f t="shared" si="26"/>
        <v>-4.0571428571428578E-5</v>
      </c>
      <c r="M59" s="10">
        <f t="shared" si="27"/>
        <v>-4.0571428571428578E-5</v>
      </c>
      <c r="N59" s="11">
        <f>ROUND(((Table356[[#This Row],[I1]]+Table356[[#This Row],[I2]])-(Table356[[#This Row],[I3]]+Table356[[#This Row],[I4]]))*1000000, 2)</f>
        <v>0</v>
      </c>
      <c r="P59" s="13" t="str">
        <f t="shared" si="17"/>
        <v/>
      </c>
      <c r="R59" s="11">
        <v>0</v>
      </c>
      <c r="S59" s="11">
        <f t="shared" si="15"/>
        <v>16</v>
      </c>
      <c r="U59" s="13" t="str">
        <f t="shared" si="16"/>
        <v/>
      </c>
    </row>
    <row r="60" spans="2:21" hidden="1" x14ac:dyDescent="0.35">
      <c r="B60" s="6">
        <v>43</v>
      </c>
      <c r="C60" s="2" t="s">
        <v>22</v>
      </c>
      <c r="D60" s="6" t="str">
        <f t="shared" si="18"/>
        <v>1</v>
      </c>
      <c r="E60" s="6" t="str">
        <f t="shared" si="19"/>
        <v>0</v>
      </c>
      <c r="F60" s="6" t="str">
        <f t="shared" si="20"/>
        <v>1</v>
      </c>
      <c r="G60" s="6" t="str">
        <f t="shared" si="21"/>
        <v>0</v>
      </c>
      <c r="H60" s="6" t="str">
        <f t="shared" si="22"/>
        <v>1</v>
      </c>
      <c r="I60" s="6" t="str">
        <f t="shared" si="23"/>
        <v>1</v>
      </c>
      <c r="J60" s="10">
        <f t="shared" si="24"/>
        <v>-6.9142857142857149E-5</v>
      </c>
      <c r="K60" s="10">
        <f t="shared" si="25"/>
        <v>-6.9142857142857149E-5</v>
      </c>
      <c r="L60" s="10">
        <f t="shared" si="26"/>
        <v>-4.2571428571428579E-5</v>
      </c>
      <c r="M60" s="10">
        <f t="shared" si="27"/>
        <v>-4.2571428571428579E-5</v>
      </c>
      <c r="N60" s="11">
        <f>ROUND(((Table356[[#This Row],[I1]]+Table356[[#This Row],[I2]])-(Table356[[#This Row],[I3]]+Table356[[#This Row],[I4]]))*1000000, 2)</f>
        <v>-53.14</v>
      </c>
      <c r="P60" s="13" t="str">
        <f t="shared" si="17"/>
        <v/>
      </c>
      <c r="R60" s="11">
        <v>16</v>
      </c>
      <c r="S60" s="11">
        <f t="shared" si="15"/>
        <v>0</v>
      </c>
      <c r="U60" s="13" t="str">
        <f t="shared" si="16"/>
        <v/>
      </c>
    </row>
    <row r="61" spans="2:21" hidden="1" x14ac:dyDescent="0.35">
      <c r="B61" s="6">
        <v>44</v>
      </c>
      <c r="C61" s="2" t="s">
        <v>22</v>
      </c>
      <c r="D61" s="6" t="str">
        <f t="shared" si="18"/>
        <v>1</v>
      </c>
      <c r="E61" s="6" t="str">
        <f t="shared" si="19"/>
        <v>0</v>
      </c>
      <c r="F61" s="6" t="str">
        <f t="shared" si="20"/>
        <v>1</v>
      </c>
      <c r="G61" s="6" t="str">
        <f t="shared" si="21"/>
        <v>1</v>
      </c>
      <c r="H61" s="6" t="str">
        <f t="shared" si="22"/>
        <v>0</v>
      </c>
      <c r="I61" s="6" t="str">
        <f t="shared" si="23"/>
        <v>0</v>
      </c>
      <c r="J61" s="10">
        <f t="shared" si="24"/>
        <v>-3.2571428571428573E-5</v>
      </c>
      <c r="K61" s="10">
        <f t="shared" si="25"/>
        <v>-3.2571428571428573E-5</v>
      </c>
      <c r="L61" s="10">
        <f t="shared" si="26"/>
        <v>-4.0571428571428578E-5</v>
      </c>
      <c r="M61" s="10">
        <f t="shared" si="27"/>
        <v>-4.0571428571428578E-5</v>
      </c>
      <c r="N61" s="11">
        <f>ROUND(((Table356[[#This Row],[I1]]+Table356[[#This Row],[I2]])-(Table356[[#This Row],[I3]]+Table356[[#This Row],[I4]]))*1000000, 2)</f>
        <v>16</v>
      </c>
      <c r="P61" s="13" t="str">
        <f t="shared" si="17"/>
        <v/>
      </c>
      <c r="R61" s="11">
        <v>16</v>
      </c>
      <c r="S61" s="11">
        <f t="shared" si="15"/>
        <v>0</v>
      </c>
      <c r="U61" s="13" t="str">
        <f t="shared" si="16"/>
        <v/>
      </c>
    </row>
    <row r="62" spans="2:21" hidden="1" x14ac:dyDescent="0.35">
      <c r="B62" s="6">
        <v>45</v>
      </c>
      <c r="C62" s="2" t="s">
        <v>22</v>
      </c>
      <c r="D62" s="6" t="str">
        <f t="shared" si="18"/>
        <v>1</v>
      </c>
      <c r="E62" s="6" t="str">
        <f t="shared" si="19"/>
        <v>0</v>
      </c>
      <c r="F62" s="6" t="str">
        <f t="shared" si="20"/>
        <v>1</v>
      </c>
      <c r="G62" s="6" t="str">
        <f t="shared" si="21"/>
        <v>1</v>
      </c>
      <c r="H62" s="6" t="str">
        <f t="shared" si="22"/>
        <v>0</v>
      </c>
      <c r="I62" s="6" t="str">
        <f t="shared" si="23"/>
        <v>1</v>
      </c>
      <c r="J62" s="10">
        <f t="shared" si="24"/>
        <v>-6.1142857142857144E-5</v>
      </c>
      <c r="K62" s="10">
        <f t="shared" si="25"/>
        <v>-6.1142857142857144E-5</v>
      </c>
      <c r="L62" s="10">
        <f t="shared" si="26"/>
        <v>-4.2571428571428579E-5</v>
      </c>
      <c r="M62" s="10">
        <f t="shared" si="27"/>
        <v>-4.2571428571428579E-5</v>
      </c>
      <c r="N62" s="11">
        <f>ROUND(((Table356[[#This Row],[I1]]+Table356[[#This Row],[I2]])-(Table356[[#This Row],[I3]]+Table356[[#This Row],[I4]]))*1000000, 2)</f>
        <v>-37.14</v>
      </c>
      <c r="P62" s="13" t="str">
        <f t="shared" si="17"/>
        <v/>
      </c>
      <c r="R62" s="11">
        <v>16</v>
      </c>
      <c r="S62" s="11">
        <f t="shared" si="15"/>
        <v>0</v>
      </c>
      <c r="U62" s="13" t="str">
        <f t="shared" si="16"/>
        <v/>
      </c>
    </row>
    <row r="63" spans="2:21" hidden="1" x14ac:dyDescent="0.35">
      <c r="B63" s="6">
        <v>46</v>
      </c>
      <c r="C63" s="2" t="s">
        <v>22</v>
      </c>
      <c r="D63" s="6" t="str">
        <f t="shared" si="18"/>
        <v>1</v>
      </c>
      <c r="E63" s="6" t="str">
        <f t="shared" si="19"/>
        <v>0</v>
      </c>
      <c r="F63" s="6" t="str">
        <f t="shared" si="20"/>
        <v>1</v>
      </c>
      <c r="G63" s="6" t="str">
        <f t="shared" si="21"/>
        <v>1</v>
      </c>
      <c r="H63" s="6" t="str">
        <f t="shared" si="22"/>
        <v>1</v>
      </c>
      <c r="I63" s="6" t="str">
        <f t="shared" si="23"/>
        <v>0</v>
      </c>
      <c r="J63" s="10">
        <f t="shared" si="24"/>
        <v>-4.2571428571428572E-5</v>
      </c>
      <c r="K63" s="10">
        <f t="shared" si="25"/>
        <v>-4.2571428571428572E-5</v>
      </c>
      <c r="L63" s="10">
        <f t="shared" si="26"/>
        <v>-4.2571428571428579E-5</v>
      </c>
      <c r="M63" s="10">
        <f t="shared" si="27"/>
        <v>-4.2571428571428579E-5</v>
      </c>
      <c r="N63" s="11">
        <f>ROUND(((Table356[[#This Row],[I1]]+Table356[[#This Row],[I2]])-(Table356[[#This Row],[I3]]+Table356[[#This Row],[I4]]))*1000000, 2)</f>
        <v>0</v>
      </c>
      <c r="P63" s="13" t="str">
        <f t="shared" si="17"/>
        <v/>
      </c>
      <c r="R63" s="11">
        <v>16</v>
      </c>
      <c r="S63" s="11">
        <f t="shared" si="15"/>
        <v>0</v>
      </c>
      <c r="U63" s="13" t="str">
        <f t="shared" si="16"/>
        <v/>
      </c>
    </row>
    <row r="64" spans="2:21" hidden="1" x14ac:dyDescent="0.35">
      <c r="B64" s="6">
        <v>47</v>
      </c>
      <c r="C64" s="2" t="s">
        <v>22</v>
      </c>
      <c r="D64" s="6" t="str">
        <f t="shared" si="18"/>
        <v>1</v>
      </c>
      <c r="E64" s="6" t="str">
        <f t="shared" si="19"/>
        <v>0</v>
      </c>
      <c r="F64" s="6" t="str">
        <f t="shared" si="20"/>
        <v>1</v>
      </c>
      <c r="G64" s="6" t="str">
        <f t="shared" si="21"/>
        <v>1</v>
      </c>
      <c r="H64" s="6" t="str">
        <f t="shared" si="22"/>
        <v>1</v>
      </c>
      <c r="I64" s="6" t="str">
        <f t="shared" si="23"/>
        <v>1</v>
      </c>
      <c r="J64" s="10">
        <f t="shared" si="24"/>
        <v>-7.1142857142857143E-5</v>
      </c>
      <c r="K64" s="10">
        <f t="shared" si="25"/>
        <v>-7.1142857142857143E-5</v>
      </c>
      <c r="L64" s="10">
        <f t="shared" si="26"/>
        <v>-4.457142857142858E-5</v>
      </c>
      <c r="M64" s="10">
        <f t="shared" si="27"/>
        <v>-4.457142857142858E-5</v>
      </c>
      <c r="N64" s="11">
        <f>ROUND(((Table356[[#This Row],[I1]]+Table356[[#This Row],[I2]])-(Table356[[#This Row],[I3]]+Table356[[#This Row],[I4]]))*1000000, 2)</f>
        <v>-53.14</v>
      </c>
      <c r="P64" s="13" t="str">
        <f t="shared" si="17"/>
        <v/>
      </c>
      <c r="R64" s="11">
        <v>16</v>
      </c>
      <c r="S64" s="11">
        <f t="shared" si="15"/>
        <v>0</v>
      </c>
      <c r="U64" s="13" t="str">
        <f t="shared" si="16"/>
        <v/>
      </c>
    </row>
    <row r="65" spans="2:21" hidden="1" x14ac:dyDescent="0.35">
      <c r="B65" s="6">
        <v>48</v>
      </c>
      <c r="C65" s="2" t="s">
        <v>22</v>
      </c>
      <c r="D65" s="6" t="str">
        <f t="shared" si="18"/>
        <v>1</v>
      </c>
      <c r="E65" s="6" t="str">
        <f t="shared" si="19"/>
        <v>1</v>
      </c>
      <c r="F65" s="6" t="str">
        <f t="shared" si="20"/>
        <v>0</v>
      </c>
      <c r="G65" s="6" t="str">
        <f t="shared" si="21"/>
        <v>0</v>
      </c>
      <c r="H65" s="6" t="str">
        <f t="shared" si="22"/>
        <v>0</v>
      </c>
      <c r="I65" s="6" t="str">
        <f t="shared" si="23"/>
        <v>0</v>
      </c>
      <c r="J65" s="10">
        <f t="shared" si="24"/>
        <v>-3.0571428571428572E-5</v>
      </c>
      <c r="K65" s="10">
        <f t="shared" si="25"/>
        <v>-3.0571428571428572E-5</v>
      </c>
      <c r="L65" s="10">
        <f t="shared" si="26"/>
        <v>-5.7142857142857148E-5</v>
      </c>
      <c r="M65" s="10">
        <f t="shared" si="27"/>
        <v>-5.7142857142857148E-5</v>
      </c>
      <c r="N65" s="11">
        <f>ROUND(((Table356[[#This Row],[I1]]+Table356[[#This Row],[I2]])-(Table356[[#This Row],[I3]]+Table356[[#This Row],[I4]]))*1000000, 2)</f>
        <v>53.14</v>
      </c>
      <c r="P65" s="13" t="str">
        <f t="shared" si="17"/>
        <v/>
      </c>
      <c r="R65" s="11">
        <v>16</v>
      </c>
      <c r="S65" s="11">
        <f t="shared" si="15"/>
        <v>0</v>
      </c>
      <c r="U65" s="13" t="str">
        <f t="shared" si="16"/>
        <v/>
      </c>
    </row>
    <row r="66" spans="2:21" hidden="1" x14ac:dyDescent="0.35">
      <c r="B66" s="6">
        <v>49</v>
      </c>
      <c r="C66" s="2" t="s">
        <v>22</v>
      </c>
      <c r="D66" s="6" t="str">
        <f t="shared" si="18"/>
        <v>1</v>
      </c>
      <c r="E66" s="6" t="str">
        <f t="shared" si="19"/>
        <v>1</v>
      </c>
      <c r="F66" s="6" t="str">
        <f t="shared" si="20"/>
        <v>0</v>
      </c>
      <c r="G66" s="6" t="str">
        <f t="shared" si="21"/>
        <v>0</v>
      </c>
      <c r="H66" s="6" t="str">
        <f t="shared" si="22"/>
        <v>0</v>
      </c>
      <c r="I66" s="6" t="str">
        <f t="shared" si="23"/>
        <v>1</v>
      </c>
      <c r="J66" s="10">
        <f t="shared" si="24"/>
        <v>-5.914285714285715E-5</v>
      </c>
      <c r="K66" s="10">
        <f t="shared" si="25"/>
        <v>-5.914285714285715E-5</v>
      </c>
      <c r="L66" s="10">
        <f t="shared" si="26"/>
        <v>-5.914285714285715E-5</v>
      </c>
      <c r="M66" s="10">
        <f t="shared" si="27"/>
        <v>-5.914285714285715E-5</v>
      </c>
      <c r="N66" s="11">
        <f>ROUND(((Table356[[#This Row],[I1]]+Table356[[#This Row],[I2]])-(Table356[[#This Row],[I3]]+Table356[[#This Row],[I4]]))*1000000, 2)</f>
        <v>0</v>
      </c>
      <c r="P66" s="13" t="str">
        <f t="shared" si="17"/>
        <v/>
      </c>
      <c r="R66" s="11">
        <v>16</v>
      </c>
      <c r="S66" s="11">
        <f t="shared" si="15"/>
        <v>0</v>
      </c>
      <c r="U66" s="13" t="str">
        <f t="shared" si="16"/>
        <v/>
      </c>
    </row>
    <row r="67" spans="2:21" hidden="1" x14ac:dyDescent="0.35">
      <c r="B67" s="6">
        <v>50</v>
      </c>
      <c r="C67" s="2" t="s">
        <v>22</v>
      </c>
      <c r="D67" s="6" t="str">
        <f t="shared" si="18"/>
        <v>1</v>
      </c>
      <c r="E67" s="6" t="str">
        <f t="shared" si="19"/>
        <v>1</v>
      </c>
      <c r="F67" s="6" t="str">
        <f t="shared" si="20"/>
        <v>0</v>
      </c>
      <c r="G67" s="6" t="str">
        <f t="shared" si="21"/>
        <v>0</v>
      </c>
      <c r="H67" s="6" t="str">
        <f t="shared" si="22"/>
        <v>1</v>
      </c>
      <c r="I67" s="6" t="str">
        <f t="shared" si="23"/>
        <v>0</v>
      </c>
      <c r="J67" s="10">
        <f t="shared" si="24"/>
        <v>-4.0571428571428571E-5</v>
      </c>
      <c r="K67" s="10">
        <f t="shared" si="25"/>
        <v>-4.0571428571428571E-5</v>
      </c>
      <c r="L67" s="10">
        <f t="shared" si="26"/>
        <v>-5.914285714285715E-5</v>
      </c>
      <c r="M67" s="10">
        <f t="shared" si="27"/>
        <v>-5.914285714285715E-5</v>
      </c>
      <c r="N67" s="11">
        <f>ROUND(((Table356[[#This Row],[I1]]+Table356[[#This Row],[I2]])-(Table356[[#This Row],[I3]]+Table356[[#This Row],[I4]]))*1000000, 2)</f>
        <v>37.14</v>
      </c>
      <c r="P67" s="13" t="str">
        <f t="shared" si="17"/>
        <v/>
      </c>
      <c r="R67" s="11">
        <v>16</v>
      </c>
      <c r="S67" s="11">
        <f t="shared" si="15"/>
        <v>21.14</v>
      </c>
      <c r="U67" s="13" t="str">
        <f t="shared" si="16"/>
        <v/>
      </c>
    </row>
    <row r="68" spans="2:21" hidden="1" x14ac:dyDescent="0.35">
      <c r="B68" s="6">
        <v>51</v>
      </c>
      <c r="C68" s="2" t="s">
        <v>22</v>
      </c>
      <c r="D68" s="6" t="str">
        <f t="shared" si="18"/>
        <v>1</v>
      </c>
      <c r="E68" s="6" t="str">
        <f t="shared" si="19"/>
        <v>1</v>
      </c>
      <c r="F68" s="6" t="str">
        <f t="shared" si="20"/>
        <v>0</v>
      </c>
      <c r="G68" s="6" t="str">
        <f t="shared" si="21"/>
        <v>0</v>
      </c>
      <c r="H68" s="6" t="str">
        <f t="shared" si="22"/>
        <v>1</v>
      </c>
      <c r="I68" s="6" t="str">
        <f t="shared" si="23"/>
        <v>1</v>
      </c>
      <c r="J68" s="10">
        <f t="shared" si="24"/>
        <v>-6.9142857142857149E-5</v>
      </c>
      <c r="K68" s="10">
        <f t="shared" si="25"/>
        <v>-6.9142857142857149E-5</v>
      </c>
      <c r="L68" s="10">
        <f t="shared" si="26"/>
        <v>-6.1142857142857144E-5</v>
      </c>
      <c r="M68" s="10">
        <f t="shared" si="27"/>
        <v>-6.1142857142857144E-5</v>
      </c>
      <c r="N68" s="11">
        <f>ROUND(((Table356[[#This Row],[I1]]+Table356[[#This Row],[I2]])-(Table356[[#This Row],[I3]]+Table356[[#This Row],[I4]]))*1000000, 2)</f>
        <v>-16</v>
      </c>
      <c r="P68" s="13" t="str">
        <f t="shared" si="17"/>
        <v/>
      </c>
      <c r="R68" s="11">
        <v>37.14</v>
      </c>
      <c r="S68" s="11">
        <f t="shared" si="15"/>
        <v>0</v>
      </c>
      <c r="U68" s="13" t="str">
        <f t="shared" si="16"/>
        <v/>
      </c>
    </row>
    <row r="69" spans="2:21" hidden="1" x14ac:dyDescent="0.35">
      <c r="B69" s="6">
        <v>52</v>
      </c>
      <c r="C69" s="2" t="s">
        <v>22</v>
      </c>
      <c r="D69" s="6" t="str">
        <f t="shared" si="18"/>
        <v>1</v>
      </c>
      <c r="E69" s="6" t="str">
        <f t="shared" si="19"/>
        <v>1</v>
      </c>
      <c r="F69" s="6" t="str">
        <f t="shared" si="20"/>
        <v>0</v>
      </c>
      <c r="G69" s="6" t="str">
        <f t="shared" si="21"/>
        <v>1</v>
      </c>
      <c r="H69" s="6" t="str">
        <f t="shared" si="22"/>
        <v>0</v>
      </c>
      <c r="I69" s="6" t="str">
        <f t="shared" si="23"/>
        <v>0</v>
      </c>
      <c r="J69" s="10">
        <f t="shared" si="24"/>
        <v>-3.2571428571428573E-5</v>
      </c>
      <c r="K69" s="10">
        <f t="shared" si="25"/>
        <v>-3.2571428571428573E-5</v>
      </c>
      <c r="L69" s="10">
        <f t="shared" si="26"/>
        <v>-5.914285714285715E-5</v>
      </c>
      <c r="M69" s="10">
        <f t="shared" si="27"/>
        <v>-5.914285714285715E-5</v>
      </c>
      <c r="N69" s="11">
        <f>ROUND(((Table356[[#This Row],[I1]]+Table356[[#This Row],[I2]])-(Table356[[#This Row],[I3]]+Table356[[#This Row],[I4]]))*1000000, 2)</f>
        <v>53.14</v>
      </c>
      <c r="P69" s="13" t="str">
        <f t="shared" si="17"/>
        <v/>
      </c>
      <c r="R69" s="11">
        <v>37.14</v>
      </c>
      <c r="S69" s="11">
        <f t="shared" si="15"/>
        <v>0</v>
      </c>
      <c r="U69" s="13" t="str">
        <f t="shared" si="16"/>
        <v/>
      </c>
    </row>
    <row r="70" spans="2:21" hidden="1" x14ac:dyDescent="0.35">
      <c r="B70" s="6">
        <v>53</v>
      </c>
      <c r="C70" s="2" t="s">
        <v>22</v>
      </c>
      <c r="D70" s="6" t="str">
        <f t="shared" si="18"/>
        <v>1</v>
      </c>
      <c r="E70" s="6" t="str">
        <f t="shared" si="19"/>
        <v>1</v>
      </c>
      <c r="F70" s="6" t="str">
        <f t="shared" si="20"/>
        <v>0</v>
      </c>
      <c r="G70" s="6" t="str">
        <f t="shared" si="21"/>
        <v>1</v>
      </c>
      <c r="H70" s="6" t="str">
        <f t="shared" si="22"/>
        <v>0</v>
      </c>
      <c r="I70" s="6" t="str">
        <f t="shared" si="23"/>
        <v>1</v>
      </c>
      <c r="J70" s="10">
        <f t="shared" si="24"/>
        <v>-6.1142857142857144E-5</v>
      </c>
      <c r="K70" s="10">
        <f t="shared" si="25"/>
        <v>-6.1142857142857144E-5</v>
      </c>
      <c r="L70" s="10">
        <f t="shared" si="26"/>
        <v>-6.1142857142857144E-5</v>
      </c>
      <c r="M70" s="10">
        <f t="shared" si="27"/>
        <v>-6.1142857142857144E-5</v>
      </c>
      <c r="N70" s="11">
        <f>ROUND(((Table356[[#This Row],[I1]]+Table356[[#This Row],[I2]])-(Table356[[#This Row],[I3]]+Table356[[#This Row],[I4]]))*1000000, 2)</f>
        <v>0</v>
      </c>
      <c r="P70" s="13" t="str">
        <f t="shared" si="17"/>
        <v/>
      </c>
      <c r="R70" s="11">
        <v>37.14</v>
      </c>
      <c r="S70" s="11">
        <f t="shared" si="15"/>
        <v>0</v>
      </c>
      <c r="U70" s="13" t="str">
        <f t="shared" si="16"/>
        <v/>
      </c>
    </row>
    <row r="71" spans="2:21" hidden="1" x14ac:dyDescent="0.35">
      <c r="B71" s="6">
        <v>54</v>
      </c>
      <c r="C71" s="2" t="s">
        <v>22</v>
      </c>
      <c r="D71" s="6" t="str">
        <f t="shared" si="18"/>
        <v>1</v>
      </c>
      <c r="E71" s="6" t="str">
        <f t="shared" si="19"/>
        <v>1</v>
      </c>
      <c r="F71" s="6" t="str">
        <f t="shared" si="20"/>
        <v>0</v>
      </c>
      <c r="G71" s="6" t="str">
        <f t="shared" si="21"/>
        <v>1</v>
      </c>
      <c r="H71" s="6" t="str">
        <f t="shared" si="22"/>
        <v>1</v>
      </c>
      <c r="I71" s="6" t="str">
        <f t="shared" si="23"/>
        <v>0</v>
      </c>
      <c r="J71" s="10">
        <f t="shared" si="24"/>
        <v>-4.2571428571428572E-5</v>
      </c>
      <c r="K71" s="10">
        <f t="shared" si="25"/>
        <v>-4.2571428571428572E-5</v>
      </c>
      <c r="L71" s="10">
        <f t="shared" si="26"/>
        <v>-6.1142857142857144E-5</v>
      </c>
      <c r="M71" s="10">
        <f t="shared" si="27"/>
        <v>-6.1142857142857144E-5</v>
      </c>
      <c r="N71" s="11">
        <f>ROUND(((Table356[[#This Row],[I1]]+Table356[[#This Row],[I2]])-(Table356[[#This Row],[I3]]+Table356[[#This Row],[I4]]))*1000000, 2)</f>
        <v>37.14</v>
      </c>
      <c r="P71" s="13" t="str">
        <f t="shared" si="17"/>
        <v/>
      </c>
      <c r="R71" s="11">
        <v>37.14</v>
      </c>
      <c r="S71" s="11">
        <f t="shared" si="15"/>
        <v>16</v>
      </c>
      <c r="U71" s="13" t="str">
        <f t="shared" si="16"/>
        <v/>
      </c>
    </row>
    <row r="72" spans="2:21" hidden="1" x14ac:dyDescent="0.35">
      <c r="B72" s="6">
        <v>55</v>
      </c>
      <c r="C72" s="2" t="s">
        <v>22</v>
      </c>
      <c r="D72" s="6" t="str">
        <f t="shared" si="18"/>
        <v>1</v>
      </c>
      <c r="E72" s="6" t="str">
        <f t="shared" si="19"/>
        <v>1</v>
      </c>
      <c r="F72" s="6" t="str">
        <f t="shared" si="20"/>
        <v>0</v>
      </c>
      <c r="G72" s="6" t="str">
        <f t="shared" si="21"/>
        <v>1</v>
      </c>
      <c r="H72" s="6" t="str">
        <f t="shared" si="22"/>
        <v>1</v>
      </c>
      <c r="I72" s="6" t="str">
        <f t="shared" si="23"/>
        <v>1</v>
      </c>
      <c r="J72" s="10">
        <f t="shared" si="24"/>
        <v>-7.1142857142857143E-5</v>
      </c>
      <c r="K72" s="10">
        <f t="shared" si="25"/>
        <v>-7.1142857142857143E-5</v>
      </c>
      <c r="L72" s="10">
        <f t="shared" si="26"/>
        <v>-6.3142857142857138E-5</v>
      </c>
      <c r="M72" s="10">
        <f t="shared" si="27"/>
        <v>-6.3142857142857138E-5</v>
      </c>
      <c r="N72" s="11">
        <f>ROUND(((Table356[[#This Row],[I1]]+Table356[[#This Row],[I2]])-(Table356[[#This Row],[I3]]+Table356[[#This Row],[I4]]))*1000000, 2)</f>
        <v>-16</v>
      </c>
      <c r="P72" s="13" t="str">
        <f t="shared" si="17"/>
        <v/>
      </c>
      <c r="R72" s="11">
        <v>53.14</v>
      </c>
      <c r="S72" s="11">
        <f t="shared" si="15"/>
        <v>0</v>
      </c>
      <c r="U72" s="13" t="str">
        <f t="shared" si="16"/>
        <v/>
      </c>
    </row>
    <row r="73" spans="2:21" hidden="1" x14ac:dyDescent="0.35">
      <c r="B73" s="6">
        <v>56</v>
      </c>
      <c r="C73" s="2" t="s">
        <v>22</v>
      </c>
      <c r="D73" s="6" t="str">
        <f t="shared" si="18"/>
        <v>1</v>
      </c>
      <c r="E73" s="6" t="str">
        <f t="shared" si="19"/>
        <v>1</v>
      </c>
      <c r="F73" s="6" t="str">
        <f t="shared" si="20"/>
        <v>1</v>
      </c>
      <c r="G73" s="6" t="str">
        <f t="shared" si="21"/>
        <v>0</v>
      </c>
      <c r="H73" s="6" t="str">
        <f t="shared" si="22"/>
        <v>0</v>
      </c>
      <c r="I73" s="6" t="str">
        <f t="shared" si="23"/>
        <v>0</v>
      </c>
      <c r="J73" s="10">
        <f t="shared" si="24"/>
        <v>-3.2571428571428573E-5</v>
      </c>
      <c r="K73" s="10">
        <f t="shared" si="25"/>
        <v>-3.2571428571428573E-5</v>
      </c>
      <c r="L73" s="10">
        <f t="shared" si="26"/>
        <v>-6.7142857142857154E-5</v>
      </c>
      <c r="M73" s="10">
        <f t="shared" si="27"/>
        <v>-6.7142857142857154E-5</v>
      </c>
      <c r="N73" s="11">
        <f>ROUND(((Table356[[#This Row],[I1]]+Table356[[#This Row],[I2]])-(Table356[[#This Row],[I3]]+Table356[[#This Row],[I4]]))*1000000, 2)</f>
        <v>69.14</v>
      </c>
      <c r="P73" s="13" t="str">
        <f t="shared" si="17"/>
        <v/>
      </c>
      <c r="R73" s="11">
        <v>53.14</v>
      </c>
      <c r="S73" s="11">
        <f t="shared" si="15"/>
        <v>0</v>
      </c>
      <c r="U73" s="13" t="str">
        <f t="shared" si="16"/>
        <v/>
      </c>
    </row>
    <row r="74" spans="2:21" hidden="1" x14ac:dyDescent="0.35">
      <c r="B74" s="6">
        <v>57</v>
      </c>
      <c r="C74" s="2" t="s">
        <v>22</v>
      </c>
      <c r="D74" s="6" t="str">
        <f t="shared" si="18"/>
        <v>1</v>
      </c>
      <c r="E74" s="6" t="str">
        <f t="shared" si="19"/>
        <v>1</v>
      </c>
      <c r="F74" s="6" t="str">
        <f t="shared" si="20"/>
        <v>1</v>
      </c>
      <c r="G74" s="6" t="str">
        <f t="shared" si="21"/>
        <v>0</v>
      </c>
      <c r="H74" s="6" t="str">
        <f t="shared" si="22"/>
        <v>0</v>
      </c>
      <c r="I74" s="6" t="str">
        <f t="shared" si="23"/>
        <v>1</v>
      </c>
      <c r="J74" s="10">
        <f t="shared" si="24"/>
        <v>-6.1142857142857144E-5</v>
      </c>
      <c r="K74" s="10">
        <f t="shared" si="25"/>
        <v>-6.1142857142857144E-5</v>
      </c>
      <c r="L74" s="10">
        <f t="shared" si="26"/>
        <v>-6.9142857142857149E-5</v>
      </c>
      <c r="M74" s="10">
        <f t="shared" si="27"/>
        <v>-6.9142857142857149E-5</v>
      </c>
      <c r="N74" s="11">
        <f>ROUND(((Table356[[#This Row],[I1]]+Table356[[#This Row],[I2]])-(Table356[[#This Row],[I3]]+Table356[[#This Row],[I4]]))*1000000, 2)</f>
        <v>16</v>
      </c>
      <c r="P74" s="13" t="str">
        <f t="shared" si="17"/>
        <v/>
      </c>
      <c r="R74" s="11">
        <v>53.14</v>
      </c>
      <c r="S74" s="11">
        <f t="shared" si="15"/>
        <v>0</v>
      </c>
      <c r="U74" s="13" t="str">
        <f t="shared" si="16"/>
        <v/>
      </c>
    </row>
    <row r="75" spans="2:21" hidden="1" x14ac:dyDescent="0.35">
      <c r="B75" s="6">
        <v>58</v>
      </c>
      <c r="C75" s="2" t="s">
        <v>22</v>
      </c>
      <c r="D75" s="6" t="str">
        <f t="shared" si="18"/>
        <v>1</v>
      </c>
      <c r="E75" s="6" t="str">
        <f t="shared" si="19"/>
        <v>1</v>
      </c>
      <c r="F75" s="6" t="str">
        <f t="shared" si="20"/>
        <v>1</v>
      </c>
      <c r="G75" s="6" t="str">
        <f t="shared" si="21"/>
        <v>0</v>
      </c>
      <c r="H75" s="6" t="str">
        <f t="shared" si="22"/>
        <v>1</v>
      </c>
      <c r="I75" s="6" t="str">
        <f t="shared" si="23"/>
        <v>0</v>
      </c>
      <c r="J75" s="10">
        <f t="shared" si="24"/>
        <v>-4.2571428571428572E-5</v>
      </c>
      <c r="K75" s="10">
        <f t="shared" si="25"/>
        <v>-4.2571428571428572E-5</v>
      </c>
      <c r="L75" s="10">
        <f t="shared" si="26"/>
        <v>-6.9142857142857149E-5</v>
      </c>
      <c r="M75" s="10">
        <f t="shared" si="27"/>
        <v>-6.9142857142857149E-5</v>
      </c>
      <c r="N75" s="11">
        <f>ROUND(((Table356[[#This Row],[I1]]+Table356[[#This Row],[I2]])-(Table356[[#This Row],[I3]]+Table356[[#This Row],[I4]]))*1000000, 2)</f>
        <v>53.14</v>
      </c>
      <c r="P75" s="13" t="str">
        <f t="shared" si="17"/>
        <v/>
      </c>
      <c r="R75" s="11">
        <v>53.14</v>
      </c>
      <c r="S75" s="11">
        <f t="shared" si="15"/>
        <v>0</v>
      </c>
      <c r="U75" s="13" t="str">
        <f t="shared" si="16"/>
        <v/>
      </c>
    </row>
    <row r="76" spans="2:21" hidden="1" x14ac:dyDescent="0.35">
      <c r="B76" s="6">
        <v>59</v>
      </c>
      <c r="C76" s="2" t="s">
        <v>22</v>
      </c>
      <c r="D76" s="6" t="str">
        <f t="shared" si="18"/>
        <v>1</v>
      </c>
      <c r="E76" s="6" t="str">
        <f t="shared" si="19"/>
        <v>1</v>
      </c>
      <c r="F76" s="6" t="str">
        <f t="shared" si="20"/>
        <v>1</v>
      </c>
      <c r="G76" s="6" t="str">
        <f t="shared" si="21"/>
        <v>0</v>
      </c>
      <c r="H76" s="6" t="str">
        <f t="shared" si="22"/>
        <v>1</v>
      </c>
      <c r="I76" s="6" t="str">
        <f t="shared" si="23"/>
        <v>1</v>
      </c>
      <c r="J76" s="10">
        <f t="shared" si="24"/>
        <v>-7.1142857142857143E-5</v>
      </c>
      <c r="K76" s="10">
        <f t="shared" si="25"/>
        <v>-7.1142857142857143E-5</v>
      </c>
      <c r="L76" s="10">
        <f t="shared" si="26"/>
        <v>-7.1142857142857143E-5</v>
      </c>
      <c r="M76" s="10">
        <f t="shared" si="27"/>
        <v>-7.1142857142857143E-5</v>
      </c>
      <c r="N76" s="11">
        <f>ROUND(((Table356[[#This Row],[I1]]+Table356[[#This Row],[I2]])-(Table356[[#This Row],[I3]]+Table356[[#This Row],[I4]]))*1000000, 2)</f>
        <v>0</v>
      </c>
      <c r="P76" s="13" t="str">
        <f t="shared" si="17"/>
        <v/>
      </c>
      <c r="R76" s="11">
        <v>53.14</v>
      </c>
      <c r="S76" s="11">
        <f t="shared" si="15"/>
        <v>0</v>
      </c>
      <c r="U76" s="13" t="str">
        <f t="shared" si="16"/>
        <v/>
      </c>
    </row>
    <row r="77" spans="2:21" hidden="1" x14ac:dyDescent="0.35">
      <c r="B77" s="6">
        <v>60</v>
      </c>
      <c r="C77" s="2" t="s">
        <v>22</v>
      </c>
      <c r="D77" s="6" t="str">
        <f t="shared" si="18"/>
        <v>1</v>
      </c>
      <c r="E77" s="6" t="str">
        <f t="shared" si="19"/>
        <v>1</v>
      </c>
      <c r="F77" s="6" t="str">
        <f t="shared" si="20"/>
        <v>1</v>
      </c>
      <c r="G77" s="6" t="str">
        <f t="shared" si="21"/>
        <v>1</v>
      </c>
      <c r="H77" s="6" t="str">
        <f t="shared" si="22"/>
        <v>0</v>
      </c>
      <c r="I77" s="6" t="str">
        <f t="shared" si="23"/>
        <v>0</v>
      </c>
      <c r="J77" s="10">
        <f t="shared" si="24"/>
        <v>-3.4571428571428574E-5</v>
      </c>
      <c r="K77" s="10">
        <f t="shared" si="25"/>
        <v>-3.4571428571428574E-5</v>
      </c>
      <c r="L77" s="10">
        <f t="shared" si="26"/>
        <v>-6.9142857142857149E-5</v>
      </c>
      <c r="M77" s="10">
        <f t="shared" si="27"/>
        <v>-6.9142857142857149E-5</v>
      </c>
      <c r="N77" s="11">
        <f>ROUND(((Table356[[#This Row],[I1]]+Table356[[#This Row],[I2]])-(Table356[[#This Row],[I3]]+Table356[[#This Row],[I4]]))*1000000, 2)</f>
        <v>69.14</v>
      </c>
      <c r="P77" s="13" t="str">
        <f t="shared" si="17"/>
        <v/>
      </c>
      <c r="R77" s="11">
        <v>53.14</v>
      </c>
      <c r="S77" s="11">
        <f t="shared" si="15"/>
        <v>0</v>
      </c>
      <c r="U77" s="13" t="str">
        <f t="shared" si="16"/>
        <v/>
      </c>
    </row>
    <row r="78" spans="2:21" hidden="1" x14ac:dyDescent="0.35">
      <c r="B78" s="6">
        <v>61</v>
      </c>
      <c r="C78" s="2" t="s">
        <v>22</v>
      </c>
      <c r="D78" s="6" t="str">
        <f t="shared" si="18"/>
        <v>1</v>
      </c>
      <c r="E78" s="6" t="str">
        <f t="shared" si="19"/>
        <v>1</v>
      </c>
      <c r="F78" s="6" t="str">
        <f t="shared" si="20"/>
        <v>1</v>
      </c>
      <c r="G78" s="6" t="str">
        <f t="shared" si="21"/>
        <v>1</v>
      </c>
      <c r="H78" s="6" t="str">
        <f t="shared" si="22"/>
        <v>0</v>
      </c>
      <c r="I78" s="6" t="str">
        <f t="shared" si="23"/>
        <v>1</v>
      </c>
      <c r="J78" s="10">
        <f t="shared" si="24"/>
        <v>-6.3142857142857152E-5</v>
      </c>
      <c r="K78" s="10">
        <f t="shared" si="25"/>
        <v>-6.3142857142857152E-5</v>
      </c>
      <c r="L78" s="10">
        <f t="shared" si="26"/>
        <v>-7.1142857142857143E-5</v>
      </c>
      <c r="M78" s="10">
        <f t="shared" si="27"/>
        <v>-7.1142857142857143E-5</v>
      </c>
      <c r="N78" s="11">
        <f>ROUND(((Table356[[#This Row],[I1]]+Table356[[#This Row],[I2]])-(Table356[[#This Row],[I3]]+Table356[[#This Row],[I4]]))*1000000, 2)</f>
        <v>16</v>
      </c>
      <c r="P78" s="13" t="str">
        <f t="shared" si="17"/>
        <v/>
      </c>
      <c r="R78" s="11">
        <v>53.14</v>
      </c>
      <c r="S78" s="11">
        <f t="shared" si="15"/>
        <v>0</v>
      </c>
      <c r="U78" s="13" t="str">
        <f t="shared" si="16"/>
        <v/>
      </c>
    </row>
    <row r="79" spans="2:21" hidden="1" x14ac:dyDescent="0.35">
      <c r="B79" s="6">
        <v>62</v>
      </c>
      <c r="C79" s="2" t="s">
        <v>22</v>
      </c>
      <c r="D79" s="6" t="str">
        <f t="shared" si="18"/>
        <v>1</v>
      </c>
      <c r="E79" s="6" t="str">
        <f t="shared" si="19"/>
        <v>1</v>
      </c>
      <c r="F79" s="6" t="str">
        <f t="shared" si="20"/>
        <v>1</v>
      </c>
      <c r="G79" s="6" t="str">
        <f t="shared" si="21"/>
        <v>1</v>
      </c>
      <c r="H79" s="6" t="str">
        <f t="shared" si="22"/>
        <v>1</v>
      </c>
      <c r="I79" s="6" t="str">
        <f t="shared" si="23"/>
        <v>0</v>
      </c>
      <c r="J79" s="10">
        <f t="shared" si="24"/>
        <v>-4.4571428571428574E-5</v>
      </c>
      <c r="K79" s="10">
        <f t="shared" si="25"/>
        <v>-4.4571428571428574E-5</v>
      </c>
      <c r="L79" s="10">
        <f t="shared" si="26"/>
        <v>-7.1142857142857143E-5</v>
      </c>
      <c r="M79" s="10">
        <f t="shared" si="27"/>
        <v>-7.1142857142857143E-5</v>
      </c>
      <c r="N79" s="11">
        <f>ROUND(((Table356[[#This Row],[I1]]+Table356[[#This Row],[I2]])-(Table356[[#This Row],[I3]]+Table356[[#This Row],[I4]]))*1000000, 2)</f>
        <v>53.14</v>
      </c>
      <c r="P79" s="13" t="s">
        <v>31</v>
      </c>
      <c r="R79" s="11">
        <v>53.14</v>
      </c>
      <c r="S79" s="11">
        <f t="shared" si="15"/>
        <v>16</v>
      </c>
      <c r="U79" s="13" t="str">
        <f t="shared" si="16"/>
        <v/>
      </c>
    </row>
    <row r="80" spans="2:21" x14ac:dyDescent="0.35">
      <c r="B80" s="6">
        <v>2</v>
      </c>
      <c r="C80" s="2" t="s">
        <v>17</v>
      </c>
      <c r="D80" s="6" t="str">
        <f t="shared" si="18"/>
        <v>0</v>
      </c>
      <c r="E80" s="6" t="str">
        <f t="shared" si="19"/>
        <v>0</v>
      </c>
      <c r="F80" s="6" t="str">
        <f t="shared" si="20"/>
        <v>0</v>
      </c>
      <c r="G80" s="6" t="str">
        <f t="shared" si="21"/>
        <v>0</v>
      </c>
      <c r="H80" s="6" t="str">
        <f t="shared" si="22"/>
        <v>1</v>
      </c>
      <c r="I80" s="6" t="str">
        <f t="shared" si="23"/>
        <v>0</v>
      </c>
      <c r="J80" s="10">
        <f t="shared" si="24"/>
        <v>-1.0000000000000001E-5</v>
      </c>
      <c r="K80" s="10">
        <f t="shared" si="25"/>
        <v>-1.0000000000000001E-5</v>
      </c>
      <c r="L80" s="10">
        <f t="shared" si="26"/>
        <v>-1.9999999999999999E-6</v>
      </c>
      <c r="M80" s="10">
        <f t="shared" si="27"/>
        <v>-1.9999999999999999E-6</v>
      </c>
      <c r="N80" s="11">
        <f>ROUND(((Table356[[#This Row],[I1]]+Table356[[#This Row],[I2]])-(Table356[[#This Row],[I3]]+Table356[[#This Row],[I4]]))*1000000, 2)</f>
        <v>-16</v>
      </c>
      <c r="P80" s="13">
        <f t="shared" ref="P80:P82" si="28">IF(ISBLANK(O80), 0, COUNTIF($L$20:$L$83,O80))</f>
        <v>0</v>
      </c>
      <c r="R80" s="11">
        <v>69.14</v>
      </c>
      <c r="S80" s="11">
        <f t="shared" si="15"/>
        <v>0</v>
      </c>
      <c r="U80" s="13" t="str">
        <f t="shared" si="16"/>
        <v/>
      </c>
    </row>
    <row r="81" spans="2:21" x14ac:dyDescent="0.35">
      <c r="B81" s="6">
        <v>6</v>
      </c>
      <c r="C81" s="2" t="s">
        <v>17</v>
      </c>
      <c r="D81" s="6" t="str">
        <f t="shared" si="18"/>
        <v>0</v>
      </c>
      <c r="E81" s="6" t="str">
        <f t="shared" si="19"/>
        <v>0</v>
      </c>
      <c r="F81" s="6" t="str">
        <f t="shared" si="20"/>
        <v>0</v>
      </c>
      <c r="G81" s="6" t="str">
        <f t="shared" si="21"/>
        <v>1</v>
      </c>
      <c r="H81" s="6" t="str">
        <f t="shared" si="22"/>
        <v>1</v>
      </c>
      <c r="I81" s="6" t="str">
        <f t="shared" si="23"/>
        <v>0</v>
      </c>
      <c r="J81" s="10">
        <f t="shared" si="24"/>
        <v>-1.2E-5</v>
      </c>
      <c r="K81" s="10">
        <f t="shared" si="25"/>
        <v>-1.2E-5</v>
      </c>
      <c r="L81" s="10">
        <f t="shared" si="26"/>
        <v>-3.9999999999999998E-6</v>
      </c>
      <c r="M81" s="10">
        <f t="shared" si="27"/>
        <v>-3.9999999999999998E-6</v>
      </c>
      <c r="N81" s="11">
        <f>ROUND(((Table356[[#This Row],[I1]]+Table356[[#This Row],[I2]])-(Table356[[#This Row],[I3]]+Table356[[#This Row],[I4]]))*1000000, 2)</f>
        <v>-16</v>
      </c>
      <c r="P81" s="13">
        <f t="shared" si="28"/>
        <v>0</v>
      </c>
      <c r="R81" s="11">
        <v>69.14</v>
      </c>
      <c r="S81" s="11">
        <f t="shared" si="15"/>
        <v>0</v>
      </c>
      <c r="U81" s="13" t="str">
        <f t="shared" si="16"/>
        <v/>
      </c>
    </row>
    <row r="82" spans="2:21" hidden="1" x14ac:dyDescent="0.35">
      <c r="B82" s="6">
        <v>14</v>
      </c>
      <c r="C82" s="2" t="s">
        <v>20</v>
      </c>
      <c r="D82" s="6" t="str">
        <f t="shared" si="18"/>
        <v>0</v>
      </c>
      <c r="E82" s="6" t="str">
        <f t="shared" si="19"/>
        <v>0</v>
      </c>
      <c r="F82" s="6" t="str">
        <f t="shared" si="20"/>
        <v>1</v>
      </c>
      <c r="G82" s="6" t="str">
        <f t="shared" si="21"/>
        <v>1</v>
      </c>
      <c r="H82" s="6" t="str">
        <f t="shared" si="22"/>
        <v>1</v>
      </c>
      <c r="I82" s="6" t="str">
        <f t="shared" si="23"/>
        <v>0</v>
      </c>
      <c r="J82" s="10">
        <f t="shared" si="24"/>
        <v>-1.4000000000000001E-5</v>
      </c>
      <c r="K82" s="10">
        <f t="shared" si="25"/>
        <v>-1.4000000000000001E-5</v>
      </c>
      <c r="L82" s="10">
        <f t="shared" si="26"/>
        <v>-1.4E-5</v>
      </c>
      <c r="M82" s="10">
        <f t="shared" si="27"/>
        <v>-1.4E-5</v>
      </c>
      <c r="N82" s="11">
        <f>ROUND(((Table356[[#This Row],[I1]]+Table356[[#This Row],[I2]])-(Table356[[#This Row],[I3]]+Table356[[#This Row],[I4]]))*1000000, 2)</f>
        <v>0</v>
      </c>
      <c r="P82" s="13">
        <f t="shared" si="28"/>
        <v>0</v>
      </c>
      <c r="R82" s="11">
        <v>69.14</v>
      </c>
      <c r="S82" s="11">
        <f t="shared" si="15"/>
        <v>0</v>
      </c>
      <c r="U82" s="13" t="str">
        <f t="shared" si="16"/>
        <v/>
      </c>
    </row>
    <row r="83" spans="2:21" hidden="1" x14ac:dyDescent="0.35">
      <c r="B83" s="6">
        <v>63</v>
      </c>
      <c r="C83" s="2" t="s">
        <v>22</v>
      </c>
      <c r="D83" s="6" t="str">
        <f t="shared" si="18"/>
        <v>1</v>
      </c>
      <c r="E83" s="6" t="str">
        <f t="shared" si="19"/>
        <v>1</v>
      </c>
      <c r="F83" s="6" t="str">
        <f t="shared" si="20"/>
        <v>1</v>
      </c>
      <c r="G83" s="6" t="str">
        <f t="shared" si="21"/>
        <v>1</v>
      </c>
      <c r="H83" s="6" t="str">
        <f t="shared" si="22"/>
        <v>1</v>
      </c>
      <c r="I83" s="6" t="str">
        <f t="shared" si="23"/>
        <v>1</v>
      </c>
      <c r="J83" s="10">
        <f t="shared" si="24"/>
        <v>-7.3142857142857151E-5</v>
      </c>
      <c r="K83" s="10">
        <f t="shared" si="25"/>
        <v>-7.3142857142857151E-5</v>
      </c>
      <c r="L83" s="10">
        <f t="shared" si="26"/>
        <v>-7.3142857142857138E-5</v>
      </c>
      <c r="M83" s="10">
        <f t="shared" si="27"/>
        <v>-7.3142857142857138E-5</v>
      </c>
      <c r="N83" s="11">
        <f>ROUND(((Table356[[#This Row],[I1]]+Table356[[#This Row],[I2]])-(Table356[[#This Row],[I3]]+Table356[[#This Row],[I4]]))*1000000, 2)</f>
        <v>0</v>
      </c>
      <c r="R83" s="11">
        <v>69.14</v>
      </c>
      <c r="S83" s="11" t="str">
        <f>IF(ISBLANK(R84),"",ROUND(R84-R83,2))</f>
        <v/>
      </c>
      <c r="U83" s="13" t="str">
        <f t="shared" si="16"/>
        <v/>
      </c>
    </row>
  </sheetData>
  <phoneticPr fontId="5" type="noConversion"/>
  <conditionalFormatting sqref="N20:N83">
    <cfRule type="duplicateValues" dxfId="13" priority="1"/>
  </conditionalFormatting>
  <hyperlinks>
    <hyperlink ref="G10" r:id="rId1" display="R@" xr:uid="{FAEAF319-EDD7-494A-8353-7CA6106E82B6}"/>
    <hyperlink ref="G2" r:id="rId2" display="R@" xr:uid="{9C319F5C-A6BF-4E20-B2AE-B9F7A158F36A}"/>
    <hyperlink ref="H10" r:id="rId3" display="R@" xr:uid="{E15552EA-FD91-4DE4-929E-01B0A4F2CA2C}"/>
    <hyperlink ref="H2" r:id="rId4" display="R@" xr:uid="{863F3697-1515-4970-9CF9-369DE0A1F976}"/>
  </hyperlinks>
  <pageMargins left="0.7" right="0.7" top="0.75" bottom="0.75" header="0.3" footer="0.3"/>
  <drawing r:id="rId5"/>
  <tableParts count="1">
    <tablePart r:id="rId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9756-D743-42E9-9DFC-D7699F136784}">
  <dimension ref="B2:DO83"/>
  <sheetViews>
    <sheetView topLeftCell="A9" workbookViewId="0">
      <selection activeCell="G24" sqref="G24"/>
    </sheetView>
  </sheetViews>
  <sheetFormatPr defaultRowHeight="14.5" x14ac:dyDescent="0.35"/>
  <cols>
    <col min="2" max="2" width="6.7265625" style="6" bestFit="1" customWidth="1"/>
    <col min="3" max="3" width="19.1796875" style="2" customWidth="1"/>
    <col min="4" max="4" width="12.1796875" customWidth="1"/>
    <col min="5" max="6" width="10.54296875" bestFit="1" customWidth="1"/>
    <col min="7" max="7" width="10.54296875" customWidth="1"/>
    <col min="8" max="10" width="10.54296875" bestFit="1" customWidth="1"/>
    <col min="11" max="13" width="10.54296875" style="10" bestFit="1" customWidth="1"/>
    <col min="14" max="15" width="10.54296875" style="10" customWidth="1"/>
    <col min="16" max="16" width="19.1796875" style="10" bestFit="1" customWidth="1"/>
    <col min="17" max="25" width="10.54296875" style="10" customWidth="1"/>
    <col min="26" max="27" width="10.54296875" style="10" bestFit="1" customWidth="1"/>
    <col min="28" max="28" width="19.26953125" style="10" customWidth="1"/>
    <col min="29" max="29" width="10.54296875" style="10" customWidth="1"/>
    <col min="30" max="30" width="10" style="11" bestFit="1" customWidth="1"/>
    <col min="31" max="31" width="19.1796875" style="11" bestFit="1" customWidth="1"/>
    <col min="32" max="32" width="14.7265625" style="11" bestFit="1" customWidth="1"/>
    <col min="33" max="33" width="9.54296875" style="13" bestFit="1" customWidth="1"/>
    <col min="35" max="35" width="7.81640625" style="11" bestFit="1" customWidth="1"/>
    <col min="36" max="37" width="7.81640625" style="11" customWidth="1"/>
    <col min="38" max="39" width="10.81640625" style="11" customWidth="1"/>
    <col min="40" max="40" width="9.1796875" style="11"/>
  </cols>
  <sheetData>
    <row r="2" spans="3:119" x14ac:dyDescent="0.35">
      <c r="D2" s="15" t="s">
        <v>10</v>
      </c>
      <c r="E2" s="5" t="s">
        <v>11</v>
      </c>
      <c r="F2" s="5" t="s">
        <v>13</v>
      </c>
      <c r="G2" s="5" t="s">
        <v>25</v>
      </c>
      <c r="H2" s="5" t="s">
        <v>27</v>
      </c>
      <c r="I2" s="5" t="s">
        <v>28</v>
      </c>
      <c r="J2" s="5" t="s">
        <v>34</v>
      </c>
    </row>
    <row r="3" spans="3:119" x14ac:dyDescent="0.35">
      <c r="D3">
        <v>7</v>
      </c>
      <c r="E3">
        <v>7</v>
      </c>
      <c r="F3">
        <v>7</v>
      </c>
      <c r="G3">
        <v>100</v>
      </c>
      <c r="H3">
        <v>100</v>
      </c>
      <c r="I3">
        <v>100</v>
      </c>
      <c r="J3">
        <v>100</v>
      </c>
      <c r="K3">
        <f t="shared" ref="K3:K8" si="0">SUM(D3:J3)</f>
        <v>421</v>
      </c>
      <c r="L3">
        <v>32</v>
      </c>
      <c r="N3"/>
      <c r="O3"/>
      <c r="P3"/>
      <c r="Q3"/>
      <c r="R3"/>
      <c r="S3"/>
      <c r="T3"/>
      <c r="U3"/>
      <c r="V3"/>
      <c r="W3"/>
      <c r="X3"/>
      <c r="Y3"/>
    </row>
    <row r="4" spans="3:119" x14ac:dyDescent="0.35">
      <c r="D4">
        <v>7</v>
      </c>
      <c r="E4">
        <v>30</v>
      </c>
      <c r="F4">
        <v>100</v>
      </c>
      <c r="G4">
        <v>100</v>
      </c>
      <c r="H4">
        <v>100</v>
      </c>
      <c r="I4">
        <v>100</v>
      </c>
      <c r="J4">
        <v>100</v>
      </c>
      <c r="K4">
        <f t="shared" si="0"/>
        <v>537</v>
      </c>
      <c r="L4">
        <v>16</v>
      </c>
      <c r="N4"/>
      <c r="O4"/>
      <c r="P4"/>
      <c r="Q4"/>
      <c r="R4"/>
      <c r="S4"/>
      <c r="T4"/>
      <c r="U4"/>
      <c r="V4"/>
      <c r="W4"/>
      <c r="X4"/>
      <c r="Y4"/>
    </row>
    <row r="5" spans="3:119" x14ac:dyDescent="0.35">
      <c r="D5">
        <v>30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f t="shared" si="0"/>
        <v>630</v>
      </c>
      <c r="L5">
        <v>8</v>
      </c>
      <c r="N5"/>
      <c r="O5"/>
      <c r="P5"/>
      <c r="Q5"/>
      <c r="R5"/>
      <c r="S5"/>
      <c r="T5"/>
      <c r="U5"/>
      <c r="V5"/>
      <c r="W5"/>
      <c r="X5"/>
      <c r="Y5"/>
    </row>
    <row r="6" spans="3:119" x14ac:dyDescent="0.35"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f t="shared" si="0"/>
        <v>700</v>
      </c>
      <c r="L6">
        <v>4</v>
      </c>
      <c r="N6"/>
      <c r="O6"/>
      <c r="P6"/>
      <c r="Q6"/>
      <c r="R6"/>
      <c r="S6"/>
      <c r="T6"/>
      <c r="U6"/>
      <c r="V6"/>
      <c r="W6"/>
      <c r="X6"/>
      <c r="Y6"/>
    </row>
    <row r="7" spans="3:119" x14ac:dyDescent="0.35">
      <c r="D7">
        <v>15</v>
      </c>
      <c r="E7">
        <v>30</v>
      </c>
      <c r="F7">
        <v>100</v>
      </c>
      <c r="G7">
        <v>100</v>
      </c>
      <c r="H7">
        <v>100</v>
      </c>
      <c r="I7">
        <v>100</v>
      </c>
      <c r="J7">
        <v>100</v>
      </c>
      <c r="K7">
        <f t="shared" si="0"/>
        <v>545</v>
      </c>
      <c r="L7">
        <v>2</v>
      </c>
      <c r="N7"/>
      <c r="O7"/>
      <c r="P7"/>
      <c r="Q7"/>
      <c r="R7"/>
      <c r="S7"/>
      <c r="T7"/>
      <c r="U7"/>
      <c r="V7"/>
      <c r="W7"/>
      <c r="X7"/>
      <c r="Y7"/>
      <c r="AT7" s="15" t="s">
        <v>10</v>
      </c>
      <c r="AU7" s="5" t="s">
        <v>11</v>
      </c>
      <c r="AV7" s="5" t="s">
        <v>13</v>
      </c>
      <c r="AW7" s="5" t="s">
        <v>25</v>
      </c>
      <c r="AX7" s="5" t="s">
        <v>27</v>
      </c>
      <c r="AY7" s="5" t="s">
        <v>28</v>
      </c>
      <c r="BB7" s="15" t="s">
        <v>10</v>
      </c>
      <c r="BC7" s="5" t="s">
        <v>11</v>
      </c>
      <c r="BD7" s="5" t="s">
        <v>13</v>
      </c>
      <c r="BE7" s="5" t="s">
        <v>25</v>
      </c>
      <c r="BF7" s="5" t="s">
        <v>27</v>
      </c>
      <c r="BG7" s="5" t="s">
        <v>28</v>
      </c>
      <c r="BI7" s="15" t="s">
        <v>10</v>
      </c>
      <c r="BJ7" s="5" t="s">
        <v>11</v>
      </c>
      <c r="BK7" s="5" t="s">
        <v>13</v>
      </c>
      <c r="BL7" s="5" t="s">
        <v>25</v>
      </c>
      <c r="BM7" s="5" t="s">
        <v>27</v>
      </c>
      <c r="BN7" s="5" t="s">
        <v>28</v>
      </c>
      <c r="BP7" s="15" t="s">
        <v>10</v>
      </c>
      <c r="BQ7" s="5" t="s">
        <v>11</v>
      </c>
      <c r="BR7" s="5" t="s">
        <v>13</v>
      </c>
      <c r="BS7" s="5" t="s">
        <v>25</v>
      </c>
      <c r="BT7" s="5" t="s">
        <v>27</v>
      </c>
      <c r="BU7" s="5" t="s">
        <v>28</v>
      </c>
      <c r="BW7" s="15" t="s">
        <v>10</v>
      </c>
      <c r="BX7" s="5" t="s">
        <v>11</v>
      </c>
      <c r="BY7" s="5" t="s">
        <v>13</v>
      </c>
      <c r="BZ7" s="5" t="s">
        <v>25</v>
      </c>
      <c r="CA7" s="5" t="s">
        <v>27</v>
      </c>
      <c r="CB7" s="5" t="s">
        <v>28</v>
      </c>
      <c r="CD7" s="15" t="s">
        <v>10</v>
      </c>
      <c r="CE7" s="5" t="s">
        <v>11</v>
      </c>
      <c r="CF7" s="5" t="s">
        <v>13</v>
      </c>
      <c r="CG7" s="5" t="s">
        <v>25</v>
      </c>
      <c r="CH7" s="5" t="s">
        <v>27</v>
      </c>
      <c r="CI7" s="5" t="s">
        <v>28</v>
      </c>
      <c r="CK7" s="15" t="s">
        <v>10</v>
      </c>
      <c r="CL7" s="5" t="s">
        <v>11</v>
      </c>
      <c r="CM7" s="5" t="s">
        <v>13</v>
      </c>
      <c r="CN7" s="5" t="s">
        <v>25</v>
      </c>
      <c r="CO7" s="5" t="s">
        <v>27</v>
      </c>
      <c r="CP7" s="5" t="s">
        <v>28</v>
      </c>
      <c r="CQ7" s="5" t="s">
        <v>34</v>
      </c>
      <c r="CS7" s="15" t="s">
        <v>10</v>
      </c>
      <c r="CT7" s="5" t="s">
        <v>11</v>
      </c>
      <c r="CU7" s="5" t="s">
        <v>13</v>
      </c>
      <c r="CV7" s="5" t="s">
        <v>25</v>
      </c>
      <c r="CW7" s="5" t="s">
        <v>27</v>
      </c>
      <c r="CX7" s="5" t="s">
        <v>28</v>
      </c>
      <c r="CY7" s="5" t="s">
        <v>34</v>
      </c>
      <c r="DA7" s="15" t="s">
        <v>10</v>
      </c>
      <c r="DB7" s="5" t="s">
        <v>11</v>
      </c>
      <c r="DC7" s="5" t="s">
        <v>13</v>
      </c>
      <c r="DD7" s="5" t="s">
        <v>25</v>
      </c>
      <c r="DE7" s="5" t="s">
        <v>27</v>
      </c>
      <c r="DF7" s="5" t="s">
        <v>28</v>
      </c>
      <c r="DG7" s="5" t="s">
        <v>34</v>
      </c>
      <c r="DI7" s="15" t="s">
        <v>10</v>
      </c>
      <c r="DJ7" s="5" t="s">
        <v>11</v>
      </c>
      <c r="DK7" s="5" t="s">
        <v>13</v>
      </c>
      <c r="DL7" s="5" t="s">
        <v>25</v>
      </c>
      <c r="DM7" s="5" t="s">
        <v>27</v>
      </c>
      <c r="DN7" s="5" t="s">
        <v>28</v>
      </c>
      <c r="DO7" s="5" t="s">
        <v>34</v>
      </c>
    </row>
    <row r="8" spans="3:119" x14ac:dyDescent="0.35">
      <c r="D8">
        <v>7</v>
      </c>
      <c r="E8">
        <v>15</v>
      </c>
      <c r="F8">
        <v>30</v>
      </c>
      <c r="G8">
        <v>100</v>
      </c>
      <c r="H8">
        <v>100</v>
      </c>
      <c r="I8">
        <v>100</v>
      </c>
      <c r="J8">
        <v>100</v>
      </c>
      <c r="K8">
        <f t="shared" si="0"/>
        <v>452</v>
      </c>
      <c r="L8">
        <v>1</v>
      </c>
      <c r="N8"/>
      <c r="O8"/>
      <c r="P8"/>
      <c r="Q8"/>
      <c r="R8"/>
      <c r="S8"/>
      <c r="T8"/>
      <c r="U8"/>
      <c r="V8"/>
      <c r="W8"/>
      <c r="X8"/>
      <c r="Y8"/>
      <c r="AT8">
        <v>7</v>
      </c>
      <c r="AU8">
        <v>7</v>
      </c>
      <c r="AV8">
        <v>7</v>
      </c>
      <c r="AW8">
        <v>7</v>
      </c>
      <c r="AX8">
        <v>7</v>
      </c>
      <c r="AY8">
        <v>7</v>
      </c>
      <c r="BB8">
        <v>7</v>
      </c>
      <c r="BC8">
        <v>7</v>
      </c>
      <c r="BD8">
        <v>7</v>
      </c>
      <c r="BE8">
        <v>7</v>
      </c>
      <c r="BF8">
        <v>7</v>
      </c>
      <c r="BG8">
        <v>100</v>
      </c>
      <c r="BI8">
        <v>7</v>
      </c>
      <c r="BJ8">
        <v>7</v>
      </c>
      <c r="BK8">
        <v>7</v>
      </c>
      <c r="BL8">
        <v>7</v>
      </c>
      <c r="BM8">
        <v>7</v>
      </c>
      <c r="BN8">
        <v>100</v>
      </c>
      <c r="BP8">
        <v>7</v>
      </c>
      <c r="BQ8">
        <v>7</v>
      </c>
      <c r="BR8">
        <v>7</v>
      </c>
      <c r="BS8">
        <v>7</v>
      </c>
      <c r="BT8">
        <v>7</v>
      </c>
      <c r="BU8">
        <v>100</v>
      </c>
      <c r="BW8">
        <v>7</v>
      </c>
      <c r="BX8">
        <v>7</v>
      </c>
      <c r="BY8">
        <v>7</v>
      </c>
      <c r="BZ8">
        <v>7</v>
      </c>
      <c r="CA8">
        <v>7</v>
      </c>
      <c r="CB8">
        <v>20</v>
      </c>
      <c r="CD8">
        <v>7</v>
      </c>
      <c r="CE8">
        <v>7</v>
      </c>
      <c r="CF8">
        <v>7</v>
      </c>
      <c r="CG8">
        <v>7</v>
      </c>
      <c r="CH8">
        <v>7</v>
      </c>
      <c r="CI8">
        <v>7</v>
      </c>
      <c r="CK8">
        <v>7</v>
      </c>
      <c r="CL8">
        <v>7</v>
      </c>
      <c r="CM8">
        <v>7</v>
      </c>
      <c r="CN8">
        <v>7</v>
      </c>
      <c r="CO8">
        <v>7</v>
      </c>
      <c r="CP8">
        <v>7</v>
      </c>
      <c r="CQ8">
        <v>7</v>
      </c>
      <c r="CS8">
        <v>7</v>
      </c>
      <c r="CT8">
        <v>7</v>
      </c>
      <c r="CU8">
        <v>7</v>
      </c>
      <c r="CV8">
        <v>7</v>
      </c>
      <c r="CW8">
        <v>7</v>
      </c>
      <c r="CX8">
        <v>7</v>
      </c>
      <c r="CY8">
        <v>7</v>
      </c>
      <c r="DA8">
        <v>7</v>
      </c>
      <c r="DB8">
        <v>7</v>
      </c>
      <c r="DC8">
        <v>7</v>
      </c>
      <c r="DD8">
        <v>7</v>
      </c>
      <c r="DE8">
        <v>7</v>
      </c>
      <c r="DF8">
        <v>7</v>
      </c>
      <c r="DG8">
        <v>7</v>
      </c>
      <c r="DI8">
        <v>7</v>
      </c>
      <c r="DJ8">
        <v>7</v>
      </c>
      <c r="DK8">
        <v>7</v>
      </c>
      <c r="DL8">
        <v>7</v>
      </c>
      <c r="DM8">
        <v>7</v>
      </c>
      <c r="DN8">
        <v>7</v>
      </c>
      <c r="DO8">
        <v>7</v>
      </c>
    </row>
    <row r="9" spans="3:119" x14ac:dyDescent="0.35">
      <c r="L9"/>
      <c r="N9"/>
      <c r="O9"/>
      <c r="P9"/>
      <c r="Q9"/>
      <c r="R9"/>
      <c r="S9"/>
      <c r="T9"/>
      <c r="U9"/>
      <c r="V9"/>
      <c r="W9"/>
      <c r="X9"/>
      <c r="Y9"/>
      <c r="AT9">
        <v>7</v>
      </c>
      <c r="AU9">
        <v>7</v>
      </c>
      <c r="AV9">
        <v>7</v>
      </c>
      <c r="AW9">
        <v>7</v>
      </c>
      <c r="AX9">
        <v>100</v>
      </c>
      <c r="AY9">
        <v>100</v>
      </c>
      <c r="BB9">
        <v>7</v>
      </c>
      <c r="BC9">
        <v>7</v>
      </c>
      <c r="BD9">
        <v>7</v>
      </c>
      <c r="BE9">
        <v>7</v>
      </c>
      <c r="BF9">
        <v>100</v>
      </c>
      <c r="BG9">
        <v>20</v>
      </c>
      <c r="BI9">
        <v>7</v>
      </c>
      <c r="BJ9">
        <v>7</v>
      </c>
      <c r="BK9">
        <v>7</v>
      </c>
      <c r="BL9">
        <v>100</v>
      </c>
      <c r="BM9">
        <v>100</v>
      </c>
      <c r="BN9">
        <v>20</v>
      </c>
      <c r="BP9">
        <v>7</v>
      </c>
      <c r="BQ9">
        <v>7</v>
      </c>
      <c r="BR9">
        <v>7</v>
      </c>
      <c r="BS9">
        <v>100</v>
      </c>
      <c r="BT9">
        <v>100</v>
      </c>
      <c r="BU9">
        <v>20</v>
      </c>
      <c r="BW9">
        <v>7</v>
      </c>
      <c r="BX9">
        <v>7</v>
      </c>
      <c r="BY9">
        <v>7</v>
      </c>
      <c r="BZ9">
        <v>7</v>
      </c>
      <c r="CA9">
        <v>20</v>
      </c>
      <c r="CB9">
        <v>100</v>
      </c>
      <c r="CD9">
        <v>7</v>
      </c>
      <c r="CE9">
        <v>7</v>
      </c>
      <c r="CF9">
        <v>7</v>
      </c>
      <c r="CG9">
        <v>100</v>
      </c>
      <c r="CH9">
        <v>100</v>
      </c>
      <c r="CI9">
        <v>100</v>
      </c>
      <c r="CK9">
        <v>7</v>
      </c>
      <c r="CL9">
        <v>7</v>
      </c>
      <c r="CM9">
        <v>7</v>
      </c>
      <c r="CN9">
        <v>20</v>
      </c>
      <c r="CO9">
        <v>100</v>
      </c>
      <c r="CP9">
        <v>150</v>
      </c>
      <c r="CQ9">
        <v>150</v>
      </c>
      <c r="CS9">
        <v>7</v>
      </c>
      <c r="CT9">
        <v>7</v>
      </c>
      <c r="CU9">
        <v>7</v>
      </c>
      <c r="CV9">
        <v>20</v>
      </c>
      <c r="CW9">
        <v>100</v>
      </c>
      <c r="CX9">
        <v>150</v>
      </c>
      <c r="CY9">
        <v>150</v>
      </c>
      <c r="DA9">
        <v>7</v>
      </c>
      <c r="DB9">
        <v>7</v>
      </c>
      <c r="DC9">
        <v>7</v>
      </c>
      <c r="DD9">
        <v>7</v>
      </c>
      <c r="DE9">
        <v>7</v>
      </c>
      <c r="DF9">
        <v>30</v>
      </c>
      <c r="DG9">
        <v>100</v>
      </c>
      <c r="DI9">
        <v>7</v>
      </c>
      <c r="DJ9">
        <v>7</v>
      </c>
      <c r="DK9">
        <v>7</v>
      </c>
      <c r="DL9">
        <v>7</v>
      </c>
      <c r="DM9">
        <v>7</v>
      </c>
      <c r="DN9">
        <v>30</v>
      </c>
      <c r="DO9">
        <v>100</v>
      </c>
    </row>
    <row r="10" spans="3:119" x14ac:dyDescent="0.35">
      <c r="D10" s="16" t="s">
        <v>7</v>
      </c>
      <c r="E10" s="9" t="s">
        <v>8</v>
      </c>
      <c r="F10" s="9" t="s">
        <v>12</v>
      </c>
      <c r="G10" s="9" t="s">
        <v>26</v>
      </c>
      <c r="H10" s="9" t="s">
        <v>29</v>
      </c>
      <c r="I10" s="9" t="s">
        <v>30</v>
      </c>
      <c r="J10" s="9" t="s">
        <v>35</v>
      </c>
      <c r="L10"/>
      <c r="N10"/>
      <c r="O10"/>
      <c r="P10"/>
      <c r="Q10"/>
      <c r="R10"/>
      <c r="S10"/>
      <c r="T10"/>
      <c r="U10"/>
      <c r="V10"/>
      <c r="W10"/>
      <c r="X10"/>
      <c r="Y10"/>
      <c r="AT10">
        <v>7</v>
      </c>
      <c r="AU10">
        <v>7</v>
      </c>
      <c r="AV10">
        <v>20</v>
      </c>
      <c r="AW10">
        <v>20</v>
      </c>
      <c r="AX10">
        <v>100</v>
      </c>
      <c r="AY10">
        <v>100</v>
      </c>
      <c r="BB10">
        <v>7</v>
      </c>
      <c r="BC10">
        <v>7</v>
      </c>
      <c r="BD10">
        <v>7</v>
      </c>
      <c r="BE10">
        <v>100</v>
      </c>
      <c r="BF10">
        <v>20</v>
      </c>
      <c r="BG10">
        <v>20</v>
      </c>
      <c r="BI10">
        <v>7</v>
      </c>
      <c r="BJ10">
        <v>7</v>
      </c>
      <c r="BK10">
        <v>100</v>
      </c>
      <c r="BL10">
        <v>100</v>
      </c>
      <c r="BM10">
        <v>100</v>
      </c>
      <c r="BN10">
        <v>20</v>
      </c>
      <c r="BP10">
        <v>7</v>
      </c>
      <c r="BQ10">
        <v>7</v>
      </c>
      <c r="BR10">
        <v>100</v>
      </c>
      <c r="BS10">
        <v>100</v>
      </c>
      <c r="BT10">
        <v>100</v>
      </c>
      <c r="BU10">
        <v>20</v>
      </c>
      <c r="BW10">
        <v>7</v>
      </c>
      <c r="BX10">
        <v>7</v>
      </c>
      <c r="BY10">
        <v>7</v>
      </c>
      <c r="BZ10">
        <v>20</v>
      </c>
      <c r="CA10">
        <v>100</v>
      </c>
      <c r="CB10">
        <v>100</v>
      </c>
      <c r="CD10">
        <v>7</v>
      </c>
      <c r="CE10">
        <v>100</v>
      </c>
      <c r="CF10">
        <v>100</v>
      </c>
      <c r="CG10">
        <v>100</v>
      </c>
      <c r="CH10">
        <v>100</v>
      </c>
      <c r="CI10">
        <v>100</v>
      </c>
      <c r="CK10">
        <v>7</v>
      </c>
      <c r="CL10">
        <v>20</v>
      </c>
      <c r="CM10">
        <v>20</v>
      </c>
      <c r="CN10">
        <v>20</v>
      </c>
      <c r="CO10">
        <v>20</v>
      </c>
      <c r="CP10">
        <v>20</v>
      </c>
      <c r="CQ10">
        <v>150</v>
      </c>
      <c r="CS10">
        <v>7</v>
      </c>
      <c r="CT10">
        <v>20</v>
      </c>
      <c r="CU10">
        <v>20</v>
      </c>
      <c r="CV10">
        <v>20</v>
      </c>
      <c r="CW10">
        <v>20</v>
      </c>
      <c r="CX10">
        <v>20</v>
      </c>
      <c r="CY10">
        <v>150</v>
      </c>
      <c r="DA10">
        <v>7</v>
      </c>
      <c r="DB10">
        <v>7</v>
      </c>
      <c r="DC10">
        <v>7</v>
      </c>
      <c r="DD10">
        <v>30</v>
      </c>
      <c r="DE10">
        <v>30</v>
      </c>
      <c r="DF10">
        <v>30</v>
      </c>
      <c r="DG10">
        <v>100</v>
      </c>
      <c r="DI10">
        <v>7</v>
      </c>
      <c r="DJ10">
        <v>7</v>
      </c>
      <c r="DK10">
        <v>7</v>
      </c>
      <c r="DL10">
        <v>15</v>
      </c>
      <c r="DM10">
        <v>15</v>
      </c>
      <c r="DN10">
        <v>100</v>
      </c>
      <c r="DO10">
        <v>100</v>
      </c>
    </row>
    <row r="11" spans="3:119" x14ac:dyDescent="0.35">
      <c r="D11" s="10">
        <f>0.2/(D3*1000)</f>
        <v>2.8571428571428574E-5</v>
      </c>
      <c r="E11" s="10">
        <f t="shared" ref="E11:F11" si="1">0.2/(E3*1000)</f>
        <v>2.8571428571428574E-5</v>
      </c>
      <c r="F11" s="10">
        <f t="shared" si="1"/>
        <v>2.8571428571428574E-5</v>
      </c>
      <c r="G11" s="10">
        <f t="shared" ref="G11:J16" si="2">0.2/(G3*1000)</f>
        <v>1.9999999999999999E-6</v>
      </c>
      <c r="H11" s="10">
        <f t="shared" si="2"/>
        <v>1.9999999999999999E-6</v>
      </c>
      <c r="I11" s="10">
        <f t="shared" si="2"/>
        <v>1.9999999999999999E-6</v>
      </c>
      <c r="J11" s="10">
        <f t="shared" si="2"/>
        <v>1.9999999999999999E-6</v>
      </c>
      <c r="K11" s="10">
        <f t="shared" ref="K11:K16" si="3">SUM(D11:J11)</f>
        <v>9.3714285714285704E-5</v>
      </c>
      <c r="L11"/>
      <c r="N11"/>
      <c r="O11"/>
      <c r="P11"/>
      <c r="Q11"/>
      <c r="R11"/>
      <c r="S11"/>
      <c r="T11"/>
      <c r="U11"/>
      <c r="V11"/>
      <c r="W11"/>
      <c r="X11"/>
      <c r="Y11"/>
      <c r="AT11">
        <v>100</v>
      </c>
      <c r="AU11">
        <v>100</v>
      </c>
      <c r="AV11">
        <v>100</v>
      </c>
      <c r="AW11">
        <v>100</v>
      </c>
      <c r="AX11">
        <v>100</v>
      </c>
      <c r="AY11">
        <v>100</v>
      </c>
      <c r="BB11">
        <v>7</v>
      </c>
      <c r="BC11">
        <v>7</v>
      </c>
      <c r="BD11">
        <v>100</v>
      </c>
      <c r="BE11">
        <v>20</v>
      </c>
      <c r="BF11">
        <v>20</v>
      </c>
      <c r="BG11">
        <v>20</v>
      </c>
      <c r="BI11">
        <v>7</v>
      </c>
      <c r="BJ11">
        <v>100</v>
      </c>
      <c r="BK11">
        <v>100</v>
      </c>
      <c r="BL11">
        <v>100</v>
      </c>
      <c r="BM11">
        <v>20</v>
      </c>
      <c r="BN11">
        <v>20</v>
      </c>
      <c r="BP11">
        <v>100</v>
      </c>
      <c r="BQ11">
        <v>100</v>
      </c>
      <c r="BR11">
        <v>100</v>
      </c>
      <c r="BS11">
        <v>100</v>
      </c>
      <c r="BT11">
        <v>100</v>
      </c>
      <c r="BU11">
        <v>100</v>
      </c>
      <c r="BW11">
        <v>20</v>
      </c>
      <c r="BX11">
        <v>20</v>
      </c>
      <c r="BY11">
        <v>20</v>
      </c>
      <c r="BZ11">
        <v>100</v>
      </c>
      <c r="CA11">
        <v>100</v>
      </c>
      <c r="CB11">
        <v>100</v>
      </c>
      <c r="CD11">
        <v>100</v>
      </c>
      <c r="CE11">
        <v>100</v>
      </c>
      <c r="CF11">
        <v>100</v>
      </c>
      <c r="CG11">
        <v>100</v>
      </c>
      <c r="CH11">
        <v>100</v>
      </c>
      <c r="CI11">
        <v>100</v>
      </c>
      <c r="CK11">
        <v>150</v>
      </c>
      <c r="CL11">
        <v>150</v>
      </c>
      <c r="CM11">
        <v>150</v>
      </c>
      <c r="CN11">
        <v>150</v>
      </c>
      <c r="CO11">
        <v>150</v>
      </c>
      <c r="CP11">
        <v>150</v>
      </c>
      <c r="CQ11">
        <v>150</v>
      </c>
      <c r="CS11">
        <v>150</v>
      </c>
      <c r="CT11">
        <v>150</v>
      </c>
      <c r="CU11">
        <v>150</v>
      </c>
      <c r="CV11">
        <v>150</v>
      </c>
      <c r="CW11">
        <v>150</v>
      </c>
      <c r="CX11">
        <v>150</v>
      </c>
      <c r="CY11">
        <v>150</v>
      </c>
      <c r="DA11">
        <v>100</v>
      </c>
      <c r="DB11">
        <v>100</v>
      </c>
      <c r="DC11">
        <v>100</v>
      </c>
      <c r="DD11">
        <v>100</v>
      </c>
      <c r="DE11">
        <v>100</v>
      </c>
      <c r="DF11">
        <v>100</v>
      </c>
      <c r="DG11">
        <v>100</v>
      </c>
      <c r="DI11">
        <v>100</v>
      </c>
      <c r="DJ11">
        <v>100</v>
      </c>
      <c r="DK11">
        <v>100</v>
      </c>
      <c r="DL11">
        <v>100</v>
      </c>
      <c r="DM11">
        <v>100</v>
      </c>
      <c r="DN11">
        <v>100</v>
      </c>
      <c r="DO11">
        <v>100</v>
      </c>
    </row>
    <row r="12" spans="3:119" x14ac:dyDescent="0.35">
      <c r="D12" s="10">
        <f t="shared" ref="D12:F16" si="4">0.2/(D4*1000)</f>
        <v>2.8571428571428574E-5</v>
      </c>
      <c r="E12" s="10">
        <f t="shared" si="4"/>
        <v>6.6666666666666666E-6</v>
      </c>
      <c r="F12" s="10">
        <f t="shared" si="4"/>
        <v>1.9999999999999999E-6</v>
      </c>
      <c r="G12" s="10">
        <f t="shared" si="2"/>
        <v>1.9999999999999999E-6</v>
      </c>
      <c r="H12" s="10">
        <f t="shared" si="2"/>
        <v>1.9999999999999999E-6</v>
      </c>
      <c r="I12" s="10">
        <f t="shared" si="2"/>
        <v>1.9999999999999999E-6</v>
      </c>
      <c r="J12" s="10">
        <f t="shared" si="2"/>
        <v>1.9999999999999999E-6</v>
      </c>
      <c r="K12" s="10">
        <f t="shared" si="3"/>
        <v>4.5238095238095245E-5</v>
      </c>
      <c r="L12"/>
      <c r="N12"/>
      <c r="O12"/>
      <c r="P12"/>
      <c r="Q12"/>
      <c r="R12"/>
      <c r="S12"/>
      <c r="T12"/>
      <c r="U12"/>
      <c r="V12"/>
      <c r="W12"/>
      <c r="X12"/>
      <c r="Y12"/>
      <c r="AT12">
        <v>20</v>
      </c>
      <c r="AU12">
        <v>100</v>
      </c>
      <c r="AV12">
        <v>100</v>
      </c>
      <c r="AW12">
        <v>100</v>
      </c>
      <c r="AX12">
        <v>100</v>
      </c>
      <c r="AY12">
        <v>100</v>
      </c>
      <c r="BB12">
        <v>7</v>
      </c>
      <c r="BC12">
        <v>100</v>
      </c>
      <c r="BD12">
        <v>20</v>
      </c>
      <c r="BE12">
        <v>20</v>
      </c>
      <c r="BF12">
        <v>20</v>
      </c>
      <c r="BG12">
        <v>20</v>
      </c>
      <c r="BI12">
        <v>100</v>
      </c>
      <c r="BJ12">
        <v>100</v>
      </c>
      <c r="BK12">
        <v>100</v>
      </c>
      <c r="BL12">
        <v>20</v>
      </c>
      <c r="BM12">
        <v>20</v>
      </c>
      <c r="BN12">
        <v>20</v>
      </c>
      <c r="BP12">
        <v>100</v>
      </c>
      <c r="BQ12">
        <v>100</v>
      </c>
      <c r="BR12">
        <v>100</v>
      </c>
      <c r="BS12">
        <v>20</v>
      </c>
      <c r="BT12">
        <v>20</v>
      </c>
      <c r="BU12">
        <v>20</v>
      </c>
      <c r="BW12">
        <v>20</v>
      </c>
      <c r="BX12">
        <v>20</v>
      </c>
      <c r="BY12">
        <v>100</v>
      </c>
      <c r="BZ12">
        <v>100</v>
      </c>
      <c r="CA12">
        <v>100</v>
      </c>
      <c r="CB12">
        <v>100</v>
      </c>
      <c r="CD12">
        <v>20</v>
      </c>
      <c r="CE12">
        <v>100</v>
      </c>
      <c r="CF12">
        <v>100</v>
      </c>
      <c r="CG12">
        <v>100</v>
      </c>
      <c r="CH12">
        <v>100</v>
      </c>
      <c r="CI12">
        <v>100</v>
      </c>
      <c r="CK12">
        <v>20</v>
      </c>
      <c r="CL12">
        <v>150</v>
      </c>
      <c r="CM12">
        <v>150</v>
      </c>
      <c r="CN12">
        <v>150</v>
      </c>
      <c r="CO12">
        <v>150</v>
      </c>
      <c r="CP12">
        <v>150</v>
      </c>
      <c r="CQ12">
        <v>150</v>
      </c>
      <c r="CS12">
        <v>20</v>
      </c>
      <c r="CT12">
        <v>150</v>
      </c>
      <c r="CU12">
        <v>150</v>
      </c>
      <c r="CV12">
        <v>150</v>
      </c>
      <c r="CW12">
        <v>150</v>
      </c>
      <c r="CX12">
        <v>150</v>
      </c>
      <c r="CY12">
        <v>150</v>
      </c>
      <c r="DA12">
        <v>30</v>
      </c>
      <c r="DB12">
        <v>30</v>
      </c>
      <c r="DC12">
        <v>100</v>
      </c>
      <c r="DD12">
        <v>100</v>
      </c>
      <c r="DE12">
        <v>100</v>
      </c>
      <c r="DF12">
        <v>100</v>
      </c>
      <c r="DG12">
        <v>100</v>
      </c>
      <c r="DI12">
        <v>15</v>
      </c>
      <c r="DJ12">
        <v>30</v>
      </c>
      <c r="DK12">
        <v>100</v>
      </c>
      <c r="DL12">
        <v>100</v>
      </c>
      <c r="DM12">
        <v>100</v>
      </c>
      <c r="DN12">
        <v>100</v>
      </c>
      <c r="DO12">
        <v>100</v>
      </c>
    </row>
    <row r="13" spans="3:119" x14ac:dyDescent="0.35">
      <c r="C13" s="2">
        <v>0</v>
      </c>
      <c r="D13" s="10">
        <f t="shared" si="4"/>
        <v>6.6666666666666666E-6</v>
      </c>
      <c r="E13" s="10">
        <f t="shared" si="4"/>
        <v>1.9999999999999999E-6</v>
      </c>
      <c r="F13" s="10">
        <f t="shared" si="4"/>
        <v>1.9999999999999999E-6</v>
      </c>
      <c r="G13" s="10">
        <f t="shared" si="2"/>
        <v>1.9999999999999999E-6</v>
      </c>
      <c r="H13" s="10">
        <f t="shared" si="2"/>
        <v>1.9999999999999999E-6</v>
      </c>
      <c r="I13" s="10">
        <f t="shared" si="2"/>
        <v>1.9999999999999999E-6</v>
      </c>
      <c r="J13" s="10">
        <f t="shared" si="2"/>
        <v>1.9999999999999999E-6</v>
      </c>
      <c r="K13" s="10">
        <f t="shared" si="3"/>
        <v>1.8666666666666665E-5</v>
      </c>
      <c r="AT13">
        <v>7</v>
      </c>
      <c r="AU13">
        <v>20</v>
      </c>
      <c r="AV13">
        <v>100</v>
      </c>
      <c r="AW13">
        <v>100</v>
      </c>
      <c r="AX13">
        <v>100</v>
      </c>
      <c r="AY13">
        <v>100</v>
      </c>
      <c r="BB13">
        <v>100</v>
      </c>
      <c r="BC13">
        <v>20</v>
      </c>
      <c r="BD13">
        <v>20</v>
      </c>
      <c r="BE13">
        <v>20</v>
      </c>
      <c r="BF13">
        <v>20</v>
      </c>
      <c r="BG13">
        <v>20</v>
      </c>
      <c r="BI13">
        <v>100</v>
      </c>
      <c r="BJ13">
        <v>100</v>
      </c>
      <c r="BK13">
        <v>20</v>
      </c>
      <c r="BL13">
        <v>20</v>
      </c>
      <c r="BM13">
        <v>20</v>
      </c>
      <c r="BN13">
        <v>20</v>
      </c>
      <c r="BP13">
        <v>100</v>
      </c>
      <c r="BQ13">
        <v>100</v>
      </c>
      <c r="BR13">
        <v>20</v>
      </c>
      <c r="BS13">
        <v>20</v>
      </c>
      <c r="BT13">
        <v>20</v>
      </c>
      <c r="BU13">
        <v>20</v>
      </c>
      <c r="BW13">
        <v>20</v>
      </c>
      <c r="BX13">
        <v>100</v>
      </c>
      <c r="BY13">
        <v>100</v>
      </c>
      <c r="BZ13">
        <v>100</v>
      </c>
      <c r="CA13">
        <v>100</v>
      </c>
      <c r="CB13">
        <v>100</v>
      </c>
      <c r="CD13">
        <v>20</v>
      </c>
      <c r="CE13">
        <v>20</v>
      </c>
      <c r="CF13">
        <v>100</v>
      </c>
      <c r="CG13">
        <v>100</v>
      </c>
      <c r="CH13">
        <v>100</v>
      </c>
      <c r="CI13">
        <v>100</v>
      </c>
      <c r="CK13">
        <v>7</v>
      </c>
      <c r="CL13">
        <v>100</v>
      </c>
      <c r="CM13">
        <v>150</v>
      </c>
      <c r="CN13">
        <v>150</v>
      </c>
      <c r="CO13">
        <v>150</v>
      </c>
      <c r="CP13">
        <v>150</v>
      </c>
      <c r="CQ13">
        <v>150</v>
      </c>
      <c r="CS13">
        <v>7</v>
      </c>
      <c r="CT13">
        <v>100</v>
      </c>
      <c r="CU13">
        <v>150</v>
      </c>
      <c r="CV13">
        <v>150</v>
      </c>
      <c r="CW13">
        <v>150</v>
      </c>
      <c r="CX13">
        <v>150</v>
      </c>
      <c r="CY13">
        <v>150</v>
      </c>
      <c r="DA13">
        <v>7</v>
      </c>
      <c r="DB13">
        <v>30</v>
      </c>
      <c r="DC13">
        <v>30</v>
      </c>
      <c r="DD13">
        <v>30</v>
      </c>
      <c r="DE13">
        <v>100</v>
      </c>
      <c r="DF13">
        <v>100</v>
      </c>
      <c r="DG13">
        <v>100</v>
      </c>
      <c r="DI13">
        <v>7</v>
      </c>
      <c r="DJ13">
        <v>15</v>
      </c>
      <c r="DK13">
        <v>30</v>
      </c>
      <c r="DL13">
        <v>100</v>
      </c>
      <c r="DM13">
        <v>100</v>
      </c>
      <c r="DN13">
        <v>100</v>
      </c>
      <c r="DO13">
        <v>100</v>
      </c>
    </row>
    <row r="14" spans="3:119" x14ac:dyDescent="0.35">
      <c r="C14" s="2">
        <v>1</v>
      </c>
      <c r="D14" s="10">
        <f t="shared" si="4"/>
        <v>1.9999999999999999E-6</v>
      </c>
      <c r="E14" s="10">
        <f t="shared" si="4"/>
        <v>1.9999999999999999E-6</v>
      </c>
      <c r="F14" s="10">
        <f t="shared" si="4"/>
        <v>1.9999999999999999E-6</v>
      </c>
      <c r="G14" s="10">
        <f t="shared" si="2"/>
        <v>1.9999999999999999E-6</v>
      </c>
      <c r="H14" s="10">
        <f t="shared" si="2"/>
        <v>1.9999999999999999E-6</v>
      </c>
      <c r="I14" s="10">
        <f t="shared" si="2"/>
        <v>1.9999999999999999E-6</v>
      </c>
      <c r="J14" s="10">
        <f t="shared" si="2"/>
        <v>1.9999999999999999E-6</v>
      </c>
      <c r="K14" s="10">
        <f t="shared" si="3"/>
        <v>1.3999999999999998E-5</v>
      </c>
    </row>
    <row r="15" spans="3:119" x14ac:dyDescent="0.35">
      <c r="C15" s="2">
        <v>1</v>
      </c>
      <c r="D15" s="10">
        <f t="shared" si="4"/>
        <v>1.3333333333333333E-5</v>
      </c>
      <c r="E15" s="10">
        <f t="shared" si="4"/>
        <v>6.6666666666666666E-6</v>
      </c>
      <c r="F15" s="10">
        <f t="shared" si="4"/>
        <v>1.9999999999999999E-6</v>
      </c>
      <c r="G15" s="10">
        <f t="shared" si="2"/>
        <v>1.9999999999999999E-6</v>
      </c>
      <c r="H15" s="10">
        <f t="shared" si="2"/>
        <v>1.9999999999999999E-6</v>
      </c>
      <c r="I15" s="10">
        <f t="shared" si="2"/>
        <v>1.9999999999999999E-6</v>
      </c>
      <c r="J15" s="10">
        <f t="shared" si="2"/>
        <v>1.9999999999999999E-6</v>
      </c>
      <c r="K15" s="10">
        <f t="shared" si="3"/>
        <v>3.0000000000000004E-5</v>
      </c>
    </row>
    <row r="16" spans="3:119" x14ac:dyDescent="0.35">
      <c r="C16" s="2">
        <v>0</v>
      </c>
      <c r="D16" s="10">
        <f t="shared" si="4"/>
        <v>2.8571428571428574E-5</v>
      </c>
      <c r="E16" s="10">
        <f t="shared" si="4"/>
        <v>1.3333333333333333E-5</v>
      </c>
      <c r="F16" s="10">
        <f t="shared" si="4"/>
        <v>6.6666666666666666E-6</v>
      </c>
      <c r="G16" s="10">
        <f t="shared" si="2"/>
        <v>1.9999999999999999E-6</v>
      </c>
      <c r="H16" s="10">
        <f t="shared" si="2"/>
        <v>1.9999999999999999E-6</v>
      </c>
      <c r="I16" s="10">
        <f t="shared" si="2"/>
        <v>1.9999999999999999E-6</v>
      </c>
      <c r="J16" s="10">
        <f t="shared" si="2"/>
        <v>1.9999999999999999E-6</v>
      </c>
      <c r="K16" s="10">
        <f t="shared" si="3"/>
        <v>5.6571428571428581E-5</v>
      </c>
    </row>
    <row r="17" spans="2:81" x14ac:dyDescent="0.35">
      <c r="J17" s="10"/>
      <c r="K17" s="10">
        <f>SUM(K12:K16)</f>
        <v>1.644761904761905E-4</v>
      </c>
      <c r="L17" s="10">
        <f>K15-K16</f>
        <v>-2.6571428571428576E-5</v>
      </c>
    </row>
    <row r="19" spans="2:81" s="2" customFormat="1" x14ac:dyDescent="0.35">
      <c r="B19" s="3" t="s">
        <v>6</v>
      </c>
      <c r="C19" s="4" t="s">
        <v>23</v>
      </c>
      <c r="D19" s="3" t="s">
        <v>5</v>
      </c>
      <c r="E19" s="3" t="s">
        <v>0</v>
      </c>
      <c r="F19" s="3" t="s">
        <v>1</v>
      </c>
      <c r="G19" s="3" t="s">
        <v>2</v>
      </c>
      <c r="H19" s="8" t="s">
        <v>7</v>
      </c>
      <c r="I19" s="8" t="s">
        <v>8</v>
      </c>
      <c r="J19" s="8" t="s">
        <v>12</v>
      </c>
      <c r="K19" s="8" t="s">
        <v>26</v>
      </c>
      <c r="L19" s="8" t="s">
        <v>29</v>
      </c>
      <c r="M19" s="8" t="s">
        <v>30</v>
      </c>
      <c r="N19" s="8" t="s">
        <v>35</v>
      </c>
      <c r="O19" s="12" t="s">
        <v>37</v>
      </c>
      <c r="P19" s="12" t="s">
        <v>54</v>
      </c>
      <c r="Q19" s="3" t="s">
        <v>51</v>
      </c>
      <c r="R19" s="3" t="s">
        <v>3</v>
      </c>
      <c r="S19" s="3" t="s">
        <v>4</v>
      </c>
      <c r="T19" s="8" t="s">
        <v>43</v>
      </c>
      <c r="U19" s="8" t="s">
        <v>44</v>
      </c>
      <c r="V19" s="8" t="s">
        <v>45</v>
      </c>
      <c r="W19" s="8" t="s">
        <v>46</v>
      </c>
      <c r="X19" s="8" t="s">
        <v>47</v>
      </c>
      <c r="Y19" s="8" t="s">
        <v>48</v>
      </c>
      <c r="Z19" s="8" t="s">
        <v>49</v>
      </c>
      <c r="AA19" s="12" t="s">
        <v>50</v>
      </c>
      <c r="AB19" s="8" t="s">
        <v>36</v>
      </c>
      <c r="AC19" s="12" t="s">
        <v>14</v>
      </c>
      <c r="AD19" s="14" t="s">
        <v>15</v>
      </c>
      <c r="AE19" s="2" t="s">
        <v>39</v>
      </c>
      <c r="AF19" s="8" t="s">
        <v>40</v>
      </c>
      <c r="AG19" s="8" t="s">
        <v>41</v>
      </c>
      <c r="AH19" s="8" t="s">
        <v>33</v>
      </c>
      <c r="AI19" s="8" t="s">
        <v>42</v>
      </c>
      <c r="AJ19" s="8" t="s">
        <v>52</v>
      </c>
      <c r="AK19" s="8" t="s">
        <v>24</v>
      </c>
      <c r="AL19" s="8" t="s">
        <v>53</v>
      </c>
    </row>
    <row r="20" spans="2:81" x14ac:dyDescent="0.35">
      <c r="B20" s="6">
        <v>0</v>
      </c>
      <c r="C20" s="2" t="s">
        <v>16</v>
      </c>
      <c r="D20" s="6" t="str">
        <f t="shared" ref="D20:D83" si="5">LEFT(RIGHT(DEC2BIN($B20,3),3),1)</f>
        <v>0</v>
      </c>
      <c r="E20" s="6" t="str">
        <f t="shared" ref="E20:E83" si="6">LEFT(RIGHT(DEC2BIN($B20,3),2),1)</f>
        <v>0</v>
      </c>
      <c r="F20" s="6" t="str">
        <f t="shared" ref="F20:F83" si="7">LEFT(RIGHT(DEC2BIN($B20,3),1),1)</f>
        <v>0</v>
      </c>
      <c r="G20" s="6"/>
      <c r="H20" s="10">
        <f t="shared" ref="H20:H83" si="8">(($D20*$D$11)+($E20*$D$12)+($F20*$D$13))</f>
        <v>0</v>
      </c>
      <c r="I20" s="10">
        <f t="shared" ref="I20:I83" si="9">(($D20*$E$11)+($E20*$E$12)+($F20*$E$13))</f>
        <v>0</v>
      </c>
      <c r="J20" s="10">
        <f t="shared" ref="J20:J83" si="10">(($D20*$F$11)+($E20*$F$12)+($F20*$F$13))</f>
        <v>0</v>
      </c>
      <c r="K20" s="10">
        <f t="shared" ref="K20:K83" si="11">(($D20*$G$11)+($E20*$G$12)+($F20*$G$13))</f>
        <v>0</v>
      </c>
      <c r="L20" s="10">
        <f t="shared" ref="L20:L83" si="12">(($D20*$H$11)+($E20*$H$12)+($F20*$H$13))</f>
        <v>0</v>
      </c>
      <c r="M20" s="10">
        <f t="shared" ref="M20:M83" si="13">(($D20*$I$11)+($E20*$I$12)+($F20*$I$13))</f>
        <v>0</v>
      </c>
      <c r="N20" s="10">
        <f t="shared" ref="N20:N83" si="14">(($D20*$J$11)+($E20*$J$12)+($F20*$J$13))</f>
        <v>0</v>
      </c>
      <c r="O20" s="11">
        <f>ROUND(( SUM(Table323158[[#This Row],[I1]:[I7]]))*1000000, 0)</f>
        <v>0</v>
      </c>
      <c r="P20" s="26" t="s">
        <v>21</v>
      </c>
      <c r="Q20" s="6" t="str">
        <f t="shared" ref="Q20:Q51" si="15">LEFT(RIGHT(DEC2BIN($B20,3),3),1)</f>
        <v>0</v>
      </c>
      <c r="R20" s="6" t="str">
        <f t="shared" ref="R20:R51" si="16">LEFT(RIGHT(DEC2BIN($B20,3),2),1)</f>
        <v>0</v>
      </c>
      <c r="S20" s="6" t="str">
        <f t="shared" ref="S20:S51" si="17">LEFT(RIGHT(DEC2BIN($B20,3),1),1)</f>
        <v>0</v>
      </c>
      <c r="T20" s="10">
        <f t="shared" ref="T20:T51" si="18">(($Q20*$D$14)+($R20*$D$15)+($S20*$D$16))</f>
        <v>0</v>
      </c>
      <c r="U20" s="10">
        <f t="shared" ref="U20:U51" si="19">(($Q20*$E$14)+($R20*$E$15)+($S20*$E$16))</f>
        <v>0</v>
      </c>
      <c r="V20" s="10">
        <f t="shared" ref="V20:V51" si="20">(($Q20*$F$14)+($R20*$F$15)+($S20*$F$16))</f>
        <v>0</v>
      </c>
      <c r="W20" s="10">
        <f t="shared" ref="W20:W51" si="21">(($Q20*$G$14)+($R20*$G$15)+($S20*$G$16))</f>
        <v>0</v>
      </c>
      <c r="X20" s="10">
        <f t="shared" ref="X20:X51" si="22">(($Q20*$H$14)+($R20*$H$15)+($S20*$H$16))</f>
        <v>0</v>
      </c>
      <c r="Y20" s="10">
        <f t="shared" ref="Y20:Y51" si="23">(($Q20*$I$14)+($R20*$I$15)+($S20*$I$16))</f>
        <v>0</v>
      </c>
      <c r="Z20" s="10">
        <f t="shared" ref="Z20:Z51" si="24">(($Q20*$J$14)+($R20*$J$15)+($S20*$J$16))</f>
        <v>0</v>
      </c>
      <c r="AA20" s="11">
        <f>ROUND((SUM(Table323158[[#This Row],[II1]:[II7]]))*1000000, 0)</f>
        <v>0</v>
      </c>
      <c r="AB20" s="18" t="s">
        <v>16</v>
      </c>
      <c r="AC20" s="11" t="e" cm="1" vm="1">
        <f t="array" aca="1" ref="AC20" ca="1" xml:space="preserve"> _xlfn.UNIQUE(AA20:AA83)</f>
        <v>#VALUE!</v>
      </c>
      <c r="AD20" s="13">
        <f t="shared" ref="AD20:AD41" ca="1" si="25">IF(ISBLANK(AC20), "", COUNTIF($AA$20:$AA$83,AC20))</f>
        <v>0</v>
      </c>
      <c r="AE20"/>
      <c r="AF20" s="11" t="e" cm="1" vm="2">
        <f t="array" aca="1" ref="AF20" ca="1">_xlfn._xlws.SORT(Table323158[Occurance])</f>
        <v>#VALUE!</v>
      </c>
      <c r="AG20" s="11"/>
      <c r="AH20" s="6">
        <v>0</v>
      </c>
      <c r="AI20" s="11" t="str">
        <f t="shared" ref="AI20:AI51" si="26">IF(ISBLANK(AF21),"",AF21-AF20)</f>
        <v/>
      </c>
      <c r="AK20" s="11" t="str" cm="1">
        <f t="array" ref="AK20">_xlfn.UNIQUE(AI20:AI83)</f>
        <v/>
      </c>
      <c r="AL20" s="13" t="str">
        <f t="shared" ref="AL20:AL51" si="27">IF(OR(ISBLANK(AK20), AK20 = ""),"",COUNTIF($AI$20:$AI$83,AK20))</f>
        <v/>
      </c>
      <c r="BX20" s="15" t="s">
        <v>10</v>
      </c>
      <c r="BY20" s="5" t="s">
        <v>11</v>
      </c>
      <c r="BZ20" s="5" t="s">
        <v>13</v>
      </c>
      <c r="CA20" s="5" t="s">
        <v>25</v>
      </c>
      <c r="CB20" s="5" t="s">
        <v>27</v>
      </c>
      <c r="CC20" s="5" t="s">
        <v>28</v>
      </c>
    </row>
    <row r="21" spans="2:81" x14ac:dyDescent="0.35">
      <c r="B21" s="6">
        <v>1</v>
      </c>
      <c r="C21" s="2" t="s">
        <v>16</v>
      </c>
      <c r="D21" s="6" t="str">
        <f t="shared" si="5"/>
        <v>0</v>
      </c>
      <c r="E21" s="6" t="str">
        <f t="shared" si="6"/>
        <v>0</v>
      </c>
      <c r="F21" s="6" t="str">
        <f t="shared" si="7"/>
        <v>1</v>
      </c>
      <c r="G21" s="6"/>
      <c r="H21" s="10">
        <f t="shared" si="8"/>
        <v>6.6666666666666666E-6</v>
      </c>
      <c r="I21" s="10">
        <f t="shared" si="9"/>
        <v>1.9999999999999999E-6</v>
      </c>
      <c r="J21" s="10">
        <f t="shared" si="10"/>
        <v>1.9999999999999999E-6</v>
      </c>
      <c r="K21" s="10">
        <f t="shared" si="11"/>
        <v>1.9999999999999999E-6</v>
      </c>
      <c r="L21" s="10">
        <f t="shared" si="12"/>
        <v>1.9999999999999999E-6</v>
      </c>
      <c r="M21" s="10">
        <f t="shared" si="13"/>
        <v>1.9999999999999999E-6</v>
      </c>
      <c r="N21" s="10">
        <f t="shared" si="14"/>
        <v>1.9999999999999999E-6</v>
      </c>
      <c r="O21" s="11">
        <f>ROUND(( SUM(Table323158[[#This Row],[I1]:[I7]]))*1000000, 0)</f>
        <v>19</v>
      </c>
      <c r="P21" s="2" t="s">
        <v>19</v>
      </c>
      <c r="Q21" s="6" t="str">
        <f t="shared" si="15"/>
        <v>0</v>
      </c>
      <c r="R21" s="6" t="str">
        <f t="shared" si="16"/>
        <v>0</v>
      </c>
      <c r="S21" s="6" t="str">
        <f t="shared" si="17"/>
        <v>1</v>
      </c>
      <c r="T21" s="10">
        <f t="shared" si="18"/>
        <v>2.8571428571428574E-5</v>
      </c>
      <c r="U21" s="10">
        <f t="shared" si="19"/>
        <v>1.3333333333333333E-5</v>
      </c>
      <c r="V21" s="10">
        <f t="shared" si="20"/>
        <v>6.6666666666666666E-6</v>
      </c>
      <c r="W21" s="10">
        <f t="shared" si="21"/>
        <v>1.9999999999999999E-6</v>
      </c>
      <c r="X21" s="10">
        <f t="shared" si="22"/>
        <v>1.9999999999999999E-6</v>
      </c>
      <c r="Y21" s="10">
        <f t="shared" si="23"/>
        <v>1.9999999999999999E-6</v>
      </c>
      <c r="Z21" s="10">
        <f t="shared" si="24"/>
        <v>1.9999999999999999E-6</v>
      </c>
      <c r="AA21" s="11">
        <f>ROUND((SUM(Table323158[[#This Row],[II1]:[II7]]))*1000000, 0)</f>
        <v>57</v>
      </c>
      <c r="AB21" s="18" t="s">
        <v>16</v>
      </c>
      <c r="AC21" s="11"/>
      <c r="AD21" s="13" t="str">
        <f t="shared" si="25"/>
        <v/>
      </c>
      <c r="AE21"/>
      <c r="AG21" s="11"/>
      <c r="AH21" s="6">
        <v>1</v>
      </c>
      <c r="AI21" s="11" t="str">
        <f t="shared" si="26"/>
        <v/>
      </c>
      <c r="AL21" s="13" t="str">
        <f t="shared" si="27"/>
        <v/>
      </c>
      <c r="BX21">
        <v>7</v>
      </c>
      <c r="BY21">
        <v>7</v>
      </c>
      <c r="BZ21">
        <v>7</v>
      </c>
      <c r="CA21">
        <v>7</v>
      </c>
      <c r="CB21">
        <v>7</v>
      </c>
      <c r="CC21">
        <v>7</v>
      </c>
    </row>
    <row r="22" spans="2:81" x14ac:dyDescent="0.35">
      <c r="B22" s="6">
        <v>2</v>
      </c>
      <c r="C22" s="2" t="s">
        <v>17</v>
      </c>
      <c r="D22" s="6" t="str">
        <f t="shared" si="5"/>
        <v>0</v>
      </c>
      <c r="E22" s="6" t="str">
        <f t="shared" si="6"/>
        <v>1</v>
      </c>
      <c r="F22" s="6" t="str">
        <f t="shared" si="7"/>
        <v>0</v>
      </c>
      <c r="G22" s="6"/>
      <c r="H22" s="10">
        <f t="shared" si="8"/>
        <v>2.8571428571428574E-5</v>
      </c>
      <c r="I22" s="10">
        <f t="shared" si="9"/>
        <v>6.6666666666666666E-6</v>
      </c>
      <c r="J22" s="10">
        <f t="shared" si="10"/>
        <v>1.9999999999999999E-6</v>
      </c>
      <c r="K22" s="10">
        <f t="shared" si="11"/>
        <v>1.9999999999999999E-6</v>
      </c>
      <c r="L22" s="10">
        <f t="shared" si="12"/>
        <v>1.9999999999999999E-6</v>
      </c>
      <c r="M22" s="10">
        <f t="shared" si="13"/>
        <v>1.9999999999999999E-6</v>
      </c>
      <c r="N22" s="10">
        <f t="shared" si="14"/>
        <v>1.9999999999999999E-6</v>
      </c>
      <c r="O22" s="11">
        <f>ROUND(( SUM(Table323158[[#This Row],[I1]:[I7]]))*1000000, 0)</f>
        <v>45</v>
      </c>
      <c r="P22" s="26" t="s">
        <v>21</v>
      </c>
      <c r="Q22" s="6" t="str">
        <f t="shared" si="15"/>
        <v>0</v>
      </c>
      <c r="R22" s="6" t="str">
        <f t="shared" si="16"/>
        <v>1</v>
      </c>
      <c r="S22" s="6" t="str">
        <f t="shared" si="17"/>
        <v>0</v>
      </c>
      <c r="T22" s="10">
        <f t="shared" si="18"/>
        <v>1.3333333333333333E-5</v>
      </c>
      <c r="U22" s="10">
        <f t="shared" si="19"/>
        <v>6.6666666666666666E-6</v>
      </c>
      <c r="V22" s="10">
        <f t="shared" si="20"/>
        <v>1.9999999999999999E-6</v>
      </c>
      <c r="W22" s="10">
        <f t="shared" si="21"/>
        <v>1.9999999999999999E-6</v>
      </c>
      <c r="X22" s="10">
        <f t="shared" si="22"/>
        <v>1.9999999999999999E-6</v>
      </c>
      <c r="Y22" s="10">
        <f t="shared" si="23"/>
        <v>1.9999999999999999E-6</v>
      </c>
      <c r="Z22" s="10">
        <f t="shared" si="24"/>
        <v>1.9999999999999999E-6</v>
      </c>
      <c r="AA22" s="11">
        <f>ROUND((SUM(Table323158[[#This Row],[II1]:[II7]]))*1000000, 0)</f>
        <v>30</v>
      </c>
      <c r="AB22" s="18" t="s">
        <v>17</v>
      </c>
      <c r="AC22" s="11"/>
      <c r="AD22" s="13" t="str">
        <f t="shared" si="25"/>
        <v/>
      </c>
      <c r="AE22"/>
      <c r="AG22" s="11"/>
      <c r="AH22" s="6">
        <v>2</v>
      </c>
      <c r="AI22" s="11" t="str">
        <f t="shared" si="26"/>
        <v/>
      </c>
      <c r="AL22" s="13" t="str">
        <f t="shared" si="27"/>
        <v/>
      </c>
      <c r="BX22">
        <v>7</v>
      </c>
      <c r="BY22">
        <v>7</v>
      </c>
      <c r="BZ22">
        <v>7</v>
      </c>
      <c r="CA22">
        <v>150</v>
      </c>
      <c r="CB22">
        <v>150</v>
      </c>
      <c r="CC22">
        <v>150</v>
      </c>
    </row>
    <row r="23" spans="2:81" x14ac:dyDescent="0.35">
      <c r="B23" s="6">
        <v>3</v>
      </c>
      <c r="C23" s="2" t="s">
        <v>16</v>
      </c>
      <c r="D23" s="6" t="str">
        <f t="shared" si="5"/>
        <v>0</v>
      </c>
      <c r="E23" s="6" t="str">
        <f t="shared" si="6"/>
        <v>1</v>
      </c>
      <c r="F23" s="6" t="str">
        <f t="shared" si="7"/>
        <v>1</v>
      </c>
      <c r="G23" s="6"/>
      <c r="H23" s="10">
        <f t="shared" si="8"/>
        <v>3.5238095238095239E-5</v>
      </c>
      <c r="I23" s="10">
        <f t="shared" si="9"/>
        <v>8.6666666666666661E-6</v>
      </c>
      <c r="J23" s="10">
        <f t="shared" si="10"/>
        <v>3.9999999999999998E-6</v>
      </c>
      <c r="K23" s="10">
        <f t="shared" si="11"/>
        <v>3.9999999999999998E-6</v>
      </c>
      <c r="L23" s="10">
        <f t="shared" si="12"/>
        <v>3.9999999999999998E-6</v>
      </c>
      <c r="M23" s="10">
        <f t="shared" si="13"/>
        <v>3.9999999999999998E-6</v>
      </c>
      <c r="N23" s="10">
        <f t="shared" si="14"/>
        <v>3.9999999999999998E-6</v>
      </c>
      <c r="O23" s="11">
        <f>ROUND(( SUM(Table323158[[#This Row],[I1]:[I7]]))*1000000, 0)</f>
        <v>64</v>
      </c>
      <c r="P23" s="26" t="s">
        <v>21</v>
      </c>
      <c r="Q23" s="6" t="str">
        <f t="shared" si="15"/>
        <v>0</v>
      </c>
      <c r="R23" s="6" t="str">
        <f t="shared" si="16"/>
        <v>1</v>
      </c>
      <c r="S23" s="6" t="str">
        <f t="shared" si="17"/>
        <v>1</v>
      </c>
      <c r="T23" s="10">
        <f t="shared" si="18"/>
        <v>4.1904761904761908E-5</v>
      </c>
      <c r="U23" s="10">
        <f t="shared" si="19"/>
        <v>1.9999999999999998E-5</v>
      </c>
      <c r="V23" s="10">
        <f t="shared" si="20"/>
        <v>8.6666666666666661E-6</v>
      </c>
      <c r="W23" s="10">
        <f t="shared" si="21"/>
        <v>3.9999999999999998E-6</v>
      </c>
      <c r="X23" s="10">
        <f t="shared" si="22"/>
        <v>3.9999999999999998E-6</v>
      </c>
      <c r="Y23" s="10">
        <f t="shared" si="23"/>
        <v>3.9999999999999998E-6</v>
      </c>
      <c r="Z23" s="10">
        <f t="shared" si="24"/>
        <v>3.9999999999999998E-6</v>
      </c>
      <c r="AA23" s="11">
        <f>ROUND((SUM(Table323158[[#This Row],[II1]:[II7]]))*1000000, 0)</f>
        <v>87</v>
      </c>
      <c r="AB23" s="18" t="s">
        <v>16</v>
      </c>
      <c r="AC23" s="11"/>
      <c r="AD23" s="13" t="str">
        <f t="shared" si="25"/>
        <v/>
      </c>
      <c r="AE23"/>
      <c r="AG23" s="11"/>
      <c r="AH23" s="6">
        <v>3</v>
      </c>
      <c r="AI23" s="11" t="str">
        <f t="shared" si="26"/>
        <v/>
      </c>
      <c r="AL23" s="13" t="str">
        <f t="shared" si="27"/>
        <v/>
      </c>
      <c r="BX23">
        <v>7</v>
      </c>
      <c r="BY23">
        <v>7</v>
      </c>
      <c r="BZ23">
        <v>20</v>
      </c>
      <c r="CA23">
        <v>150</v>
      </c>
      <c r="CB23">
        <v>150</v>
      </c>
      <c r="CC23">
        <v>150</v>
      </c>
    </row>
    <row r="24" spans="2:81" x14ac:dyDescent="0.35">
      <c r="B24" s="6">
        <v>4</v>
      </c>
      <c r="C24" s="2" t="s">
        <v>18</v>
      </c>
      <c r="D24" s="6" t="str">
        <f t="shared" si="5"/>
        <v>1</v>
      </c>
      <c r="E24" s="6" t="str">
        <f t="shared" si="6"/>
        <v>0</v>
      </c>
      <c r="F24" s="6" t="str">
        <f t="shared" si="7"/>
        <v>0</v>
      </c>
      <c r="G24" s="6"/>
      <c r="H24" s="10">
        <f t="shared" si="8"/>
        <v>2.8571428571428574E-5</v>
      </c>
      <c r="I24" s="10">
        <f t="shared" si="9"/>
        <v>2.8571428571428574E-5</v>
      </c>
      <c r="J24" s="10">
        <f t="shared" si="10"/>
        <v>2.8571428571428574E-5</v>
      </c>
      <c r="K24" s="10">
        <f t="shared" si="11"/>
        <v>1.9999999999999999E-6</v>
      </c>
      <c r="L24" s="10">
        <f t="shared" si="12"/>
        <v>1.9999999999999999E-6</v>
      </c>
      <c r="M24" s="10">
        <f t="shared" si="13"/>
        <v>1.9999999999999999E-6</v>
      </c>
      <c r="N24" s="10">
        <f t="shared" si="14"/>
        <v>1.9999999999999999E-6</v>
      </c>
      <c r="O24" s="11">
        <f>ROUND(( SUM(Table323158[[#This Row],[I1]:[I7]]))*1000000, 0)</f>
        <v>94</v>
      </c>
      <c r="P24" s="2" t="s">
        <v>22</v>
      </c>
      <c r="Q24" s="6" t="str">
        <f t="shared" si="15"/>
        <v>1</v>
      </c>
      <c r="R24" s="6" t="str">
        <f t="shared" si="16"/>
        <v>0</v>
      </c>
      <c r="S24" s="6" t="str">
        <f t="shared" si="17"/>
        <v>0</v>
      </c>
      <c r="T24" s="10">
        <f t="shared" si="18"/>
        <v>1.9999999999999999E-6</v>
      </c>
      <c r="U24" s="10">
        <f t="shared" si="19"/>
        <v>1.9999999999999999E-6</v>
      </c>
      <c r="V24" s="10">
        <f t="shared" si="20"/>
        <v>1.9999999999999999E-6</v>
      </c>
      <c r="W24" s="10">
        <f t="shared" si="21"/>
        <v>1.9999999999999999E-6</v>
      </c>
      <c r="X24" s="10">
        <f t="shared" si="22"/>
        <v>1.9999999999999999E-6</v>
      </c>
      <c r="Y24" s="10">
        <f t="shared" si="23"/>
        <v>1.9999999999999999E-6</v>
      </c>
      <c r="Z24" s="10">
        <f t="shared" si="24"/>
        <v>1.9999999999999999E-6</v>
      </c>
      <c r="AA24" s="11">
        <f>ROUND((SUM(Table323158[[#This Row],[II1]:[II7]]))*1000000, 0)</f>
        <v>14</v>
      </c>
      <c r="AB24" s="18" t="s">
        <v>18</v>
      </c>
      <c r="AC24" s="11"/>
      <c r="AD24" s="13" t="str">
        <f t="shared" si="25"/>
        <v/>
      </c>
      <c r="AE24"/>
      <c r="AG24" s="11"/>
      <c r="AH24" s="6">
        <v>4</v>
      </c>
      <c r="AI24" s="11" t="str">
        <f t="shared" si="26"/>
        <v/>
      </c>
      <c r="AL24" s="13" t="str">
        <f t="shared" si="27"/>
        <v/>
      </c>
      <c r="BX24">
        <v>7</v>
      </c>
      <c r="BY24">
        <v>20</v>
      </c>
      <c r="BZ24">
        <v>20</v>
      </c>
      <c r="CA24">
        <v>150</v>
      </c>
      <c r="CB24">
        <v>150</v>
      </c>
      <c r="CC24">
        <v>150</v>
      </c>
    </row>
    <row r="25" spans="2:81" x14ac:dyDescent="0.35">
      <c r="B25" s="6">
        <v>5</v>
      </c>
      <c r="C25" s="2" t="s">
        <v>20</v>
      </c>
      <c r="D25" s="6" t="str">
        <f t="shared" si="5"/>
        <v>1</v>
      </c>
      <c r="E25" s="6" t="str">
        <f t="shared" si="6"/>
        <v>0</v>
      </c>
      <c r="F25" s="6" t="str">
        <f t="shared" si="7"/>
        <v>1</v>
      </c>
      <c r="G25" s="6"/>
      <c r="H25" s="10">
        <f t="shared" si="8"/>
        <v>3.5238095238095239E-5</v>
      </c>
      <c r="I25" s="10">
        <f t="shared" si="9"/>
        <v>3.0571428571428572E-5</v>
      </c>
      <c r="J25" s="10">
        <f t="shared" si="10"/>
        <v>3.0571428571428572E-5</v>
      </c>
      <c r="K25" s="10">
        <f t="shared" si="11"/>
        <v>3.9999999999999998E-6</v>
      </c>
      <c r="L25" s="10">
        <f t="shared" si="12"/>
        <v>3.9999999999999998E-6</v>
      </c>
      <c r="M25" s="10">
        <f t="shared" si="13"/>
        <v>3.9999999999999998E-6</v>
      </c>
      <c r="N25" s="10">
        <f t="shared" si="14"/>
        <v>3.9999999999999998E-6</v>
      </c>
      <c r="O25" s="11">
        <f>ROUND(( SUM(Table323158[[#This Row],[I1]:[I7]]))*1000000, 0)</f>
        <v>112</v>
      </c>
      <c r="P25" s="2" t="s">
        <v>22</v>
      </c>
      <c r="Q25" s="6" t="str">
        <f t="shared" si="15"/>
        <v>1</v>
      </c>
      <c r="R25" s="6" t="str">
        <f t="shared" si="16"/>
        <v>0</v>
      </c>
      <c r="S25" s="6" t="str">
        <f t="shared" si="17"/>
        <v>1</v>
      </c>
      <c r="T25" s="10">
        <f t="shared" si="18"/>
        <v>3.0571428571428572E-5</v>
      </c>
      <c r="U25" s="10">
        <f t="shared" si="19"/>
        <v>1.5333333333333334E-5</v>
      </c>
      <c r="V25" s="10">
        <f t="shared" si="20"/>
        <v>8.6666666666666661E-6</v>
      </c>
      <c r="W25" s="10">
        <f t="shared" si="21"/>
        <v>3.9999999999999998E-6</v>
      </c>
      <c r="X25" s="10">
        <f t="shared" si="22"/>
        <v>3.9999999999999998E-6</v>
      </c>
      <c r="Y25" s="10">
        <f t="shared" si="23"/>
        <v>3.9999999999999998E-6</v>
      </c>
      <c r="Z25" s="10">
        <f t="shared" si="24"/>
        <v>3.9999999999999998E-6</v>
      </c>
      <c r="AA25" s="11">
        <f>ROUND((SUM(Table323158[[#This Row],[II1]:[II7]]))*1000000, 0)</f>
        <v>71</v>
      </c>
      <c r="AB25" s="18" t="s">
        <v>20</v>
      </c>
      <c r="AC25" s="11"/>
      <c r="AD25" s="13" t="str">
        <f t="shared" si="25"/>
        <v/>
      </c>
      <c r="AE25"/>
      <c r="AG25" s="11"/>
      <c r="AH25" s="6">
        <v>5</v>
      </c>
      <c r="AI25" s="11" t="str">
        <f t="shared" si="26"/>
        <v/>
      </c>
      <c r="AL25" s="13" t="str">
        <f t="shared" si="27"/>
        <v/>
      </c>
      <c r="BX25">
        <v>20</v>
      </c>
      <c r="BY25">
        <v>20</v>
      </c>
      <c r="BZ25">
        <v>150</v>
      </c>
      <c r="CA25">
        <v>150</v>
      </c>
      <c r="CB25">
        <v>150</v>
      </c>
      <c r="CC25">
        <v>150</v>
      </c>
    </row>
    <row r="26" spans="2:81" x14ac:dyDescent="0.35">
      <c r="B26" s="6">
        <v>6</v>
      </c>
      <c r="C26" s="2" t="s">
        <v>17</v>
      </c>
      <c r="D26" s="6" t="str">
        <f t="shared" si="5"/>
        <v>1</v>
      </c>
      <c r="E26" s="6" t="str">
        <f t="shared" si="6"/>
        <v>1</v>
      </c>
      <c r="F26" s="6" t="str">
        <f t="shared" si="7"/>
        <v>0</v>
      </c>
      <c r="G26" s="6"/>
      <c r="H26" s="10">
        <f t="shared" si="8"/>
        <v>5.7142857142857148E-5</v>
      </c>
      <c r="I26" s="10">
        <f t="shared" si="9"/>
        <v>3.5238095238095239E-5</v>
      </c>
      <c r="J26" s="10">
        <f t="shared" si="10"/>
        <v>3.0571428571428572E-5</v>
      </c>
      <c r="K26" s="10">
        <f t="shared" si="11"/>
        <v>3.9999999999999998E-6</v>
      </c>
      <c r="L26" s="10">
        <f t="shared" si="12"/>
        <v>3.9999999999999998E-6</v>
      </c>
      <c r="M26" s="10">
        <f t="shared" si="13"/>
        <v>3.9999999999999998E-6</v>
      </c>
      <c r="N26" s="10">
        <f t="shared" si="14"/>
        <v>3.9999999999999998E-6</v>
      </c>
      <c r="O26" s="11">
        <f>ROUND(( SUM(Table323158[[#This Row],[I1]:[I7]]))*1000000, 0)</f>
        <v>139</v>
      </c>
      <c r="P26" s="2" t="s">
        <v>22</v>
      </c>
      <c r="Q26" s="6" t="str">
        <f t="shared" si="15"/>
        <v>1</v>
      </c>
      <c r="R26" s="6" t="str">
        <f t="shared" si="16"/>
        <v>1</v>
      </c>
      <c r="S26" s="6" t="str">
        <f t="shared" si="17"/>
        <v>0</v>
      </c>
      <c r="T26" s="10">
        <f t="shared" si="18"/>
        <v>1.5333333333333334E-5</v>
      </c>
      <c r="U26" s="10">
        <f t="shared" si="19"/>
        <v>8.6666666666666661E-6</v>
      </c>
      <c r="V26" s="10">
        <f t="shared" si="20"/>
        <v>3.9999999999999998E-6</v>
      </c>
      <c r="W26" s="10">
        <f t="shared" si="21"/>
        <v>3.9999999999999998E-6</v>
      </c>
      <c r="X26" s="10">
        <f t="shared" si="22"/>
        <v>3.9999999999999998E-6</v>
      </c>
      <c r="Y26" s="10">
        <f t="shared" si="23"/>
        <v>3.9999999999999998E-6</v>
      </c>
      <c r="Z26" s="10">
        <f t="shared" si="24"/>
        <v>3.9999999999999998E-6</v>
      </c>
      <c r="AA26" s="11">
        <f>ROUND((SUM(Table323158[[#This Row],[II1]:[II7]]))*1000000, 0)</f>
        <v>44</v>
      </c>
      <c r="AB26" s="18" t="s">
        <v>16</v>
      </c>
      <c r="AC26" s="11"/>
      <c r="AD26" s="13" t="str">
        <f t="shared" si="25"/>
        <v/>
      </c>
      <c r="AE26"/>
      <c r="AG26" s="11"/>
      <c r="AH26" s="6">
        <v>6</v>
      </c>
      <c r="AI26" s="11" t="str">
        <f t="shared" si="26"/>
        <v/>
      </c>
      <c r="AL26" s="13" t="str">
        <f t="shared" si="27"/>
        <v/>
      </c>
      <c r="BX26">
        <v>150</v>
      </c>
      <c r="BY26">
        <v>150</v>
      </c>
      <c r="BZ26">
        <v>150</v>
      </c>
      <c r="CA26">
        <v>150</v>
      </c>
      <c r="CB26">
        <v>150</v>
      </c>
      <c r="CC26">
        <v>150</v>
      </c>
    </row>
    <row r="27" spans="2:81" x14ac:dyDescent="0.35">
      <c r="B27" s="6">
        <v>7</v>
      </c>
      <c r="C27" s="2" t="s">
        <v>16</v>
      </c>
      <c r="D27" s="6" t="str">
        <f t="shared" si="5"/>
        <v>1</v>
      </c>
      <c r="E27" s="6" t="str">
        <f t="shared" si="6"/>
        <v>1</v>
      </c>
      <c r="F27" s="6" t="str">
        <f t="shared" si="7"/>
        <v>1</v>
      </c>
      <c r="G27" s="6"/>
      <c r="H27" s="10">
        <f t="shared" si="8"/>
        <v>6.3809523809523817E-5</v>
      </c>
      <c r="I27" s="10">
        <f t="shared" si="9"/>
        <v>3.723809523809524E-5</v>
      </c>
      <c r="J27" s="10">
        <f t="shared" si="10"/>
        <v>3.2571428571428573E-5</v>
      </c>
      <c r="K27" s="10">
        <f t="shared" si="11"/>
        <v>6.0000000000000002E-6</v>
      </c>
      <c r="L27" s="10">
        <f t="shared" si="12"/>
        <v>6.0000000000000002E-6</v>
      </c>
      <c r="M27" s="10">
        <f t="shared" si="13"/>
        <v>6.0000000000000002E-6</v>
      </c>
      <c r="N27" s="10">
        <f t="shared" si="14"/>
        <v>6.0000000000000002E-6</v>
      </c>
      <c r="O27" s="11">
        <f>ROUND(( SUM(Table323158[[#This Row],[I1]:[I7]]))*1000000, 0)</f>
        <v>158</v>
      </c>
      <c r="P27" s="2" t="s">
        <v>22</v>
      </c>
      <c r="Q27" s="6" t="str">
        <f t="shared" si="15"/>
        <v>1</v>
      </c>
      <c r="R27" s="6" t="str">
        <f t="shared" si="16"/>
        <v>1</v>
      </c>
      <c r="S27" s="6" t="str">
        <f t="shared" si="17"/>
        <v>1</v>
      </c>
      <c r="T27" s="10">
        <f t="shared" si="18"/>
        <v>4.3904761904761909E-5</v>
      </c>
      <c r="U27" s="10">
        <f t="shared" si="19"/>
        <v>2.1999999999999999E-5</v>
      </c>
      <c r="V27" s="10">
        <f t="shared" si="20"/>
        <v>1.0666666666666667E-5</v>
      </c>
      <c r="W27" s="10">
        <f t="shared" si="21"/>
        <v>6.0000000000000002E-6</v>
      </c>
      <c r="X27" s="10">
        <f t="shared" si="22"/>
        <v>6.0000000000000002E-6</v>
      </c>
      <c r="Y27" s="10">
        <f t="shared" si="23"/>
        <v>6.0000000000000002E-6</v>
      </c>
      <c r="Z27" s="10">
        <f t="shared" si="24"/>
        <v>6.0000000000000002E-6</v>
      </c>
      <c r="AA27" s="11">
        <f>ROUND((SUM(Table323158[[#This Row],[II1]:[II7]]))*1000000, 0)</f>
        <v>101</v>
      </c>
      <c r="AB27" s="18" t="s">
        <v>16</v>
      </c>
      <c r="AC27" s="11"/>
      <c r="AD27" s="13" t="str">
        <f t="shared" si="25"/>
        <v/>
      </c>
      <c r="AE27"/>
      <c r="AG27" s="11"/>
      <c r="AH27" s="6">
        <v>7</v>
      </c>
      <c r="AI27" s="11" t="str">
        <f t="shared" si="26"/>
        <v/>
      </c>
      <c r="AL27" s="13" t="str">
        <f t="shared" si="27"/>
        <v/>
      </c>
    </row>
    <row r="28" spans="2:81" x14ac:dyDescent="0.35">
      <c r="B28" s="6">
        <v>8</v>
      </c>
      <c r="C28" s="2" t="s">
        <v>19</v>
      </c>
      <c r="D28" s="6" t="e">
        <f t="shared" si="5"/>
        <v>#NUM!</v>
      </c>
      <c r="E28" s="6" t="e">
        <f t="shared" si="6"/>
        <v>#NUM!</v>
      </c>
      <c r="F28" s="6" t="e">
        <f t="shared" si="7"/>
        <v>#NUM!</v>
      </c>
      <c r="G28" s="6"/>
      <c r="H28" s="10" t="e">
        <f t="shared" si="8"/>
        <v>#NUM!</v>
      </c>
      <c r="I28" s="10" t="e">
        <f t="shared" si="9"/>
        <v>#NUM!</v>
      </c>
      <c r="J28" s="10" t="e">
        <f t="shared" si="10"/>
        <v>#NUM!</v>
      </c>
      <c r="K28" s="10" t="e">
        <f t="shared" si="11"/>
        <v>#NUM!</v>
      </c>
      <c r="L28" s="10" t="e">
        <f t="shared" si="12"/>
        <v>#NUM!</v>
      </c>
      <c r="M28" s="10" t="e">
        <f t="shared" si="13"/>
        <v>#NUM!</v>
      </c>
      <c r="N28" s="10" t="e">
        <f t="shared" si="14"/>
        <v>#NUM!</v>
      </c>
      <c r="O28" s="11" t="e">
        <f>ROUND(( SUM(Table323158[[#This Row],[I1]:[I7]]))*1000000, 0)</f>
        <v>#NUM!</v>
      </c>
      <c r="P28" s="2" t="s">
        <v>22</v>
      </c>
      <c r="Q28" s="6" t="e">
        <f t="shared" si="15"/>
        <v>#NUM!</v>
      </c>
      <c r="R28" s="6" t="e">
        <f t="shared" si="16"/>
        <v>#NUM!</v>
      </c>
      <c r="S28" s="6" t="e">
        <f t="shared" si="17"/>
        <v>#NUM!</v>
      </c>
      <c r="T28" s="10" t="e">
        <f t="shared" si="18"/>
        <v>#NUM!</v>
      </c>
      <c r="U28" s="10" t="e">
        <f t="shared" si="19"/>
        <v>#NUM!</v>
      </c>
      <c r="V28" s="10" t="e">
        <f t="shared" si="20"/>
        <v>#NUM!</v>
      </c>
      <c r="W28" s="10" t="e">
        <f t="shared" si="21"/>
        <v>#NUM!</v>
      </c>
      <c r="X28" s="10" t="e">
        <f t="shared" si="22"/>
        <v>#NUM!</v>
      </c>
      <c r="Y28" s="10" t="e">
        <f t="shared" si="23"/>
        <v>#NUM!</v>
      </c>
      <c r="Z28" s="10" t="e">
        <f t="shared" si="24"/>
        <v>#NUM!</v>
      </c>
      <c r="AA28" s="11" t="e">
        <f>ROUND((SUM(Table323158[[#This Row],[II1]:[II7]]))*1000000, 0)</f>
        <v>#NUM!</v>
      </c>
      <c r="AB28" s="18" t="s">
        <v>19</v>
      </c>
      <c r="AC28" s="11"/>
      <c r="AD28" s="13" t="str">
        <f t="shared" si="25"/>
        <v/>
      </c>
      <c r="AE28"/>
      <c r="AG28" s="11"/>
      <c r="AH28" s="6">
        <v>8</v>
      </c>
      <c r="AI28" s="11" t="str">
        <f t="shared" si="26"/>
        <v/>
      </c>
      <c r="AL28" s="13" t="str">
        <f t="shared" si="27"/>
        <v/>
      </c>
    </row>
    <row r="29" spans="2:81" ht="15" customHeight="1" x14ac:dyDescent="0.35">
      <c r="B29" s="6">
        <v>9</v>
      </c>
      <c r="C29" s="2" t="s">
        <v>20</v>
      </c>
      <c r="D29" s="6" t="e">
        <f t="shared" si="5"/>
        <v>#NUM!</v>
      </c>
      <c r="E29" s="6" t="e">
        <f t="shared" si="6"/>
        <v>#NUM!</v>
      </c>
      <c r="F29" s="6" t="e">
        <f t="shared" si="7"/>
        <v>#NUM!</v>
      </c>
      <c r="G29" s="6"/>
      <c r="H29" s="10" t="e">
        <f t="shared" si="8"/>
        <v>#NUM!</v>
      </c>
      <c r="I29" s="10" t="e">
        <f t="shared" si="9"/>
        <v>#NUM!</v>
      </c>
      <c r="J29" s="10" t="e">
        <f t="shared" si="10"/>
        <v>#NUM!</v>
      </c>
      <c r="K29" s="10" t="e">
        <f t="shared" si="11"/>
        <v>#NUM!</v>
      </c>
      <c r="L29" s="10" t="e">
        <f t="shared" si="12"/>
        <v>#NUM!</v>
      </c>
      <c r="M29" s="10" t="e">
        <f t="shared" si="13"/>
        <v>#NUM!</v>
      </c>
      <c r="N29" s="10" t="e">
        <f t="shared" si="14"/>
        <v>#NUM!</v>
      </c>
      <c r="O29" s="11" t="e">
        <f>ROUND(( SUM(Table323158[[#This Row],[I1]:[I7]]))*1000000, 0)</f>
        <v>#NUM!</v>
      </c>
      <c r="P29" s="2" t="s">
        <v>22</v>
      </c>
      <c r="Q29" s="6" t="e">
        <f t="shared" si="15"/>
        <v>#NUM!</v>
      </c>
      <c r="R29" s="6" t="e">
        <f t="shared" si="16"/>
        <v>#NUM!</v>
      </c>
      <c r="S29" s="6" t="e">
        <f t="shared" si="17"/>
        <v>#NUM!</v>
      </c>
      <c r="T29" s="10" t="e">
        <f t="shared" si="18"/>
        <v>#NUM!</v>
      </c>
      <c r="U29" s="10" t="e">
        <f t="shared" si="19"/>
        <v>#NUM!</v>
      </c>
      <c r="V29" s="10" t="e">
        <f t="shared" si="20"/>
        <v>#NUM!</v>
      </c>
      <c r="W29" s="10" t="e">
        <f t="shared" si="21"/>
        <v>#NUM!</v>
      </c>
      <c r="X29" s="10" t="e">
        <f t="shared" si="22"/>
        <v>#NUM!</v>
      </c>
      <c r="Y29" s="10" t="e">
        <f t="shared" si="23"/>
        <v>#NUM!</v>
      </c>
      <c r="Z29" s="10" t="e">
        <f t="shared" si="24"/>
        <v>#NUM!</v>
      </c>
      <c r="AA29" s="11" t="e">
        <f>ROUND((SUM(Table323158[[#This Row],[II1]:[II7]]))*1000000, 0)</f>
        <v>#NUM!</v>
      </c>
      <c r="AB29" s="18" t="s">
        <v>20</v>
      </c>
      <c r="AC29" s="11"/>
      <c r="AD29" s="13" t="str">
        <f t="shared" si="25"/>
        <v/>
      </c>
      <c r="AE29"/>
      <c r="AG29" s="11"/>
      <c r="AH29" s="6">
        <v>9</v>
      </c>
      <c r="AI29" s="11" t="str">
        <f t="shared" si="26"/>
        <v/>
      </c>
      <c r="AL29" s="13" t="str">
        <f t="shared" si="27"/>
        <v/>
      </c>
    </row>
    <row r="30" spans="2:81" ht="15" customHeight="1" x14ac:dyDescent="0.35">
      <c r="B30" s="6">
        <v>10</v>
      </c>
      <c r="C30" s="2" t="s">
        <v>20</v>
      </c>
      <c r="D30" s="6" t="e">
        <f t="shared" si="5"/>
        <v>#NUM!</v>
      </c>
      <c r="E30" s="6" t="e">
        <f t="shared" si="6"/>
        <v>#NUM!</v>
      </c>
      <c r="F30" s="6" t="e">
        <f t="shared" si="7"/>
        <v>#NUM!</v>
      </c>
      <c r="G30" s="6"/>
      <c r="H30" s="10" t="e">
        <f t="shared" si="8"/>
        <v>#NUM!</v>
      </c>
      <c r="I30" s="10" t="e">
        <f t="shared" si="9"/>
        <v>#NUM!</v>
      </c>
      <c r="J30" s="10" t="e">
        <f t="shared" si="10"/>
        <v>#NUM!</v>
      </c>
      <c r="K30" s="10" t="e">
        <f t="shared" si="11"/>
        <v>#NUM!</v>
      </c>
      <c r="L30" s="10" t="e">
        <f t="shared" si="12"/>
        <v>#NUM!</v>
      </c>
      <c r="M30" s="10" t="e">
        <f t="shared" si="13"/>
        <v>#NUM!</v>
      </c>
      <c r="N30" s="10" t="e">
        <f t="shared" si="14"/>
        <v>#NUM!</v>
      </c>
      <c r="O30" s="11" t="e">
        <f>ROUND(( SUM(Table323158[[#This Row],[I1]:[I7]]))*1000000, 0)</f>
        <v>#NUM!</v>
      </c>
      <c r="P30" s="2" t="s">
        <v>22</v>
      </c>
      <c r="Q30" s="6" t="e">
        <f t="shared" si="15"/>
        <v>#NUM!</v>
      </c>
      <c r="R30" s="6" t="e">
        <f t="shared" si="16"/>
        <v>#NUM!</v>
      </c>
      <c r="S30" s="6" t="e">
        <f t="shared" si="17"/>
        <v>#NUM!</v>
      </c>
      <c r="T30" s="10" t="e">
        <f t="shared" si="18"/>
        <v>#NUM!</v>
      </c>
      <c r="U30" s="10" t="e">
        <f t="shared" si="19"/>
        <v>#NUM!</v>
      </c>
      <c r="V30" s="10" t="e">
        <f t="shared" si="20"/>
        <v>#NUM!</v>
      </c>
      <c r="W30" s="10" t="e">
        <f t="shared" si="21"/>
        <v>#NUM!</v>
      </c>
      <c r="X30" s="10" t="e">
        <f t="shared" si="22"/>
        <v>#NUM!</v>
      </c>
      <c r="Y30" s="10" t="e">
        <f t="shared" si="23"/>
        <v>#NUM!</v>
      </c>
      <c r="Z30" s="10" t="e">
        <f t="shared" si="24"/>
        <v>#NUM!</v>
      </c>
      <c r="AA30" s="11" t="e">
        <f>ROUND((SUM(Table323158[[#This Row],[II1]:[II7]]))*1000000, 0)</f>
        <v>#NUM!</v>
      </c>
      <c r="AB30" s="18" t="s">
        <v>20</v>
      </c>
      <c r="AC30" s="11"/>
      <c r="AD30" s="13" t="str">
        <f t="shared" si="25"/>
        <v/>
      </c>
      <c r="AE30"/>
      <c r="AG30" s="11"/>
      <c r="AH30" s="6">
        <v>10</v>
      </c>
      <c r="AI30" s="11" t="str">
        <f t="shared" si="26"/>
        <v/>
      </c>
      <c r="AL30" s="13" t="str">
        <f t="shared" si="27"/>
        <v/>
      </c>
      <c r="CB30">
        <v>150</v>
      </c>
    </row>
    <row r="31" spans="2:81" ht="15" customHeight="1" x14ac:dyDescent="0.35">
      <c r="B31" s="6">
        <v>11</v>
      </c>
      <c r="C31" s="2" t="s">
        <v>20</v>
      </c>
      <c r="D31" s="6" t="e">
        <f t="shared" si="5"/>
        <v>#NUM!</v>
      </c>
      <c r="E31" s="6" t="e">
        <f t="shared" si="6"/>
        <v>#NUM!</v>
      </c>
      <c r="F31" s="6" t="e">
        <f t="shared" si="7"/>
        <v>#NUM!</v>
      </c>
      <c r="G31" s="6"/>
      <c r="H31" s="10" t="e">
        <f t="shared" si="8"/>
        <v>#NUM!</v>
      </c>
      <c r="I31" s="10" t="e">
        <f t="shared" si="9"/>
        <v>#NUM!</v>
      </c>
      <c r="J31" s="10" t="e">
        <f t="shared" si="10"/>
        <v>#NUM!</v>
      </c>
      <c r="K31" s="10" t="e">
        <f t="shared" si="11"/>
        <v>#NUM!</v>
      </c>
      <c r="L31" s="10" t="e">
        <f t="shared" si="12"/>
        <v>#NUM!</v>
      </c>
      <c r="M31" s="10" t="e">
        <f t="shared" si="13"/>
        <v>#NUM!</v>
      </c>
      <c r="N31" s="10" t="e">
        <f t="shared" si="14"/>
        <v>#NUM!</v>
      </c>
      <c r="O31" s="11" t="e">
        <f>ROUND(( SUM(Table323158[[#This Row],[I1]:[I7]]))*1000000, 0)</f>
        <v>#NUM!</v>
      </c>
      <c r="P31" s="2" t="s">
        <v>22</v>
      </c>
      <c r="Q31" s="6" t="e">
        <f t="shared" si="15"/>
        <v>#NUM!</v>
      </c>
      <c r="R31" s="6" t="e">
        <f t="shared" si="16"/>
        <v>#NUM!</v>
      </c>
      <c r="S31" s="6" t="e">
        <f t="shared" si="17"/>
        <v>#NUM!</v>
      </c>
      <c r="T31" s="10" t="e">
        <f t="shared" si="18"/>
        <v>#NUM!</v>
      </c>
      <c r="U31" s="10" t="e">
        <f t="shared" si="19"/>
        <v>#NUM!</v>
      </c>
      <c r="V31" s="10" t="e">
        <f t="shared" si="20"/>
        <v>#NUM!</v>
      </c>
      <c r="W31" s="10" t="e">
        <f t="shared" si="21"/>
        <v>#NUM!</v>
      </c>
      <c r="X31" s="10" t="e">
        <f t="shared" si="22"/>
        <v>#NUM!</v>
      </c>
      <c r="Y31" s="10" t="e">
        <f t="shared" si="23"/>
        <v>#NUM!</v>
      </c>
      <c r="Z31" s="10" t="e">
        <f t="shared" si="24"/>
        <v>#NUM!</v>
      </c>
      <c r="AA31" s="11" t="e">
        <f>ROUND((SUM(Table323158[[#This Row],[II1]:[II7]]))*1000000, 0)</f>
        <v>#NUM!</v>
      </c>
      <c r="AB31" s="18" t="s">
        <v>20</v>
      </c>
      <c r="AC31" s="11"/>
      <c r="AD31" s="13" t="str">
        <f t="shared" si="25"/>
        <v/>
      </c>
      <c r="AE31"/>
      <c r="AG31" s="11"/>
      <c r="AH31" s="6">
        <v>11</v>
      </c>
      <c r="AI31" s="11" t="str">
        <f t="shared" si="26"/>
        <v/>
      </c>
      <c r="AL31" s="13" t="str">
        <f t="shared" si="27"/>
        <v/>
      </c>
    </row>
    <row r="32" spans="2:81" x14ac:dyDescent="0.35">
      <c r="B32" s="6">
        <v>12</v>
      </c>
      <c r="C32" s="2" t="s">
        <v>19</v>
      </c>
      <c r="D32" s="6" t="e">
        <f t="shared" si="5"/>
        <v>#NUM!</v>
      </c>
      <c r="E32" s="6" t="e">
        <f t="shared" si="6"/>
        <v>#NUM!</v>
      </c>
      <c r="F32" s="6" t="e">
        <f t="shared" si="7"/>
        <v>#NUM!</v>
      </c>
      <c r="G32" s="6"/>
      <c r="H32" s="10" t="e">
        <f t="shared" si="8"/>
        <v>#NUM!</v>
      </c>
      <c r="I32" s="10" t="e">
        <f t="shared" si="9"/>
        <v>#NUM!</v>
      </c>
      <c r="J32" s="10" t="e">
        <f t="shared" si="10"/>
        <v>#NUM!</v>
      </c>
      <c r="K32" s="10" t="e">
        <f t="shared" si="11"/>
        <v>#NUM!</v>
      </c>
      <c r="L32" s="10" t="e">
        <f t="shared" si="12"/>
        <v>#NUM!</v>
      </c>
      <c r="M32" s="10" t="e">
        <f t="shared" si="13"/>
        <v>#NUM!</v>
      </c>
      <c r="N32" s="10" t="e">
        <f t="shared" si="14"/>
        <v>#NUM!</v>
      </c>
      <c r="O32" s="11" t="e">
        <f>ROUND(( SUM(Table323158[[#This Row],[I1]:[I7]]))*1000000, 0)</f>
        <v>#NUM!</v>
      </c>
      <c r="P32" s="2" t="s">
        <v>22</v>
      </c>
      <c r="Q32" s="6" t="e">
        <f t="shared" si="15"/>
        <v>#NUM!</v>
      </c>
      <c r="R32" s="6" t="e">
        <f t="shared" si="16"/>
        <v>#NUM!</v>
      </c>
      <c r="S32" s="6" t="e">
        <f t="shared" si="17"/>
        <v>#NUM!</v>
      </c>
      <c r="T32" s="10" t="e">
        <f t="shared" si="18"/>
        <v>#NUM!</v>
      </c>
      <c r="U32" s="10" t="e">
        <f t="shared" si="19"/>
        <v>#NUM!</v>
      </c>
      <c r="V32" s="10" t="e">
        <f t="shared" si="20"/>
        <v>#NUM!</v>
      </c>
      <c r="W32" s="10" t="e">
        <f t="shared" si="21"/>
        <v>#NUM!</v>
      </c>
      <c r="X32" s="10" t="e">
        <f t="shared" si="22"/>
        <v>#NUM!</v>
      </c>
      <c r="Y32" s="10" t="e">
        <f t="shared" si="23"/>
        <v>#NUM!</v>
      </c>
      <c r="Z32" s="10" t="e">
        <f t="shared" si="24"/>
        <v>#NUM!</v>
      </c>
      <c r="AA32" s="11" t="e">
        <f>ROUND((SUM(Table323158[[#This Row],[II1]:[II7]]))*1000000, 0)</f>
        <v>#NUM!</v>
      </c>
      <c r="AB32" s="18" t="s">
        <v>19</v>
      </c>
      <c r="AC32" s="11"/>
      <c r="AD32" s="13" t="str">
        <f t="shared" si="25"/>
        <v/>
      </c>
      <c r="AE32"/>
      <c r="AG32" s="11"/>
      <c r="AH32" s="6">
        <v>12</v>
      </c>
      <c r="AI32" s="11" t="str">
        <f t="shared" si="26"/>
        <v/>
      </c>
      <c r="AL32" s="13" t="str">
        <f t="shared" si="27"/>
        <v/>
      </c>
    </row>
    <row r="33" spans="2:38" s="25" customFormat="1" ht="15" customHeight="1" x14ac:dyDescent="0.35">
      <c r="B33" s="6">
        <v>13</v>
      </c>
      <c r="C33" s="2" t="s">
        <v>20</v>
      </c>
      <c r="D33" s="6" t="e">
        <f t="shared" si="5"/>
        <v>#NUM!</v>
      </c>
      <c r="E33" s="6" t="e">
        <f t="shared" si="6"/>
        <v>#NUM!</v>
      </c>
      <c r="F33" s="6" t="e">
        <f t="shared" si="7"/>
        <v>#NUM!</v>
      </c>
      <c r="G33" s="6"/>
      <c r="H33" s="10" t="e">
        <f t="shared" si="8"/>
        <v>#NUM!</v>
      </c>
      <c r="I33" s="10" t="e">
        <f t="shared" si="9"/>
        <v>#NUM!</v>
      </c>
      <c r="J33" s="10" t="e">
        <f t="shared" si="10"/>
        <v>#NUM!</v>
      </c>
      <c r="K33" s="10" t="e">
        <f t="shared" si="11"/>
        <v>#NUM!</v>
      </c>
      <c r="L33" s="10" t="e">
        <f t="shared" si="12"/>
        <v>#NUM!</v>
      </c>
      <c r="M33" s="10" t="e">
        <f t="shared" si="13"/>
        <v>#NUM!</v>
      </c>
      <c r="N33" s="10" t="e">
        <f t="shared" si="14"/>
        <v>#NUM!</v>
      </c>
      <c r="O33" s="11" t="e">
        <f>ROUND(( SUM(Table323158[[#This Row],[I1]:[I7]]))*1000000, 0)</f>
        <v>#NUM!</v>
      </c>
      <c r="P33" s="2" t="s">
        <v>22</v>
      </c>
      <c r="Q33" s="6" t="e">
        <f t="shared" si="15"/>
        <v>#NUM!</v>
      </c>
      <c r="R33" s="6" t="e">
        <f t="shared" si="16"/>
        <v>#NUM!</v>
      </c>
      <c r="S33" s="6" t="e">
        <f t="shared" si="17"/>
        <v>#NUM!</v>
      </c>
      <c r="T33" s="10" t="e">
        <f t="shared" si="18"/>
        <v>#NUM!</v>
      </c>
      <c r="U33" s="10" t="e">
        <f t="shared" si="19"/>
        <v>#NUM!</v>
      </c>
      <c r="V33" s="10" t="e">
        <f t="shared" si="20"/>
        <v>#NUM!</v>
      </c>
      <c r="W33" s="10" t="e">
        <f t="shared" si="21"/>
        <v>#NUM!</v>
      </c>
      <c r="X33" s="10" t="e">
        <f t="shared" si="22"/>
        <v>#NUM!</v>
      </c>
      <c r="Y33" s="10" t="e">
        <f t="shared" si="23"/>
        <v>#NUM!</v>
      </c>
      <c r="Z33" s="10" t="e">
        <f t="shared" si="24"/>
        <v>#NUM!</v>
      </c>
      <c r="AA33" s="11" t="e">
        <f>ROUND((SUM(Table323158[[#This Row],[II1]:[II7]]))*1000000, 0)</f>
        <v>#NUM!</v>
      </c>
      <c r="AB33" s="18" t="s">
        <v>20</v>
      </c>
      <c r="AC33" s="22"/>
      <c r="AD33" s="24" t="str">
        <f t="shared" si="25"/>
        <v/>
      </c>
      <c r="AF33" s="22"/>
      <c r="AG33" s="22"/>
      <c r="AH33" s="19">
        <v>13</v>
      </c>
      <c r="AI33" s="22" t="str">
        <f t="shared" si="26"/>
        <v/>
      </c>
      <c r="AJ33" s="22"/>
      <c r="AK33" s="22"/>
      <c r="AL33" s="24" t="str">
        <f t="shared" si="27"/>
        <v/>
      </c>
    </row>
    <row r="34" spans="2:38" x14ac:dyDescent="0.35">
      <c r="B34" s="6">
        <v>14</v>
      </c>
      <c r="C34" s="2" t="s">
        <v>20</v>
      </c>
      <c r="D34" s="6" t="e">
        <f t="shared" si="5"/>
        <v>#NUM!</v>
      </c>
      <c r="E34" s="6" t="e">
        <f t="shared" si="6"/>
        <v>#NUM!</v>
      </c>
      <c r="F34" s="6" t="e">
        <f t="shared" si="7"/>
        <v>#NUM!</v>
      </c>
      <c r="G34" s="6"/>
      <c r="H34" s="10" t="e">
        <f t="shared" si="8"/>
        <v>#NUM!</v>
      </c>
      <c r="I34" s="10" t="e">
        <f t="shared" si="9"/>
        <v>#NUM!</v>
      </c>
      <c r="J34" s="10" t="e">
        <f t="shared" si="10"/>
        <v>#NUM!</v>
      </c>
      <c r="K34" s="10" t="e">
        <f t="shared" si="11"/>
        <v>#NUM!</v>
      </c>
      <c r="L34" s="10" t="e">
        <f t="shared" si="12"/>
        <v>#NUM!</v>
      </c>
      <c r="M34" s="10" t="e">
        <f t="shared" si="13"/>
        <v>#NUM!</v>
      </c>
      <c r="N34" s="10" t="e">
        <f t="shared" si="14"/>
        <v>#NUM!</v>
      </c>
      <c r="O34" s="11" t="e">
        <f>ROUND(( SUM(Table323158[[#This Row],[I1]:[I7]]))*1000000, 0)</f>
        <v>#NUM!</v>
      </c>
      <c r="P34" s="2" t="s">
        <v>22</v>
      </c>
      <c r="Q34" s="6" t="e">
        <f t="shared" si="15"/>
        <v>#NUM!</v>
      </c>
      <c r="R34" s="6" t="e">
        <f t="shared" si="16"/>
        <v>#NUM!</v>
      </c>
      <c r="S34" s="6" t="e">
        <f t="shared" si="17"/>
        <v>#NUM!</v>
      </c>
      <c r="T34" s="10" t="e">
        <f t="shared" si="18"/>
        <v>#NUM!</v>
      </c>
      <c r="U34" s="10" t="e">
        <f t="shared" si="19"/>
        <v>#NUM!</v>
      </c>
      <c r="V34" s="10" t="e">
        <f t="shared" si="20"/>
        <v>#NUM!</v>
      </c>
      <c r="W34" s="10" t="e">
        <f t="shared" si="21"/>
        <v>#NUM!</v>
      </c>
      <c r="X34" s="10" t="e">
        <f t="shared" si="22"/>
        <v>#NUM!</v>
      </c>
      <c r="Y34" s="10" t="e">
        <f t="shared" si="23"/>
        <v>#NUM!</v>
      </c>
      <c r="Z34" s="10" t="e">
        <f t="shared" si="24"/>
        <v>#NUM!</v>
      </c>
      <c r="AA34" s="11" t="e">
        <f>ROUND((SUM(Table323158[[#This Row],[II1]:[II7]]))*1000000, 0)</f>
        <v>#NUM!</v>
      </c>
      <c r="AB34" s="18" t="s">
        <v>20</v>
      </c>
      <c r="AC34" s="11"/>
      <c r="AD34" s="13" t="str">
        <f t="shared" si="25"/>
        <v/>
      </c>
      <c r="AE34"/>
      <c r="AG34" s="11"/>
      <c r="AH34" s="6">
        <v>14</v>
      </c>
      <c r="AI34" s="11" t="str">
        <f t="shared" si="26"/>
        <v/>
      </c>
      <c r="AL34" s="13" t="str">
        <f t="shared" si="27"/>
        <v/>
      </c>
    </row>
    <row r="35" spans="2:38" s="25" customFormat="1" x14ac:dyDescent="0.35">
      <c r="B35" s="6">
        <v>15</v>
      </c>
      <c r="C35" s="2" t="s">
        <v>20</v>
      </c>
      <c r="D35" s="6" t="e">
        <f t="shared" si="5"/>
        <v>#NUM!</v>
      </c>
      <c r="E35" s="6" t="e">
        <f t="shared" si="6"/>
        <v>#NUM!</v>
      </c>
      <c r="F35" s="6" t="e">
        <f t="shared" si="7"/>
        <v>#NUM!</v>
      </c>
      <c r="G35" s="6"/>
      <c r="H35" s="10" t="e">
        <f t="shared" si="8"/>
        <v>#NUM!</v>
      </c>
      <c r="I35" s="10" t="e">
        <f t="shared" si="9"/>
        <v>#NUM!</v>
      </c>
      <c r="J35" s="10" t="e">
        <f t="shared" si="10"/>
        <v>#NUM!</v>
      </c>
      <c r="K35" s="10" t="e">
        <f t="shared" si="11"/>
        <v>#NUM!</v>
      </c>
      <c r="L35" s="10" t="e">
        <f t="shared" si="12"/>
        <v>#NUM!</v>
      </c>
      <c r="M35" s="10" t="e">
        <f t="shared" si="13"/>
        <v>#NUM!</v>
      </c>
      <c r="N35" s="10" t="e">
        <f t="shared" si="14"/>
        <v>#NUM!</v>
      </c>
      <c r="O35" s="11" t="e">
        <f>ROUND(( SUM(Table323158[[#This Row],[I1]:[I7]]))*1000000, 0)</f>
        <v>#NUM!</v>
      </c>
      <c r="P35" s="2" t="s">
        <v>22</v>
      </c>
      <c r="Q35" s="6" t="e">
        <f t="shared" si="15"/>
        <v>#NUM!</v>
      </c>
      <c r="R35" s="6" t="e">
        <f t="shared" si="16"/>
        <v>#NUM!</v>
      </c>
      <c r="S35" s="6" t="e">
        <f t="shared" si="17"/>
        <v>#NUM!</v>
      </c>
      <c r="T35" s="10" t="e">
        <f t="shared" si="18"/>
        <v>#NUM!</v>
      </c>
      <c r="U35" s="10" t="e">
        <f t="shared" si="19"/>
        <v>#NUM!</v>
      </c>
      <c r="V35" s="10" t="e">
        <f t="shared" si="20"/>
        <v>#NUM!</v>
      </c>
      <c r="W35" s="10" t="e">
        <f t="shared" si="21"/>
        <v>#NUM!</v>
      </c>
      <c r="X35" s="10" t="e">
        <f t="shared" si="22"/>
        <v>#NUM!</v>
      </c>
      <c r="Y35" s="10" t="e">
        <f t="shared" si="23"/>
        <v>#NUM!</v>
      </c>
      <c r="Z35" s="10" t="e">
        <f t="shared" si="24"/>
        <v>#NUM!</v>
      </c>
      <c r="AA35" s="11" t="e">
        <f>ROUND((SUM(Table323158[[#This Row],[II1]:[II7]]))*1000000, 0)</f>
        <v>#NUM!</v>
      </c>
      <c r="AB35" s="18" t="s">
        <v>20</v>
      </c>
      <c r="AC35" s="22"/>
      <c r="AD35" s="24" t="str">
        <f t="shared" si="25"/>
        <v/>
      </c>
      <c r="AF35" s="22"/>
      <c r="AG35" s="22"/>
      <c r="AH35" s="19">
        <v>15</v>
      </c>
      <c r="AI35" s="22" t="str">
        <f t="shared" si="26"/>
        <v/>
      </c>
      <c r="AJ35" s="22"/>
      <c r="AK35" s="22"/>
      <c r="AL35" s="24" t="str">
        <f t="shared" si="27"/>
        <v/>
      </c>
    </row>
    <row r="36" spans="2:38" x14ac:dyDescent="0.35">
      <c r="B36" s="6">
        <v>16</v>
      </c>
      <c r="C36" s="2" t="s">
        <v>21</v>
      </c>
      <c r="D36" s="6" t="e">
        <f t="shared" si="5"/>
        <v>#NUM!</v>
      </c>
      <c r="E36" s="6" t="e">
        <f t="shared" si="6"/>
        <v>#NUM!</v>
      </c>
      <c r="F36" s="6" t="e">
        <f t="shared" si="7"/>
        <v>#NUM!</v>
      </c>
      <c r="G36" s="6" t="e">
        <f t="shared" ref="G36:G83" si="28">LEFT(RIGHT(DEC2BIN($B36,4),1),1)</f>
        <v>#NUM!</v>
      </c>
      <c r="H36" s="10" t="e">
        <f t="shared" si="8"/>
        <v>#NUM!</v>
      </c>
      <c r="I36" s="10" t="e">
        <f t="shared" si="9"/>
        <v>#NUM!</v>
      </c>
      <c r="J36" s="10" t="e">
        <f t="shared" si="10"/>
        <v>#NUM!</v>
      </c>
      <c r="K36" s="10" t="e">
        <f t="shared" si="11"/>
        <v>#NUM!</v>
      </c>
      <c r="L36" s="10" t="e">
        <f t="shared" si="12"/>
        <v>#NUM!</v>
      </c>
      <c r="M36" s="10" t="e">
        <f t="shared" si="13"/>
        <v>#NUM!</v>
      </c>
      <c r="N36" s="10" t="e">
        <f t="shared" si="14"/>
        <v>#NUM!</v>
      </c>
      <c r="O36" s="11" t="e">
        <f>ROUND(( SUM(Table323158[[#This Row],[I1]:[I7]]))*1000000, 0)</f>
        <v>#NUM!</v>
      </c>
      <c r="P36" s="11"/>
      <c r="Q36" s="6" t="e">
        <f t="shared" si="15"/>
        <v>#NUM!</v>
      </c>
      <c r="R36" s="6" t="e">
        <f t="shared" si="16"/>
        <v>#NUM!</v>
      </c>
      <c r="S36" s="6" t="e">
        <f t="shared" si="17"/>
        <v>#NUM!</v>
      </c>
      <c r="T36" s="10" t="e">
        <f t="shared" si="18"/>
        <v>#NUM!</v>
      </c>
      <c r="U36" s="10" t="e">
        <f t="shared" si="19"/>
        <v>#NUM!</v>
      </c>
      <c r="V36" s="10" t="e">
        <f t="shared" si="20"/>
        <v>#NUM!</v>
      </c>
      <c r="W36" s="10" t="e">
        <f t="shared" si="21"/>
        <v>#NUM!</v>
      </c>
      <c r="X36" s="10" t="e">
        <f t="shared" si="22"/>
        <v>#NUM!</v>
      </c>
      <c r="Y36" s="10" t="e">
        <f t="shared" si="23"/>
        <v>#NUM!</v>
      </c>
      <c r="Z36" s="10" t="e">
        <f t="shared" si="24"/>
        <v>#NUM!</v>
      </c>
      <c r="AA36" s="11" t="e">
        <f>ROUND((SUM(Table323158[[#This Row],[II1]:[II7]]))*1000000, 0)</f>
        <v>#NUM!</v>
      </c>
      <c r="AB36" s="18" t="s">
        <v>21</v>
      </c>
      <c r="AC36" s="11"/>
      <c r="AD36" s="13" t="str">
        <f t="shared" si="25"/>
        <v/>
      </c>
      <c r="AE36"/>
      <c r="AG36" s="11"/>
      <c r="AH36" s="6">
        <v>16</v>
      </c>
      <c r="AI36" s="11" t="str">
        <f t="shared" si="26"/>
        <v/>
      </c>
      <c r="AL36" s="13" t="str">
        <f t="shared" si="27"/>
        <v/>
      </c>
    </row>
    <row r="37" spans="2:38" ht="15" customHeight="1" x14ac:dyDescent="0.35">
      <c r="B37" s="6">
        <v>17</v>
      </c>
      <c r="C37" s="2" t="s">
        <v>20</v>
      </c>
      <c r="D37" s="6" t="e">
        <f t="shared" si="5"/>
        <v>#NUM!</v>
      </c>
      <c r="E37" s="6" t="e">
        <f t="shared" si="6"/>
        <v>#NUM!</v>
      </c>
      <c r="F37" s="6" t="e">
        <f t="shared" si="7"/>
        <v>#NUM!</v>
      </c>
      <c r="G37" s="6" t="e">
        <f t="shared" si="28"/>
        <v>#NUM!</v>
      </c>
      <c r="H37" s="10" t="e">
        <f t="shared" si="8"/>
        <v>#NUM!</v>
      </c>
      <c r="I37" s="10" t="e">
        <f t="shared" si="9"/>
        <v>#NUM!</v>
      </c>
      <c r="J37" s="10" t="e">
        <f t="shared" si="10"/>
        <v>#NUM!</v>
      </c>
      <c r="K37" s="10" t="e">
        <f t="shared" si="11"/>
        <v>#NUM!</v>
      </c>
      <c r="L37" s="10" t="e">
        <f t="shared" si="12"/>
        <v>#NUM!</v>
      </c>
      <c r="M37" s="10" t="e">
        <f t="shared" si="13"/>
        <v>#NUM!</v>
      </c>
      <c r="N37" s="10" t="e">
        <f t="shared" si="14"/>
        <v>#NUM!</v>
      </c>
      <c r="O37" s="11" t="e">
        <f>ROUND(( SUM(Table323158[[#This Row],[I1]:[I7]]))*1000000, 0)</f>
        <v>#NUM!</v>
      </c>
      <c r="P37" s="11"/>
      <c r="Q37" s="6" t="e">
        <f t="shared" si="15"/>
        <v>#NUM!</v>
      </c>
      <c r="R37" s="6" t="e">
        <f t="shared" si="16"/>
        <v>#NUM!</v>
      </c>
      <c r="S37" s="6" t="e">
        <f t="shared" si="17"/>
        <v>#NUM!</v>
      </c>
      <c r="T37" s="10" t="e">
        <f t="shared" si="18"/>
        <v>#NUM!</v>
      </c>
      <c r="U37" s="10" t="e">
        <f t="shared" si="19"/>
        <v>#NUM!</v>
      </c>
      <c r="V37" s="10" t="e">
        <f t="shared" si="20"/>
        <v>#NUM!</v>
      </c>
      <c r="W37" s="10" t="e">
        <f t="shared" si="21"/>
        <v>#NUM!</v>
      </c>
      <c r="X37" s="10" t="e">
        <f t="shared" si="22"/>
        <v>#NUM!</v>
      </c>
      <c r="Y37" s="10" t="e">
        <f t="shared" si="23"/>
        <v>#NUM!</v>
      </c>
      <c r="Z37" s="10" t="e">
        <f t="shared" si="24"/>
        <v>#NUM!</v>
      </c>
      <c r="AA37" s="11" t="e">
        <f>ROUND((SUM(Table323158[[#This Row],[II1]:[II7]]))*1000000, 0)</f>
        <v>#NUM!</v>
      </c>
      <c r="AB37" s="18" t="s">
        <v>20</v>
      </c>
      <c r="AC37" s="11"/>
      <c r="AD37" s="13" t="str">
        <f t="shared" si="25"/>
        <v/>
      </c>
      <c r="AE37"/>
      <c r="AG37" s="11"/>
      <c r="AH37" s="6">
        <v>17</v>
      </c>
      <c r="AI37" s="11" t="str">
        <f t="shared" si="26"/>
        <v/>
      </c>
      <c r="AL37" s="13" t="str">
        <f t="shared" si="27"/>
        <v/>
      </c>
    </row>
    <row r="38" spans="2:38" ht="15" customHeight="1" x14ac:dyDescent="0.35">
      <c r="B38" s="6">
        <v>18</v>
      </c>
      <c r="C38" s="2" t="s">
        <v>20</v>
      </c>
      <c r="D38" s="6" t="e">
        <f t="shared" si="5"/>
        <v>#NUM!</v>
      </c>
      <c r="E38" s="6" t="e">
        <f t="shared" si="6"/>
        <v>#NUM!</v>
      </c>
      <c r="F38" s="6" t="e">
        <f t="shared" si="7"/>
        <v>#NUM!</v>
      </c>
      <c r="G38" s="6" t="e">
        <f t="shared" si="28"/>
        <v>#NUM!</v>
      </c>
      <c r="H38" s="10" t="e">
        <f t="shared" si="8"/>
        <v>#NUM!</v>
      </c>
      <c r="I38" s="10" t="e">
        <f t="shared" si="9"/>
        <v>#NUM!</v>
      </c>
      <c r="J38" s="10" t="e">
        <f t="shared" si="10"/>
        <v>#NUM!</v>
      </c>
      <c r="K38" s="10" t="e">
        <f t="shared" si="11"/>
        <v>#NUM!</v>
      </c>
      <c r="L38" s="10" t="e">
        <f t="shared" si="12"/>
        <v>#NUM!</v>
      </c>
      <c r="M38" s="10" t="e">
        <f t="shared" si="13"/>
        <v>#NUM!</v>
      </c>
      <c r="N38" s="10" t="e">
        <f t="shared" si="14"/>
        <v>#NUM!</v>
      </c>
      <c r="O38" s="11" t="e">
        <f>ROUND(( SUM(Table323158[[#This Row],[I1]:[I7]]))*1000000, 0)</f>
        <v>#NUM!</v>
      </c>
      <c r="P38" s="11"/>
      <c r="Q38" s="6" t="e">
        <f t="shared" si="15"/>
        <v>#NUM!</v>
      </c>
      <c r="R38" s="6" t="e">
        <f t="shared" si="16"/>
        <v>#NUM!</v>
      </c>
      <c r="S38" s="6" t="e">
        <f t="shared" si="17"/>
        <v>#NUM!</v>
      </c>
      <c r="T38" s="10" t="e">
        <f t="shared" si="18"/>
        <v>#NUM!</v>
      </c>
      <c r="U38" s="10" t="e">
        <f t="shared" si="19"/>
        <v>#NUM!</v>
      </c>
      <c r="V38" s="10" t="e">
        <f t="shared" si="20"/>
        <v>#NUM!</v>
      </c>
      <c r="W38" s="10" t="e">
        <f t="shared" si="21"/>
        <v>#NUM!</v>
      </c>
      <c r="X38" s="10" t="e">
        <f t="shared" si="22"/>
        <v>#NUM!</v>
      </c>
      <c r="Y38" s="10" t="e">
        <f t="shared" si="23"/>
        <v>#NUM!</v>
      </c>
      <c r="Z38" s="10" t="e">
        <f t="shared" si="24"/>
        <v>#NUM!</v>
      </c>
      <c r="AA38" s="11" t="e">
        <f>ROUND((SUM(Table323158[[#This Row],[II1]:[II7]]))*1000000, 0)</f>
        <v>#NUM!</v>
      </c>
      <c r="AB38" s="18" t="s">
        <v>20</v>
      </c>
      <c r="AC38" s="11"/>
      <c r="AD38" s="13" t="str">
        <f t="shared" si="25"/>
        <v/>
      </c>
      <c r="AE38"/>
      <c r="AG38" s="11"/>
      <c r="AH38" s="6">
        <v>18</v>
      </c>
      <c r="AI38" s="11" t="str">
        <f t="shared" si="26"/>
        <v/>
      </c>
      <c r="AL38" s="13" t="str">
        <f t="shared" si="27"/>
        <v/>
      </c>
    </row>
    <row r="39" spans="2:38" ht="15" customHeight="1" x14ac:dyDescent="0.35">
      <c r="B39" s="6">
        <v>19</v>
      </c>
      <c r="C39" s="2" t="s">
        <v>20</v>
      </c>
      <c r="D39" s="6" t="e">
        <f t="shared" si="5"/>
        <v>#NUM!</v>
      </c>
      <c r="E39" s="6" t="e">
        <f t="shared" si="6"/>
        <v>#NUM!</v>
      </c>
      <c r="F39" s="6" t="e">
        <f t="shared" si="7"/>
        <v>#NUM!</v>
      </c>
      <c r="G39" s="6" t="e">
        <f t="shared" si="28"/>
        <v>#NUM!</v>
      </c>
      <c r="H39" s="10" t="e">
        <f t="shared" si="8"/>
        <v>#NUM!</v>
      </c>
      <c r="I39" s="10" t="e">
        <f t="shared" si="9"/>
        <v>#NUM!</v>
      </c>
      <c r="J39" s="10" t="e">
        <f t="shared" si="10"/>
        <v>#NUM!</v>
      </c>
      <c r="K39" s="10" t="e">
        <f t="shared" si="11"/>
        <v>#NUM!</v>
      </c>
      <c r="L39" s="10" t="e">
        <f t="shared" si="12"/>
        <v>#NUM!</v>
      </c>
      <c r="M39" s="10" t="e">
        <f t="shared" si="13"/>
        <v>#NUM!</v>
      </c>
      <c r="N39" s="10" t="e">
        <f t="shared" si="14"/>
        <v>#NUM!</v>
      </c>
      <c r="O39" s="11" t="e">
        <f>ROUND(( SUM(Table323158[[#This Row],[I1]:[I7]]))*1000000, 0)</f>
        <v>#NUM!</v>
      </c>
      <c r="P39" s="11"/>
      <c r="Q39" s="6" t="e">
        <f t="shared" si="15"/>
        <v>#NUM!</v>
      </c>
      <c r="R39" s="6" t="e">
        <f t="shared" si="16"/>
        <v>#NUM!</v>
      </c>
      <c r="S39" s="6" t="e">
        <f t="shared" si="17"/>
        <v>#NUM!</v>
      </c>
      <c r="T39" s="10" t="e">
        <f t="shared" si="18"/>
        <v>#NUM!</v>
      </c>
      <c r="U39" s="10" t="e">
        <f t="shared" si="19"/>
        <v>#NUM!</v>
      </c>
      <c r="V39" s="10" t="e">
        <f t="shared" si="20"/>
        <v>#NUM!</v>
      </c>
      <c r="W39" s="10" t="e">
        <f t="shared" si="21"/>
        <v>#NUM!</v>
      </c>
      <c r="X39" s="10" t="e">
        <f t="shared" si="22"/>
        <v>#NUM!</v>
      </c>
      <c r="Y39" s="10" t="e">
        <f t="shared" si="23"/>
        <v>#NUM!</v>
      </c>
      <c r="Z39" s="10" t="e">
        <f t="shared" si="24"/>
        <v>#NUM!</v>
      </c>
      <c r="AA39" s="11" t="e">
        <f>ROUND((SUM(Table323158[[#This Row],[II1]:[II7]]))*1000000, 0)</f>
        <v>#NUM!</v>
      </c>
      <c r="AB39" s="18" t="s">
        <v>20</v>
      </c>
      <c r="AC39" s="11"/>
      <c r="AD39" s="13" t="str">
        <f t="shared" si="25"/>
        <v/>
      </c>
      <c r="AE39"/>
      <c r="AG39" s="11"/>
      <c r="AH39" s="6">
        <v>19</v>
      </c>
      <c r="AI39" s="11" t="str">
        <f t="shared" si="26"/>
        <v/>
      </c>
      <c r="AL39" s="13" t="str">
        <f t="shared" si="27"/>
        <v/>
      </c>
    </row>
    <row r="40" spans="2:38" ht="15" customHeight="1" x14ac:dyDescent="0.35">
      <c r="B40" s="6">
        <v>20</v>
      </c>
      <c r="C40" s="2" t="s">
        <v>20</v>
      </c>
      <c r="D40" s="6" t="e">
        <f t="shared" si="5"/>
        <v>#NUM!</v>
      </c>
      <c r="E40" s="6" t="e">
        <f t="shared" si="6"/>
        <v>#NUM!</v>
      </c>
      <c r="F40" s="6" t="e">
        <f t="shared" si="7"/>
        <v>#NUM!</v>
      </c>
      <c r="G40" s="6" t="e">
        <f t="shared" si="28"/>
        <v>#NUM!</v>
      </c>
      <c r="H40" s="10" t="e">
        <f t="shared" si="8"/>
        <v>#NUM!</v>
      </c>
      <c r="I40" s="10" t="e">
        <f t="shared" si="9"/>
        <v>#NUM!</v>
      </c>
      <c r="J40" s="10" t="e">
        <f t="shared" si="10"/>
        <v>#NUM!</v>
      </c>
      <c r="K40" s="10" t="e">
        <f t="shared" si="11"/>
        <v>#NUM!</v>
      </c>
      <c r="L40" s="10" t="e">
        <f t="shared" si="12"/>
        <v>#NUM!</v>
      </c>
      <c r="M40" s="10" t="e">
        <f t="shared" si="13"/>
        <v>#NUM!</v>
      </c>
      <c r="N40" s="10" t="e">
        <f t="shared" si="14"/>
        <v>#NUM!</v>
      </c>
      <c r="O40" s="11" t="e">
        <f>ROUND(( SUM(Table323158[[#This Row],[I1]:[I7]]))*1000000, 0)</f>
        <v>#NUM!</v>
      </c>
      <c r="P40" s="11"/>
      <c r="Q40" s="6" t="e">
        <f t="shared" si="15"/>
        <v>#NUM!</v>
      </c>
      <c r="R40" s="6" t="e">
        <f t="shared" si="16"/>
        <v>#NUM!</v>
      </c>
      <c r="S40" s="6" t="e">
        <f t="shared" si="17"/>
        <v>#NUM!</v>
      </c>
      <c r="T40" s="10" t="e">
        <f t="shared" si="18"/>
        <v>#NUM!</v>
      </c>
      <c r="U40" s="10" t="e">
        <f t="shared" si="19"/>
        <v>#NUM!</v>
      </c>
      <c r="V40" s="10" t="e">
        <f t="shared" si="20"/>
        <v>#NUM!</v>
      </c>
      <c r="W40" s="10" t="e">
        <f t="shared" si="21"/>
        <v>#NUM!</v>
      </c>
      <c r="X40" s="10" t="e">
        <f t="shared" si="22"/>
        <v>#NUM!</v>
      </c>
      <c r="Y40" s="10" t="e">
        <f t="shared" si="23"/>
        <v>#NUM!</v>
      </c>
      <c r="Z40" s="10" t="e">
        <f t="shared" si="24"/>
        <v>#NUM!</v>
      </c>
      <c r="AA40" s="11" t="e">
        <f>ROUND((SUM(Table323158[[#This Row],[II1]:[II7]]))*1000000, 0)</f>
        <v>#NUM!</v>
      </c>
      <c r="AB40" s="18" t="s">
        <v>20</v>
      </c>
      <c r="AC40" s="11"/>
      <c r="AD40" s="13" t="str">
        <f t="shared" si="25"/>
        <v/>
      </c>
      <c r="AE40"/>
      <c r="AG40" s="11"/>
      <c r="AH40" s="6">
        <v>20</v>
      </c>
      <c r="AI40" s="11" t="str">
        <f t="shared" si="26"/>
        <v/>
      </c>
      <c r="AL40" s="13" t="str">
        <f t="shared" si="27"/>
        <v/>
      </c>
    </row>
    <row r="41" spans="2:38" ht="15" customHeight="1" x14ac:dyDescent="0.35">
      <c r="B41" s="6">
        <v>21</v>
      </c>
      <c r="C41" s="2" t="s">
        <v>20</v>
      </c>
      <c r="D41" s="6" t="e">
        <f t="shared" si="5"/>
        <v>#NUM!</v>
      </c>
      <c r="E41" s="6" t="e">
        <f t="shared" si="6"/>
        <v>#NUM!</v>
      </c>
      <c r="F41" s="6" t="e">
        <f t="shared" si="7"/>
        <v>#NUM!</v>
      </c>
      <c r="G41" s="6" t="e">
        <f t="shared" si="28"/>
        <v>#NUM!</v>
      </c>
      <c r="H41" s="10" t="e">
        <f t="shared" si="8"/>
        <v>#NUM!</v>
      </c>
      <c r="I41" s="10" t="e">
        <f t="shared" si="9"/>
        <v>#NUM!</v>
      </c>
      <c r="J41" s="10" t="e">
        <f t="shared" si="10"/>
        <v>#NUM!</v>
      </c>
      <c r="K41" s="10" t="e">
        <f t="shared" si="11"/>
        <v>#NUM!</v>
      </c>
      <c r="L41" s="10" t="e">
        <f t="shared" si="12"/>
        <v>#NUM!</v>
      </c>
      <c r="M41" s="10" t="e">
        <f t="shared" si="13"/>
        <v>#NUM!</v>
      </c>
      <c r="N41" s="10" t="e">
        <f t="shared" si="14"/>
        <v>#NUM!</v>
      </c>
      <c r="O41" s="11" t="e">
        <f>ROUND(( SUM(Table323158[[#This Row],[I1]:[I7]]))*1000000, 0)</f>
        <v>#NUM!</v>
      </c>
      <c r="P41" s="11"/>
      <c r="Q41" s="6" t="e">
        <f t="shared" si="15"/>
        <v>#NUM!</v>
      </c>
      <c r="R41" s="6" t="e">
        <f t="shared" si="16"/>
        <v>#NUM!</v>
      </c>
      <c r="S41" s="6" t="e">
        <f t="shared" si="17"/>
        <v>#NUM!</v>
      </c>
      <c r="T41" s="10" t="e">
        <f t="shared" si="18"/>
        <v>#NUM!</v>
      </c>
      <c r="U41" s="10" t="e">
        <f t="shared" si="19"/>
        <v>#NUM!</v>
      </c>
      <c r="V41" s="10" t="e">
        <f t="shared" si="20"/>
        <v>#NUM!</v>
      </c>
      <c r="W41" s="10" t="e">
        <f t="shared" si="21"/>
        <v>#NUM!</v>
      </c>
      <c r="X41" s="10" t="e">
        <f t="shared" si="22"/>
        <v>#NUM!</v>
      </c>
      <c r="Y41" s="10" t="e">
        <f t="shared" si="23"/>
        <v>#NUM!</v>
      </c>
      <c r="Z41" s="10" t="e">
        <f t="shared" si="24"/>
        <v>#NUM!</v>
      </c>
      <c r="AA41" s="11" t="e">
        <f>ROUND((SUM(Table323158[[#This Row],[II1]:[II7]]))*1000000, 0)</f>
        <v>#NUM!</v>
      </c>
      <c r="AB41" s="18" t="s">
        <v>20</v>
      </c>
      <c r="AC41" s="11"/>
      <c r="AD41" s="13" t="str">
        <f t="shared" si="25"/>
        <v/>
      </c>
      <c r="AE41"/>
      <c r="AG41" s="11"/>
      <c r="AH41" s="6">
        <v>21</v>
      </c>
      <c r="AI41" s="11" t="str">
        <f t="shared" si="26"/>
        <v/>
      </c>
      <c r="AL41" s="13" t="str">
        <f t="shared" si="27"/>
        <v/>
      </c>
    </row>
    <row r="42" spans="2:38" ht="15" customHeight="1" x14ac:dyDescent="0.35">
      <c r="B42" s="6">
        <v>22</v>
      </c>
      <c r="C42" s="2" t="s">
        <v>20</v>
      </c>
      <c r="D42" s="6" t="e">
        <f t="shared" si="5"/>
        <v>#NUM!</v>
      </c>
      <c r="E42" s="6" t="e">
        <f t="shared" si="6"/>
        <v>#NUM!</v>
      </c>
      <c r="F42" s="6" t="e">
        <f t="shared" si="7"/>
        <v>#NUM!</v>
      </c>
      <c r="G42" s="6" t="e">
        <f t="shared" si="28"/>
        <v>#NUM!</v>
      </c>
      <c r="H42" s="10" t="e">
        <f t="shared" si="8"/>
        <v>#NUM!</v>
      </c>
      <c r="I42" s="10" t="e">
        <f t="shared" si="9"/>
        <v>#NUM!</v>
      </c>
      <c r="J42" s="10" t="e">
        <f t="shared" si="10"/>
        <v>#NUM!</v>
      </c>
      <c r="K42" s="10" t="e">
        <f t="shared" si="11"/>
        <v>#NUM!</v>
      </c>
      <c r="L42" s="10" t="e">
        <f t="shared" si="12"/>
        <v>#NUM!</v>
      </c>
      <c r="M42" s="10" t="e">
        <f t="shared" si="13"/>
        <v>#NUM!</v>
      </c>
      <c r="N42" s="10" t="e">
        <f t="shared" si="14"/>
        <v>#NUM!</v>
      </c>
      <c r="O42" s="11" t="e">
        <f>ROUND(( SUM(Table323158[[#This Row],[I1]:[I7]]))*1000000, 0)</f>
        <v>#NUM!</v>
      </c>
      <c r="P42" s="11"/>
      <c r="Q42" s="6" t="e">
        <f t="shared" si="15"/>
        <v>#NUM!</v>
      </c>
      <c r="R42" s="6" t="e">
        <f t="shared" si="16"/>
        <v>#NUM!</v>
      </c>
      <c r="S42" s="6" t="e">
        <f t="shared" si="17"/>
        <v>#NUM!</v>
      </c>
      <c r="T42" s="10" t="e">
        <f t="shared" si="18"/>
        <v>#NUM!</v>
      </c>
      <c r="U42" s="10" t="e">
        <f t="shared" si="19"/>
        <v>#NUM!</v>
      </c>
      <c r="V42" s="10" t="e">
        <f t="shared" si="20"/>
        <v>#NUM!</v>
      </c>
      <c r="W42" s="10" t="e">
        <f t="shared" si="21"/>
        <v>#NUM!</v>
      </c>
      <c r="X42" s="10" t="e">
        <f t="shared" si="22"/>
        <v>#NUM!</v>
      </c>
      <c r="Y42" s="10" t="e">
        <f t="shared" si="23"/>
        <v>#NUM!</v>
      </c>
      <c r="Z42" s="10" t="e">
        <f t="shared" si="24"/>
        <v>#NUM!</v>
      </c>
      <c r="AA42" s="11" t="e">
        <f>ROUND((SUM(Table323158[[#This Row],[II1]:[II7]]))*1000000, 0)</f>
        <v>#NUM!</v>
      </c>
      <c r="AB42" s="18" t="s">
        <v>20</v>
      </c>
      <c r="AC42" s="11"/>
      <c r="AD42" s="13" t="str">
        <f t="shared" ref="AD42:AD78" si="29">IF(ISBLANK(AC42), "", COUNTIF($J$20:$J$83,AC42))</f>
        <v/>
      </c>
      <c r="AE42"/>
      <c r="AG42" s="11"/>
      <c r="AH42" s="6">
        <v>22</v>
      </c>
      <c r="AI42" s="11" t="str">
        <f t="shared" si="26"/>
        <v/>
      </c>
      <c r="AL42" s="13" t="str">
        <f t="shared" si="27"/>
        <v/>
      </c>
    </row>
    <row r="43" spans="2:38" ht="15" customHeight="1" x14ac:dyDescent="0.35">
      <c r="B43" s="6">
        <v>23</v>
      </c>
      <c r="C43" s="2" t="s">
        <v>20</v>
      </c>
      <c r="D43" s="6" t="e">
        <f t="shared" si="5"/>
        <v>#NUM!</v>
      </c>
      <c r="E43" s="6" t="e">
        <f t="shared" si="6"/>
        <v>#NUM!</v>
      </c>
      <c r="F43" s="6" t="e">
        <f t="shared" si="7"/>
        <v>#NUM!</v>
      </c>
      <c r="G43" s="6" t="e">
        <f t="shared" si="28"/>
        <v>#NUM!</v>
      </c>
      <c r="H43" s="10" t="e">
        <f t="shared" si="8"/>
        <v>#NUM!</v>
      </c>
      <c r="I43" s="10" t="e">
        <f t="shared" si="9"/>
        <v>#NUM!</v>
      </c>
      <c r="J43" s="10" t="e">
        <f t="shared" si="10"/>
        <v>#NUM!</v>
      </c>
      <c r="K43" s="10" t="e">
        <f t="shared" si="11"/>
        <v>#NUM!</v>
      </c>
      <c r="L43" s="10" t="e">
        <f t="shared" si="12"/>
        <v>#NUM!</v>
      </c>
      <c r="M43" s="10" t="e">
        <f t="shared" si="13"/>
        <v>#NUM!</v>
      </c>
      <c r="N43" s="10" t="e">
        <f t="shared" si="14"/>
        <v>#NUM!</v>
      </c>
      <c r="O43" s="11" t="e">
        <f>ROUND(( SUM(Table323158[[#This Row],[I1]:[I7]]))*1000000, 0)</f>
        <v>#NUM!</v>
      </c>
      <c r="P43" s="11"/>
      <c r="Q43" s="6" t="e">
        <f t="shared" si="15"/>
        <v>#NUM!</v>
      </c>
      <c r="R43" s="6" t="e">
        <f t="shared" si="16"/>
        <v>#NUM!</v>
      </c>
      <c r="S43" s="6" t="e">
        <f t="shared" si="17"/>
        <v>#NUM!</v>
      </c>
      <c r="T43" s="10" t="e">
        <f t="shared" si="18"/>
        <v>#NUM!</v>
      </c>
      <c r="U43" s="10" t="e">
        <f t="shared" si="19"/>
        <v>#NUM!</v>
      </c>
      <c r="V43" s="10" t="e">
        <f t="shared" si="20"/>
        <v>#NUM!</v>
      </c>
      <c r="W43" s="10" t="e">
        <f t="shared" si="21"/>
        <v>#NUM!</v>
      </c>
      <c r="X43" s="10" t="e">
        <f t="shared" si="22"/>
        <v>#NUM!</v>
      </c>
      <c r="Y43" s="10" t="e">
        <f t="shared" si="23"/>
        <v>#NUM!</v>
      </c>
      <c r="Z43" s="10" t="e">
        <f t="shared" si="24"/>
        <v>#NUM!</v>
      </c>
      <c r="AA43" s="11" t="e">
        <f>ROUND((SUM(Table323158[[#This Row],[II1]:[II7]]))*1000000, 0)</f>
        <v>#NUM!</v>
      </c>
      <c r="AB43" s="18" t="s">
        <v>20</v>
      </c>
      <c r="AC43" s="11"/>
      <c r="AD43" s="13" t="str">
        <f t="shared" si="29"/>
        <v/>
      </c>
      <c r="AE43"/>
      <c r="AG43" s="11"/>
      <c r="AH43" s="6">
        <v>23</v>
      </c>
      <c r="AI43" s="11" t="str">
        <f t="shared" si="26"/>
        <v/>
      </c>
      <c r="AL43" s="13" t="str">
        <f t="shared" si="27"/>
        <v/>
      </c>
    </row>
    <row r="44" spans="2:38" x14ac:dyDescent="0.35">
      <c r="B44" s="19">
        <v>24</v>
      </c>
      <c r="C44" s="20" t="s">
        <v>21</v>
      </c>
      <c r="D44" s="6" t="e">
        <f t="shared" si="5"/>
        <v>#NUM!</v>
      </c>
      <c r="E44" s="6" t="e">
        <f t="shared" si="6"/>
        <v>#NUM!</v>
      </c>
      <c r="F44" s="6" t="e">
        <f t="shared" si="7"/>
        <v>#NUM!</v>
      </c>
      <c r="G44" s="19" t="e">
        <f t="shared" si="28"/>
        <v>#NUM!</v>
      </c>
      <c r="H44" s="10" t="e">
        <f t="shared" si="8"/>
        <v>#NUM!</v>
      </c>
      <c r="I44" s="10" t="e">
        <f t="shared" si="9"/>
        <v>#NUM!</v>
      </c>
      <c r="J44" s="10" t="e">
        <f t="shared" si="10"/>
        <v>#NUM!</v>
      </c>
      <c r="K44" s="10" t="e">
        <f t="shared" si="11"/>
        <v>#NUM!</v>
      </c>
      <c r="L44" s="10" t="e">
        <f t="shared" si="12"/>
        <v>#NUM!</v>
      </c>
      <c r="M44" s="10" t="e">
        <f t="shared" si="13"/>
        <v>#NUM!</v>
      </c>
      <c r="N44" s="10" t="e">
        <f t="shared" si="14"/>
        <v>#NUM!</v>
      </c>
      <c r="O44" s="22" t="e">
        <f>ROUND(( SUM(Table323158[[#This Row],[I1]:[I7]]))*1000000, 0)</f>
        <v>#NUM!</v>
      </c>
      <c r="P44" s="22"/>
      <c r="Q44" s="19" t="e">
        <f t="shared" si="15"/>
        <v>#NUM!</v>
      </c>
      <c r="R44" s="19" t="e">
        <f t="shared" si="16"/>
        <v>#NUM!</v>
      </c>
      <c r="S44" s="19" t="e">
        <f t="shared" si="17"/>
        <v>#NUM!</v>
      </c>
      <c r="T44" s="21" t="e">
        <f t="shared" si="18"/>
        <v>#NUM!</v>
      </c>
      <c r="U44" s="10" t="e">
        <f t="shared" si="19"/>
        <v>#NUM!</v>
      </c>
      <c r="V44" s="21" t="e">
        <f t="shared" si="20"/>
        <v>#NUM!</v>
      </c>
      <c r="W44" s="21" t="e">
        <f t="shared" si="21"/>
        <v>#NUM!</v>
      </c>
      <c r="X44" s="21" t="e">
        <f t="shared" si="22"/>
        <v>#NUM!</v>
      </c>
      <c r="Y44" s="21" t="e">
        <f t="shared" si="23"/>
        <v>#NUM!</v>
      </c>
      <c r="Z44" s="21" t="e">
        <f t="shared" si="24"/>
        <v>#NUM!</v>
      </c>
      <c r="AA44" s="22" t="e">
        <f>ROUND((SUM(Table323158[[#This Row],[II1]:[II7]]))*1000000, 0)</f>
        <v>#NUM!</v>
      </c>
      <c r="AB44" s="23" t="s">
        <v>21</v>
      </c>
      <c r="AC44" s="11"/>
      <c r="AD44" s="13" t="str">
        <f t="shared" si="29"/>
        <v/>
      </c>
      <c r="AE44"/>
      <c r="AG44" s="11"/>
      <c r="AH44" s="6">
        <v>24</v>
      </c>
      <c r="AI44" s="11" t="str">
        <f t="shared" si="26"/>
        <v/>
      </c>
      <c r="AL44" s="13" t="str">
        <f t="shared" si="27"/>
        <v/>
      </c>
    </row>
    <row r="45" spans="2:38" ht="15" customHeight="1" x14ac:dyDescent="0.35">
      <c r="B45" s="6">
        <v>25</v>
      </c>
      <c r="C45" s="2" t="s">
        <v>20</v>
      </c>
      <c r="D45" s="6" t="e">
        <f t="shared" si="5"/>
        <v>#NUM!</v>
      </c>
      <c r="E45" s="6" t="e">
        <f t="shared" si="6"/>
        <v>#NUM!</v>
      </c>
      <c r="F45" s="6" t="e">
        <f t="shared" si="7"/>
        <v>#NUM!</v>
      </c>
      <c r="G45" s="6" t="e">
        <f t="shared" si="28"/>
        <v>#NUM!</v>
      </c>
      <c r="H45" s="10" t="e">
        <f t="shared" si="8"/>
        <v>#NUM!</v>
      </c>
      <c r="I45" s="10" t="e">
        <f t="shared" si="9"/>
        <v>#NUM!</v>
      </c>
      <c r="J45" s="10" t="e">
        <f t="shared" si="10"/>
        <v>#NUM!</v>
      </c>
      <c r="K45" s="10" t="e">
        <f t="shared" si="11"/>
        <v>#NUM!</v>
      </c>
      <c r="L45" s="10" t="e">
        <f t="shared" si="12"/>
        <v>#NUM!</v>
      </c>
      <c r="M45" s="10" t="e">
        <f t="shared" si="13"/>
        <v>#NUM!</v>
      </c>
      <c r="N45" s="10" t="e">
        <f t="shared" si="14"/>
        <v>#NUM!</v>
      </c>
      <c r="O45" s="11" t="e">
        <f>ROUND(( SUM(Table323158[[#This Row],[I1]:[I7]]))*1000000, 0)</f>
        <v>#NUM!</v>
      </c>
      <c r="P45" s="11"/>
      <c r="Q45" s="6" t="e">
        <f t="shared" si="15"/>
        <v>#NUM!</v>
      </c>
      <c r="R45" s="6" t="e">
        <f t="shared" si="16"/>
        <v>#NUM!</v>
      </c>
      <c r="S45" s="6" t="e">
        <f t="shared" si="17"/>
        <v>#NUM!</v>
      </c>
      <c r="T45" s="10" t="e">
        <f t="shared" si="18"/>
        <v>#NUM!</v>
      </c>
      <c r="U45" s="10" t="e">
        <f t="shared" si="19"/>
        <v>#NUM!</v>
      </c>
      <c r="V45" s="10" t="e">
        <f t="shared" si="20"/>
        <v>#NUM!</v>
      </c>
      <c r="W45" s="10" t="e">
        <f t="shared" si="21"/>
        <v>#NUM!</v>
      </c>
      <c r="X45" s="10" t="e">
        <f t="shared" si="22"/>
        <v>#NUM!</v>
      </c>
      <c r="Y45" s="10" t="e">
        <f t="shared" si="23"/>
        <v>#NUM!</v>
      </c>
      <c r="Z45" s="10" t="e">
        <f t="shared" si="24"/>
        <v>#NUM!</v>
      </c>
      <c r="AA45" s="11" t="e">
        <f>ROUND((SUM(Table323158[[#This Row],[II1]:[II7]]))*1000000, 0)</f>
        <v>#NUM!</v>
      </c>
      <c r="AB45" s="18" t="s">
        <v>20</v>
      </c>
      <c r="AC45" s="11"/>
      <c r="AD45" s="13" t="str">
        <f t="shared" si="29"/>
        <v/>
      </c>
      <c r="AE45"/>
      <c r="AG45" s="11"/>
      <c r="AH45" s="6">
        <v>25</v>
      </c>
      <c r="AI45" s="11" t="str">
        <f t="shared" si="26"/>
        <v/>
      </c>
      <c r="AL45" s="13" t="str">
        <f t="shared" si="27"/>
        <v/>
      </c>
    </row>
    <row r="46" spans="2:38" ht="15" customHeight="1" x14ac:dyDescent="0.35">
      <c r="B46" s="6">
        <v>26</v>
      </c>
      <c r="C46" s="2" t="s">
        <v>20</v>
      </c>
      <c r="D46" s="6" t="e">
        <f t="shared" si="5"/>
        <v>#NUM!</v>
      </c>
      <c r="E46" s="6" t="e">
        <f t="shared" si="6"/>
        <v>#NUM!</v>
      </c>
      <c r="F46" s="6" t="e">
        <f t="shared" si="7"/>
        <v>#NUM!</v>
      </c>
      <c r="G46" s="6" t="e">
        <f t="shared" si="28"/>
        <v>#NUM!</v>
      </c>
      <c r="H46" s="10" t="e">
        <f t="shared" si="8"/>
        <v>#NUM!</v>
      </c>
      <c r="I46" s="10" t="e">
        <f t="shared" si="9"/>
        <v>#NUM!</v>
      </c>
      <c r="J46" s="10" t="e">
        <f t="shared" si="10"/>
        <v>#NUM!</v>
      </c>
      <c r="K46" s="10" t="e">
        <f t="shared" si="11"/>
        <v>#NUM!</v>
      </c>
      <c r="L46" s="10" t="e">
        <f t="shared" si="12"/>
        <v>#NUM!</v>
      </c>
      <c r="M46" s="10" t="e">
        <f t="shared" si="13"/>
        <v>#NUM!</v>
      </c>
      <c r="N46" s="10" t="e">
        <f t="shared" si="14"/>
        <v>#NUM!</v>
      </c>
      <c r="O46" s="11" t="e">
        <f>ROUND(( SUM(Table323158[[#This Row],[I1]:[I7]]))*1000000, 0)</f>
        <v>#NUM!</v>
      </c>
      <c r="P46" s="11"/>
      <c r="Q46" s="6" t="e">
        <f t="shared" si="15"/>
        <v>#NUM!</v>
      </c>
      <c r="R46" s="6" t="e">
        <f t="shared" si="16"/>
        <v>#NUM!</v>
      </c>
      <c r="S46" s="6" t="e">
        <f t="shared" si="17"/>
        <v>#NUM!</v>
      </c>
      <c r="T46" s="10" t="e">
        <f t="shared" si="18"/>
        <v>#NUM!</v>
      </c>
      <c r="U46" s="10" t="e">
        <f t="shared" si="19"/>
        <v>#NUM!</v>
      </c>
      <c r="V46" s="10" t="e">
        <f t="shared" si="20"/>
        <v>#NUM!</v>
      </c>
      <c r="W46" s="10" t="e">
        <f t="shared" si="21"/>
        <v>#NUM!</v>
      </c>
      <c r="X46" s="10" t="e">
        <f t="shared" si="22"/>
        <v>#NUM!</v>
      </c>
      <c r="Y46" s="10" t="e">
        <f t="shared" si="23"/>
        <v>#NUM!</v>
      </c>
      <c r="Z46" s="10" t="e">
        <f t="shared" si="24"/>
        <v>#NUM!</v>
      </c>
      <c r="AA46" s="11" t="e">
        <f>ROUND((SUM(Table323158[[#This Row],[II1]:[II7]]))*1000000, 0)</f>
        <v>#NUM!</v>
      </c>
      <c r="AB46" s="18" t="s">
        <v>20</v>
      </c>
      <c r="AC46" s="11"/>
      <c r="AD46" s="13" t="str">
        <f t="shared" si="29"/>
        <v/>
      </c>
      <c r="AE46"/>
      <c r="AG46" s="11"/>
      <c r="AH46" s="6">
        <v>26</v>
      </c>
      <c r="AI46" s="11" t="str">
        <f t="shared" si="26"/>
        <v/>
      </c>
      <c r="AL46" s="13" t="str">
        <f t="shared" si="27"/>
        <v/>
      </c>
    </row>
    <row r="47" spans="2:38" ht="15" customHeight="1" x14ac:dyDescent="0.35">
      <c r="B47" s="6">
        <v>27</v>
      </c>
      <c r="C47" s="2" t="s">
        <v>20</v>
      </c>
      <c r="D47" s="6" t="e">
        <f t="shared" si="5"/>
        <v>#NUM!</v>
      </c>
      <c r="E47" s="6" t="e">
        <f t="shared" si="6"/>
        <v>#NUM!</v>
      </c>
      <c r="F47" s="6" t="e">
        <f t="shared" si="7"/>
        <v>#NUM!</v>
      </c>
      <c r="G47" s="6" t="e">
        <f t="shared" si="28"/>
        <v>#NUM!</v>
      </c>
      <c r="H47" s="10" t="e">
        <f t="shared" si="8"/>
        <v>#NUM!</v>
      </c>
      <c r="I47" s="10" t="e">
        <f t="shared" si="9"/>
        <v>#NUM!</v>
      </c>
      <c r="J47" s="10" t="e">
        <f t="shared" si="10"/>
        <v>#NUM!</v>
      </c>
      <c r="K47" s="10" t="e">
        <f t="shared" si="11"/>
        <v>#NUM!</v>
      </c>
      <c r="L47" s="10" t="e">
        <f t="shared" si="12"/>
        <v>#NUM!</v>
      </c>
      <c r="M47" s="10" t="e">
        <f t="shared" si="13"/>
        <v>#NUM!</v>
      </c>
      <c r="N47" s="10" t="e">
        <f t="shared" si="14"/>
        <v>#NUM!</v>
      </c>
      <c r="O47" s="11" t="e">
        <f>ROUND(( SUM(Table323158[[#This Row],[I1]:[I7]]))*1000000, 0)</f>
        <v>#NUM!</v>
      </c>
      <c r="P47" s="11"/>
      <c r="Q47" s="6" t="e">
        <f t="shared" si="15"/>
        <v>#NUM!</v>
      </c>
      <c r="R47" s="6" t="e">
        <f t="shared" si="16"/>
        <v>#NUM!</v>
      </c>
      <c r="S47" s="6" t="e">
        <f t="shared" si="17"/>
        <v>#NUM!</v>
      </c>
      <c r="T47" s="10" t="e">
        <f t="shared" si="18"/>
        <v>#NUM!</v>
      </c>
      <c r="U47" s="10" t="e">
        <f t="shared" si="19"/>
        <v>#NUM!</v>
      </c>
      <c r="V47" s="10" t="e">
        <f t="shared" si="20"/>
        <v>#NUM!</v>
      </c>
      <c r="W47" s="10" t="e">
        <f t="shared" si="21"/>
        <v>#NUM!</v>
      </c>
      <c r="X47" s="10" t="e">
        <f t="shared" si="22"/>
        <v>#NUM!</v>
      </c>
      <c r="Y47" s="10" t="e">
        <f t="shared" si="23"/>
        <v>#NUM!</v>
      </c>
      <c r="Z47" s="10" t="e">
        <f t="shared" si="24"/>
        <v>#NUM!</v>
      </c>
      <c r="AA47" s="11" t="e">
        <f>ROUND((SUM(Table323158[[#This Row],[II1]:[II7]]))*1000000, 0)</f>
        <v>#NUM!</v>
      </c>
      <c r="AB47" s="18" t="s">
        <v>20</v>
      </c>
      <c r="AC47" s="11"/>
      <c r="AD47" s="13" t="str">
        <f t="shared" si="29"/>
        <v/>
      </c>
      <c r="AE47"/>
      <c r="AG47" s="11"/>
      <c r="AH47" s="6">
        <v>27</v>
      </c>
      <c r="AI47" s="11" t="str">
        <f t="shared" si="26"/>
        <v/>
      </c>
      <c r="AL47" s="13" t="str">
        <f t="shared" si="27"/>
        <v/>
      </c>
    </row>
    <row r="48" spans="2:38" x14ac:dyDescent="0.35">
      <c r="B48" s="19">
        <v>28</v>
      </c>
      <c r="C48" s="20" t="s">
        <v>21</v>
      </c>
      <c r="D48" s="6" t="e">
        <f t="shared" si="5"/>
        <v>#NUM!</v>
      </c>
      <c r="E48" s="6" t="e">
        <f t="shared" si="6"/>
        <v>#NUM!</v>
      </c>
      <c r="F48" s="6" t="e">
        <f t="shared" si="7"/>
        <v>#NUM!</v>
      </c>
      <c r="G48" s="19" t="e">
        <f t="shared" si="28"/>
        <v>#NUM!</v>
      </c>
      <c r="H48" s="10" t="e">
        <f t="shared" si="8"/>
        <v>#NUM!</v>
      </c>
      <c r="I48" s="10" t="e">
        <f t="shared" si="9"/>
        <v>#NUM!</v>
      </c>
      <c r="J48" s="10" t="e">
        <f t="shared" si="10"/>
        <v>#NUM!</v>
      </c>
      <c r="K48" s="10" t="e">
        <f t="shared" si="11"/>
        <v>#NUM!</v>
      </c>
      <c r="L48" s="10" t="e">
        <f t="shared" si="12"/>
        <v>#NUM!</v>
      </c>
      <c r="M48" s="10" t="e">
        <f t="shared" si="13"/>
        <v>#NUM!</v>
      </c>
      <c r="N48" s="10" t="e">
        <f t="shared" si="14"/>
        <v>#NUM!</v>
      </c>
      <c r="O48" s="22" t="e">
        <f>ROUND(( SUM(Table323158[[#This Row],[I1]:[I7]]))*1000000, 0)</f>
        <v>#NUM!</v>
      </c>
      <c r="P48" s="22"/>
      <c r="Q48" s="19" t="e">
        <f t="shared" si="15"/>
        <v>#NUM!</v>
      </c>
      <c r="R48" s="19" t="e">
        <f t="shared" si="16"/>
        <v>#NUM!</v>
      </c>
      <c r="S48" s="19" t="e">
        <f t="shared" si="17"/>
        <v>#NUM!</v>
      </c>
      <c r="T48" s="21" t="e">
        <f t="shared" si="18"/>
        <v>#NUM!</v>
      </c>
      <c r="U48" s="10" t="e">
        <f t="shared" si="19"/>
        <v>#NUM!</v>
      </c>
      <c r="V48" s="21" t="e">
        <f t="shared" si="20"/>
        <v>#NUM!</v>
      </c>
      <c r="W48" s="21" t="e">
        <f t="shared" si="21"/>
        <v>#NUM!</v>
      </c>
      <c r="X48" s="21" t="e">
        <f t="shared" si="22"/>
        <v>#NUM!</v>
      </c>
      <c r="Y48" s="21" t="e">
        <f t="shared" si="23"/>
        <v>#NUM!</v>
      </c>
      <c r="Z48" s="21" t="e">
        <f t="shared" si="24"/>
        <v>#NUM!</v>
      </c>
      <c r="AA48" s="22" t="e">
        <f>ROUND((SUM(Table323158[[#This Row],[II1]:[II7]]))*1000000, 0)</f>
        <v>#NUM!</v>
      </c>
      <c r="AB48" s="23" t="s">
        <v>21</v>
      </c>
      <c r="AC48" s="11"/>
      <c r="AD48" s="13" t="str">
        <f t="shared" si="29"/>
        <v/>
      </c>
      <c r="AE48"/>
      <c r="AG48" s="11"/>
      <c r="AH48" s="6">
        <v>28</v>
      </c>
      <c r="AI48" s="11" t="str">
        <f t="shared" si="26"/>
        <v/>
      </c>
      <c r="AL48" s="13" t="str">
        <f t="shared" si="27"/>
        <v/>
      </c>
    </row>
    <row r="49" spans="2:38" ht="15" customHeight="1" x14ac:dyDescent="0.35">
      <c r="B49" s="6">
        <v>29</v>
      </c>
      <c r="C49" s="2" t="s">
        <v>20</v>
      </c>
      <c r="D49" s="6" t="e">
        <f t="shared" si="5"/>
        <v>#NUM!</v>
      </c>
      <c r="E49" s="6" t="e">
        <f t="shared" si="6"/>
        <v>#NUM!</v>
      </c>
      <c r="F49" s="6" t="e">
        <f t="shared" si="7"/>
        <v>#NUM!</v>
      </c>
      <c r="G49" s="6" t="e">
        <f t="shared" si="28"/>
        <v>#NUM!</v>
      </c>
      <c r="H49" s="10" t="e">
        <f t="shared" si="8"/>
        <v>#NUM!</v>
      </c>
      <c r="I49" s="10" t="e">
        <f t="shared" si="9"/>
        <v>#NUM!</v>
      </c>
      <c r="J49" s="10" t="e">
        <f t="shared" si="10"/>
        <v>#NUM!</v>
      </c>
      <c r="K49" s="10" t="e">
        <f t="shared" si="11"/>
        <v>#NUM!</v>
      </c>
      <c r="L49" s="10" t="e">
        <f t="shared" si="12"/>
        <v>#NUM!</v>
      </c>
      <c r="M49" s="10" t="e">
        <f t="shared" si="13"/>
        <v>#NUM!</v>
      </c>
      <c r="N49" s="10" t="e">
        <f t="shared" si="14"/>
        <v>#NUM!</v>
      </c>
      <c r="O49" s="11" t="e">
        <f>ROUND(( SUM(Table323158[[#This Row],[I1]:[I7]]))*1000000, 0)</f>
        <v>#NUM!</v>
      </c>
      <c r="P49" s="11"/>
      <c r="Q49" s="6" t="e">
        <f t="shared" si="15"/>
        <v>#NUM!</v>
      </c>
      <c r="R49" s="6" t="e">
        <f t="shared" si="16"/>
        <v>#NUM!</v>
      </c>
      <c r="S49" s="6" t="e">
        <f t="shared" si="17"/>
        <v>#NUM!</v>
      </c>
      <c r="T49" s="10" t="e">
        <f t="shared" si="18"/>
        <v>#NUM!</v>
      </c>
      <c r="U49" s="10" t="e">
        <f t="shared" si="19"/>
        <v>#NUM!</v>
      </c>
      <c r="V49" s="10" t="e">
        <f t="shared" si="20"/>
        <v>#NUM!</v>
      </c>
      <c r="W49" s="10" t="e">
        <f t="shared" si="21"/>
        <v>#NUM!</v>
      </c>
      <c r="X49" s="10" t="e">
        <f t="shared" si="22"/>
        <v>#NUM!</v>
      </c>
      <c r="Y49" s="10" t="e">
        <f t="shared" si="23"/>
        <v>#NUM!</v>
      </c>
      <c r="Z49" s="10" t="e">
        <f t="shared" si="24"/>
        <v>#NUM!</v>
      </c>
      <c r="AA49" s="11" t="e">
        <f>ROUND((SUM(Table323158[[#This Row],[II1]:[II7]]))*1000000, 0)</f>
        <v>#NUM!</v>
      </c>
      <c r="AB49" s="18" t="s">
        <v>20</v>
      </c>
      <c r="AC49" s="11"/>
      <c r="AD49" s="13" t="str">
        <f t="shared" si="29"/>
        <v/>
      </c>
      <c r="AE49"/>
      <c r="AG49" s="11"/>
      <c r="AH49" s="6">
        <v>29</v>
      </c>
      <c r="AI49" s="11" t="str">
        <f t="shared" si="26"/>
        <v/>
      </c>
      <c r="AL49" s="13" t="str">
        <f t="shared" si="27"/>
        <v/>
      </c>
    </row>
    <row r="50" spans="2:38" ht="15" customHeight="1" x14ac:dyDescent="0.35">
      <c r="B50" s="6">
        <v>30</v>
      </c>
      <c r="C50" s="2" t="s">
        <v>20</v>
      </c>
      <c r="D50" s="6" t="e">
        <f t="shared" si="5"/>
        <v>#NUM!</v>
      </c>
      <c r="E50" s="6" t="e">
        <f t="shared" si="6"/>
        <v>#NUM!</v>
      </c>
      <c r="F50" s="6" t="e">
        <f t="shared" si="7"/>
        <v>#NUM!</v>
      </c>
      <c r="G50" s="6" t="e">
        <f t="shared" si="28"/>
        <v>#NUM!</v>
      </c>
      <c r="H50" s="10" t="e">
        <f t="shared" si="8"/>
        <v>#NUM!</v>
      </c>
      <c r="I50" s="10" t="e">
        <f t="shared" si="9"/>
        <v>#NUM!</v>
      </c>
      <c r="J50" s="10" t="e">
        <f t="shared" si="10"/>
        <v>#NUM!</v>
      </c>
      <c r="K50" s="10" t="e">
        <f t="shared" si="11"/>
        <v>#NUM!</v>
      </c>
      <c r="L50" s="10" t="e">
        <f t="shared" si="12"/>
        <v>#NUM!</v>
      </c>
      <c r="M50" s="10" t="e">
        <f t="shared" si="13"/>
        <v>#NUM!</v>
      </c>
      <c r="N50" s="10" t="e">
        <f t="shared" si="14"/>
        <v>#NUM!</v>
      </c>
      <c r="O50" s="11" t="e">
        <f>ROUND(( SUM(Table323158[[#This Row],[I1]:[I7]]))*1000000, 0)</f>
        <v>#NUM!</v>
      </c>
      <c r="P50" s="11"/>
      <c r="Q50" s="6" t="e">
        <f t="shared" si="15"/>
        <v>#NUM!</v>
      </c>
      <c r="R50" s="6" t="e">
        <f t="shared" si="16"/>
        <v>#NUM!</v>
      </c>
      <c r="S50" s="6" t="e">
        <f t="shared" si="17"/>
        <v>#NUM!</v>
      </c>
      <c r="T50" s="10" t="e">
        <f t="shared" si="18"/>
        <v>#NUM!</v>
      </c>
      <c r="U50" s="10" t="e">
        <f t="shared" si="19"/>
        <v>#NUM!</v>
      </c>
      <c r="V50" s="10" t="e">
        <f t="shared" si="20"/>
        <v>#NUM!</v>
      </c>
      <c r="W50" s="10" t="e">
        <f t="shared" si="21"/>
        <v>#NUM!</v>
      </c>
      <c r="X50" s="10" t="e">
        <f t="shared" si="22"/>
        <v>#NUM!</v>
      </c>
      <c r="Y50" s="10" t="e">
        <f t="shared" si="23"/>
        <v>#NUM!</v>
      </c>
      <c r="Z50" s="10" t="e">
        <f t="shared" si="24"/>
        <v>#NUM!</v>
      </c>
      <c r="AA50" s="11" t="e">
        <f>ROUND((SUM(Table323158[[#This Row],[II1]:[II7]]))*1000000, 0)</f>
        <v>#NUM!</v>
      </c>
      <c r="AB50" s="18" t="s">
        <v>20</v>
      </c>
      <c r="AC50" s="11"/>
      <c r="AD50" s="13" t="str">
        <f t="shared" si="29"/>
        <v/>
      </c>
      <c r="AE50"/>
      <c r="AG50" s="11"/>
      <c r="AH50" s="6">
        <v>30</v>
      </c>
      <c r="AI50" s="11" t="str">
        <f t="shared" si="26"/>
        <v/>
      </c>
      <c r="AL50" s="13" t="str">
        <f t="shared" si="27"/>
        <v/>
      </c>
    </row>
    <row r="51" spans="2:38" x14ac:dyDescent="0.35">
      <c r="B51" s="6">
        <v>31</v>
      </c>
      <c r="C51" s="2" t="s">
        <v>20</v>
      </c>
      <c r="D51" s="6" t="e">
        <f t="shared" si="5"/>
        <v>#NUM!</v>
      </c>
      <c r="E51" s="6" t="e">
        <f t="shared" si="6"/>
        <v>#NUM!</v>
      </c>
      <c r="F51" s="6" t="e">
        <f t="shared" si="7"/>
        <v>#NUM!</v>
      </c>
      <c r="G51" s="6" t="e">
        <f t="shared" si="28"/>
        <v>#NUM!</v>
      </c>
      <c r="H51" s="10" t="e">
        <f t="shared" si="8"/>
        <v>#NUM!</v>
      </c>
      <c r="I51" s="10" t="e">
        <f t="shared" si="9"/>
        <v>#NUM!</v>
      </c>
      <c r="J51" s="10" t="e">
        <f t="shared" si="10"/>
        <v>#NUM!</v>
      </c>
      <c r="K51" s="10" t="e">
        <f t="shared" si="11"/>
        <v>#NUM!</v>
      </c>
      <c r="L51" s="10" t="e">
        <f t="shared" si="12"/>
        <v>#NUM!</v>
      </c>
      <c r="M51" s="10" t="e">
        <f t="shared" si="13"/>
        <v>#NUM!</v>
      </c>
      <c r="N51" s="10" t="e">
        <f t="shared" si="14"/>
        <v>#NUM!</v>
      </c>
      <c r="O51" s="11" t="e">
        <f>ROUND(( SUM(Table323158[[#This Row],[I1]:[I7]]))*1000000, 0)</f>
        <v>#NUM!</v>
      </c>
      <c r="P51" s="11"/>
      <c r="Q51" s="6" t="e">
        <f t="shared" si="15"/>
        <v>#NUM!</v>
      </c>
      <c r="R51" s="6" t="e">
        <f t="shared" si="16"/>
        <v>#NUM!</v>
      </c>
      <c r="S51" s="6" t="e">
        <f t="shared" si="17"/>
        <v>#NUM!</v>
      </c>
      <c r="T51" s="10" t="e">
        <f t="shared" si="18"/>
        <v>#NUM!</v>
      </c>
      <c r="U51" s="10" t="e">
        <f t="shared" si="19"/>
        <v>#NUM!</v>
      </c>
      <c r="V51" s="10" t="e">
        <f t="shared" si="20"/>
        <v>#NUM!</v>
      </c>
      <c r="W51" s="10" t="e">
        <f t="shared" si="21"/>
        <v>#NUM!</v>
      </c>
      <c r="X51" s="10" t="e">
        <f t="shared" si="22"/>
        <v>#NUM!</v>
      </c>
      <c r="Y51" s="10" t="e">
        <f t="shared" si="23"/>
        <v>#NUM!</v>
      </c>
      <c r="Z51" s="10" t="e">
        <f t="shared" si="24"/>
        <v>#NUM!</v>
      </c>
      <c r="AA51" s="11" t="e">
        <f>ROUND((SUM(Table323158[[#This Row],[II1]:[II7]]))*1000000, 0)</f>
        <v>#NUM!</v>
      </c>
      <c r="AB51" s="18" t="s">
        <v>20</v>
      </c>
      <c r="AC51" s="11"/>
      <c r="AD51" s="13" t="str">
        <f t="shared" si="29"/>
        <v/>
      </c>
      <c r="AE51"/>
      <c r="AG51" s="11"/>
      <c r="AH51" s="6">
        <v>31</v>
      </c>
      <c r="AI51" s="11" t="str">
        <f t="shared" si="26"/>
        <v/>
      </c>
      <c r="AL51" s="13" t="str">
        <f t="shared" si="27"/>
        <v/>
      </c>
    </row>
    <row r="52" spans="2:38" x14ac:dyDescent="0.35">
      <c r="B52" s="6">
        <v>32</v>
      </c>
      <c r="C52" s="2" t="s">
        <v>38</v>
      </c>
      <c r="D52" s="6" t="e">
        <f t="shared" si="5"/>
        <v>#NUM!</v>
      </c>
      <c r="E52" s="6" t="e">
        <f t="shared" si="6"/>
        <v>#NUM!</v>
      </c>
      <c r="F52" s="6" t="e">
        <f t="shared" si="7"/>
        <v>#NUM!</v>
      </c>
      <c r="G52" s="6" t="e">
        <f t="shared" si="28"/>
        <v>#NUM!</v>
      </c>
      <c r="H52" s="10" t="e">
        <f t="shared" si="8"/>
        <v>#NUM!</v>
      </c>
      <c r="I52" s="10" t="e">
        <f t="shared" si="9"/>
        <v>#NUM!</v>
      </c>
      <c r="J52" s="10" t="e">
        <f t="shared" si="10"/>
        <v>#NUM!</v>
      </c>
      <c r="K52" s="10" t="e">
        <f t="shared" si="11"/>
        <v>#NUM!</v>
      </c>
      <c r="L52" s="10" t="e">
        <f t="shared" si="12"/>
        <v>#NUM!</v>
      </c>
      <c r="M52" s="10" t="e">
        <f t="shared" si="13"/>
        <v>#NUM!</v>
      </c>
      <c r="N52" s="10" t="e">
        <f t="shared" si="14"/>
        <v>#NUM!</v>
      </c>
      <c r="O52" s="11" t="e">
        <f>ROUND(( SUM(Table323158[[#This Row],[I1]:[I7]]))*1000000, 0)</f>
        <v>#NUM!</v>
      </c>
      <c r="P52" s="11"/>
      <c r="Q52" s="6" t="e">
        <f t="shared" ref="Q52:Q83" si="30">LEFT(RIGHT(DEC2BIN($B52,3),3),1)</f>
        <v>#NUM!</v>
      </c>
      <c r="R52" s="6" t="e">
        <f t="shared" ref="R52:R83" si="31">LEFT(RIGHT(DEC2BIN($B52,3),2),1)</f>
        <v>#NUM!</v>
      </c>
      <c r="S52" s="6" t="e">
        <f t="shared" ref="S52:S83" si="32">LEFT(RIGHT(DEC2BIN($B52,3),1),1)</f>
        <v>#NUM!</v>
      </c>
      <c r="T52" s="10" t="e">
        <f t="shared" ref="T52:T83" si="33">(($Q52*$D$14)+($R52*$D$15)+($S52*$D$16))</f>
        <v>#NUM!</v>
      </c>
      <c r="U52" s="10" t="e">
        <f t="shared" ref="U52:U83" si="34">(($Q52*$E$14)+($R52*$E$15)+($S52*$E$16))</f>
        <v>#NUM!</v>
      </c>
      <c r="V52" s="10" t="e">
        <f t="shared" ref="V52:V83" si="35">(($Q52*$F$14)+($R52*$F$15)+($S52*$F$16))</f>
        <v>#NUM!</v>
      </c>
      <c r="W52" s="10" t="e">
        <f t="shared" ref="W52:W83" si="36">(($Q52*$G$14)+($R52*$G$15)+($S52*$G$16))</f>
        <v>#NUM!</v>
      </c>
      <c r="X52" s="10" t="e">
        <f t="shared" ref="X52:X83" si="37">(($Q52*$H$14)+($R52*$H$15)+($S52*$H$16))</f>
        <v>#NUM!</v>
      </c>
      <c r="Y52" s="10" t="e">
        <f t="shared" ref="Y52:Y83" si="38">(($Q52*$I$14)+($R52*$I$15)+($S52*$I$16))</f>
        <v>#NUM!</v>
      </c>
      <c r="Z52" s="10" t="e">
        <f t="shared" ref="Z52:Z83" si="39">(($Q52*$J$14)+($R52*$J$15)+($S52*$J$16))</f>
        <v>#NUM!</v>
      </c>
      <c r="AA52" s="11" t="e">
        <f>ROUND((SUM(Table323158[[#This Row],[II1]:[II7]]))*1000000, 0)</f>
        <v>#NUM!</v>
      </c>
      <c r="AB52" s="18" t="s">
        <v>22</v>
      </c>
      <c r="AC52" s="11"/>
      <c r="AD52" s="13" t="str">
        <f t="shared" si="29"/>
        <v/>
      </c>
      <c r="AE52"/>
      <c r="AG52" s="11"/>
      <c r="AH52" s="6">
        <v>32</v>
      </c>
      <c r="AI52" s="11" t="str">
        <f t="shared" ref="AI52:AI82" si="40">IF(ISBLANK(AF53),"",AF53-AF52)</f>
        <v/>
      </c>
      <c r="AL52" s="13" t="str">
        <f t="shared" ref="AL52:AL83" si="41">IF(OR(ISBLANK(AK52), AK52 = ""),"",COUNTIF($AI$20:$AI$83,AK52))</f>
        <v/>
      </c>
    </row>
    <row r="53" spans="2:38" x14ac:dyDescent="0.35">
      <c r="B53" s="6">
        <v>33</v>
      </c>
      <c r="C53" s="2" t="s">
        <v>22</v>
      </c>
      <c r="D53" s="6" t="e">
        <f t="shared" si="5"/>
        <v>#NUM!</v>
      </c>
      <c r="E53" s="6" t="e">
        <f t="shared" si="6"/>
        <v>#NUM!</v>
      </c>
      <c r="F53" s="6" t="e">
        <f t="shared" si="7"/>
        <v>#NUM!</v>
      </c>
      <c r="G53" s="6" t="e">
        <f t="shared" si="28"/>
        <v>#NUM!</v>
      </c>
      <c r="H53" s="10" t="e">
        <f t="shared" si="8"/>
        <v>#NUM!</v>
      </c>
      <c r="I53" s="10" t="e">
        <f t="shared" si="9"/>
        <v>#NUM!</v>
      </c>
      <c r="J53" s="10" t="e">
        <f t="shared" si="10"/>
        <v>#NUM!</v>
      </c>
      <c r="K53" s="10" t="e">
        <f t="shared" si="11"/>
        <v>#NUM!</v>
      </c>
      <c r="L53" s="10" t="e">
        <f t="shared" si="12"/>
        <v>#NUM!</v>
      </c>
      <c r="M53" s="10" t="e">
        <f t="shared" si="13"/>
        <v>#NUM!</v>
      </c>
      <c r="N53" s="10" t="e">
        <f t="shared" si="14"/>
        <v>#NUM!</v>
      </c>
      <c r="O53" s="11" t="e">
        <f>ROUND(( SUM(Table323158[[#This Row],[I1]:[I7]]))*1000000, 0)</f>
        <v>#NUM!</v>
      </c>
      <c r="P53" s="11"/>
      <c r="Q53" s="6" t="e">
        <f t="shared" si="30"/>
        <v>#NUM!</v>
      </c>
      <c r="R53" s="6" t="e">
        <f t="shared" si="31"/>
        <v>#NUM!</v>
      </c>
      <c r="S53" s="6" t="e">
        <f t="shared" si="32"/>
        <v>#NUM!</v>
      </c>
      <c r="T53" s="10" t="e">
        <f t="shared" si="33"/>
        <v>#NUM!</v>
      </c>
      <c r="U53" s="10" t="e">
        <f t="shared" si="34"/>
        <v>#NUM!</v>
      </c>
      <c r="V53" s="10" t="e">
        <f t="shared" si="35"/>
        <v>#NUM!</v>
      </c>
      <c r="W53" s="10" t="e">
        <f t="shared" si="36"/>
        <v>#NUM!</v>
      </c>
      <c r="X53" s="10" t="e">
        <f t="shared" si="37"/>
        <v>#NUM!</v>
      </c>
      <c r="Y53" s="10" t="e">
        <f t="shared" si="38"/>
        <v>#NUM!</v>
      </c>
      <c r="Z53" s="10" t="e">
        <f t="shared" si="39"/>
        <v>#NUM!</v>
      </c>
      <c r="AA53" s="11" t="e">
        <f>ROUND((SUM(Table323158[[#This Row],[II1]:[II7]]))*1000000, 0)</f>
        <v>#NUM!</v>
      </c>
      <c r="AB53" s="18" t="s">
        <v>22</v>
      </c>
      <c r="AC53" s="11"/>
      <c r="AD53" s="13" t="str">
        <f t="shared" si="29"/>
        <v/>
      </c>
      <c r="AE53"/>
      <c r="AG53" s="11"/>
      <c r="AH53" s="6">
        <v>33</v>
      </c>
      <c r="AI53" s="11" t="str">
        <f t="shared" si="40"/>
        <v/>
      </c>
      <c r="AL53" s="13" t="str">
        <f t="shared" si="41"/>
        <v/>
      </c>
    </row>
    <row r="54" spans="2:38" x14ac:dyDescent="0.35">
      <c r="B54" s="6">
        <v>34</v>
      </c>
      <c r="C54" s="2" t="s">
        <v>22</v>
      </c>
      <c r="D54" s="6" t="e">
        <f t="shared" si="5"/>
        <v>#NUM!</v>
      </c>
      <c r="E54" s="6" t="e">
        <f t="shared" si="6"/>
        <v>#NUM!</v>
      </c>
      <c r="F54" s="6" t="e">
        <f t="shared" si="7"/>
        <v>#NUM!</v>
      </c>
      <c r="G54" s="6" t="e">
        <f t="shared" si="28"/>
        <v>#NUM!</v>
      </c>
      <c r="H54" s="10" t="e">
        <f t="shared" si="8"/>
        <v>#NUM!</v>
      </c>
      <c r="I54" s="10" t="e">
        <f t="shared" si="9"/>
        <v>#NUM!</v>
      </c>
      <c r="J54" s="10" t="e">
        <f t="shared" si="10"/>
        <v>#NUM!</v>
      </c>
      <c r="K54" s="10" t="e">
        <f t="shared" si="11"/>
        <v>#NUM!</v>
      </c>
      <c r="L54" s="10" t="e">
        <f t="shared" si="12"/>
        <v>#NUM!</v>
      </c>
      <c r="M54" s="10" t="e">
        <f t="shared" si="13"/>
        <v>#NUM!</v>
      </c>
      <c r="N54" s="10" t="e">
        <f t="shared" si="14"/>
        <v>#NUM!</v>
      </c>
      <c r="O54" s="11" t="e">
        <f>ROUND(( SUM(Table323158[[#This Row],[I1]:[I7]]))*1000000, 0)</f>
        <v>#NUM!</v>
      </c>
      <c r="P54" s="11"/>
      <c r="Q54" s="6" t="e">
        <f t="shared" si="30"/>
        <v>#NUM!</v>
      </c>
      <c r="R54" s="6" t="e">
        <f t="shared" si="31"/>
        <v>#NUM!</v>
      </c>
      <c r="S54" s="6" t="e">
        <f t="shared" si="32"/>
        <v>#NUM!</v>
      </c>
      <c r="T54" s="10" t="e">
        <f t="shared" si="33"/>
        <v>#NUM!</v>
      </c>
      <c r="U54" s="10" t="e">
        <f t="shared" si="34"/>
        <v>#NUM!</v>
      </c>
      <c r="V54" s="10" t="e">
        <f t="shared" si="35"/>
        <v>#NUM!</v>
      </c>
      <c r="W54" s="10" t="e">
        <f t="shared" si="36"/>
        <v>#NUM!</v>
      </c>
      <c r="X54" s="10" t="e">
        <f t="shared" si="37"/>
        <v>#NUM!</v>
      </c>
      <c r="Y54" s="10" t="e">
        <f t="shared" si="38"/>
        <v>#NUM!</v>
      </c>
      <c r="Z54" s="10" t="e">
        <f t="shared" si="39"/>
        <v>#NUM!</v>
      </c>
      <c r="AA54" s="11" t="e">
        <f>ROUND((SUM(Table323158[[#This Row],[II1]:[II7]]))*1000000, 0)</f>
        <v>#NUM!</v>
      </c>
      <c r="AB54" s="18" t="s">
        <v>22</v>
      </c>
      <c r="AC54" s="11"/>
      <c r="AD54" s="13" t="str">
        <f t="shared" si="29"/>
        <v/>
      </c>
      <c r="AE54"/>
      <c r="AG54" s="11"/>
      <c r="AH54" s="6">
        <v>34</v>
      </c>
      <c r="AI54" s="11" t="str">
        <f t="shared" si="40"/>
        <v/>
      </c>
      <c r="AL54" s="13" t="str">
        <f t="shared" si="41"/>
        <v/>
      </c>
    </row>
    <row r="55" spans="2:38" x14ac:dyDescent="0.35">
      <c r="B55" s="6">
        <v>35</v>
      </c>
      <c r="C55" s="2" t="s">
        <v>22</v>
      </c>
      <c r="D55" s="6" t="e">
        <f t="shared" si="5"/>
        <v>#NUM!</v>
      </c>
      <c r="E55" s="6" t="e">
        <f t="shared" si="6"/>
        <v>#NUM!</v>
      </c>
      <c r="F55" s="6" t="e">
        <f t="shared" si="7"/>
        <v>#NUM!</v>
      </c>
      <c r="G55" s="6" t="e">
        <f t="shared" si="28"/>
        <v>#NUM!</v>
      </c>
      <c r="H55" s="10" t="e">
        <f t="shared" si="8"/>
        <v>#NUM!</v>
      </c>
      <c r="I55" s="10" t="e">
        <f t="shared" si="9"/>
        <v>#NUM!</v>
      </c>
      <c r="J55" s="10" t="e">
        <f t="shared" si="10"/>
        <v>#NUM!</v>
      </c>
      <c r="K55" s="10" t="e">
        <f t="shared" si="11"/>
        <v>#NUM!</v>
      </c>
      <c r="L55" s="10" t="e">
        <f t="shared" si="12"/>
        <v>#NUM!</v>
      </c>
      <c r="M55" s="10" t="e">
        <f t="shared" si="13"/>
        <v>#NUM!</v>
      </c>
      <c r="N55" s="10" t="e">
        <f t="shared" si="14"/>
        <v>#NUM!</v>
      </c>
      <c r="O55" s="11" t="e">
        <f>ROUND(( SUM(Table323158[[#This Row],[I1]:[I7]]))*1000000, 0)</f>
        <v>#NUM!</v>
      </c>
      <c r="P55" s="11"/>
      <c r="Q55" s="6" t="e">
        <f t="shared" si="30"/>
        <v>#NUM!</v>
      </c>
      <c r="R55" s="6" t="e">
        <f t="shared" si="31"/>
        <v>#NUM!</v>
      </c>
      <c r="S55" s="6" t="e">
        <f t="shared" si="32"/>
        <v>#NUM!</v>
      </c>
      <c r="T55" s="10" t="e">
        <f t="shared" si="33"/>
        <v>#NUM!</v>
      </c>
      <c r="U55" s="10" t="e">
        <f t="shared" si="34"/>
        <v>#NUM!</v>
      </c>
      <c r="V55" s="10" t="e">
        <f t="shared" si="35"/>
        <v>#NUM!</v>
      </c>
      <c r="W55" s="10" t="e">
        <f t="shared" si="36"/>
        <v>#NUM!</v>
      </c>
      <c r="X55" s="10" t="e">
        <f t="shared" si="37"/>
        <v>#NUM!</v>
      </c>
      <c r="Y55" s="10" t="e">
        <f t="shared" si="38"/>
        <v>#NUM!</v>
      </c>
      <c r="Z55" s="10" t="e">
        <f t="shared" si="39"/>
        <v>#NUM!</v>
      </c>
      <c r="AA55" s="11" t="e">
        <f>ROUND((SUM(Table323158[[#This Row],[II1]:[II7]]))*1000000, 0)</f>
        <v>#NUM!</v>
      </c>
      <c r="AB55" s="18" t="s">
        <v>22</v>
      </c>
      <c r="AC55" s="11"/>
      <c r="AD55" s="13" t="str">
        <f t="shared" si="29"/>
        <v/>
      </c>
      <c r="AE55"/>
      <c r="AG55" s="11"/>
      <c r="AH55" s="6">
        <v>35</v>
      </c>
      <c r="AI55" s="11" t="str">
        <f t="shared" si="40"/>
        <v/>
      </c>
      <c r="AL55" s="13" t="str">
        <f t="shared" si="41"/>
        <v/>
      </c>
    </row>
    <row r="56" spans="2:38" x14ac:dyDescent="0.35">
      <c r="B56" s="6">
        <v>36</v>
      </c>
      <c r="C56" s="2" t="s">
        <v>22</v>
      </c>
      <c r="D56" s="6" t="e">
        <f t="shared" si="5"/>
        <v>#NUM!</v>
      </c>
      <c r="E56" s="6" t="e">
        <f t="shared" si="6"/>
        <v>#NUM!</v>
      </c>
      <c r="F56" s="6" t="e">
        <f t="shared" si="7"/>
        <v>#NUM!</v>
      </c>
      <c r="G56" s="6" t="e">
        <f t="shared" si="28"/>
        <v>#NUM!</v>
      </c>
      <c r="H56" s="10" t="e">
        <f t="shared" si="8"/>
        <v>#NUM!</v>
      </c>
      <c r="I56" s="10" t="e">
        <f t="shared" si="9"/>
        <v>#NUM!</v>
      </c>
      <c r="J56" s="10" t="e">
        <f t="shared" si="10"/>
        <v>#NUM!</v>
      </c>
      <c r="K56" s="10" t="e">
        <f t="shared" si="11"/>
        <v>#NUM!</v>
      </c>
      <c r="L56" s="10" t="e">
        <f t="shared" si="12"/>
        <v>#NUM!</v>
      </c>
      <c r="M56" s="10" t="e">
        <f t="shared" si="13"/>
        <v>#NUM!</v>
      </c>
      <c r="N56" s="10" t="e">
        <f t="shared" si="14"/>
        <v>#NUM!</v>
      </c>
      <c r="O56" s="11" t="e">
        <f>ROUND(( SUM(Table323158[[#This Row],[I1]:[I7]]))*1000000, 0)</f>
        <v>#NUM!</v>
      </c>
      <c r="P56" s="11"/>
      <c r="Q56" s="6" t="e">
        <f t="shared" si="30"/>
        <v>#NUM!</v>
      </c>
      <c r="R56" s="6" t="e">
        <f t="shared" si="31"/>
        <v>#NUM!</v>
      </c>
      <c r="S56" s="6" t="e">
        <f t="shared" si="32"/>
        <v>#NUM!</v>
      </c>
      <c r="T56" s="10" t="e">
        <f t="shared" si="33"/>
        <v>#NUM!</v>
      </c>
      <c r="U56" s="10" t="e">
        <f t="shared" si="34"/>
        <v>#NUM!</v>
      </c>
      <c r="V56" s="10" t="e">
        <f t="shared" si="35"/>
        <v>#NUM!</v>
      </c>
      <c r="W56" s="10" t="e">
        <f t="shared" si="36"/>
        <v>#NUM!</v>
      </c>
      <c r="X56" s="10" t="e">
        <f t="shared" si="37"/>
        <v>#NUM!</v>
      </c>
      <c r="Y56" s="10" t="e">
        <f t="shared" si="38"/>
        <v>#NUM!</v>
      </c>
      <c r="Z56" s="10" t="e">
        <f t="shared" si="39"/>
        <v>#NUM!</v>
      </c>
      <c r="AA56" s="11" t="e">
        <f>ROUND((SUM(Table323158[[#This Row],[II1]:[II7]]))*1000000, 0)</f>
        <v>#NUM!</v>
      </c>
      <c r="AB56" s="18" t="s">
        <v>22</v>
      </c>
      <c r="AC56" s="11"/>
      <c r="AD56" s="13" t="str">
        <f t="shared" si="29"/>
        <v/>
      </c>
      <c r="AE56"/>
      <c r="AG56" s="11"/>
      <c r="AH56" s="6">
        <v>36</v>
      </c>
      <c r="AI56" s="11" t="str">
        <f t="shared" si="40"/>
        <v/>
      </c>
      <c r="AL56" s="13" t="str">
        <f t="shared" si="41"/>
        <v/>
      </c>
    </row>
    <row r="57" spans="2:38" x14ac:dyDescent="0.35">
      <c r="B57" s="6">
        <v>37</v>
      </c>
      <c r="C57" s="2" t="s">
        <v>22</v>
      </c>
      <c r="D57" s="6" t="e">
        <f t="shared" si="5"/>
        <v>#NUM!</v>
      </c>
      <c r="E57" s="6" t="e">
        <f t="shared" si="6"/>
        <v>#NUM!</v>
      </c>
      <c r="F57" s="6" t="e">
        <f t="shared" si="7"/>
        <v>#NUM!</v>
      </c>
      <c r="G57" s="6" t="e">
        <f t="shared" si="28"/>
        <v>#NUM!</v>
      </c>
      <c r="H57" s="10" t="e">
        <f t="shared" si="8"/>
        <v>#NUM!</v>
      </c>
      <c r="I57" s="10" t="e">
        <f t="shared" si="9"/>
        <v>#NUM!</v>
      </c>
      <c r="J57" s="10" t="e">
        <f t="shared" si="10"/>
        <v>#NUM!</v>
      </c>
      <c r="K57" s="10" t="e">
        <f t="shared" si="11"/>
        <v>#NUM!</v>
      </c>
      <c r="L57" s="10" t="e">
        <f t="shared" si="12"/>
        <v>#NUM!</v>
      </c>
      <c r="M57" s="10" t="e">
        <f t="shared" si="13"/>
        <v>#NUM!</v>
      </c>
      <c r="N57" s="10" t="e">
        <f t="shared" si="14"/>
        <v>#NUM!</v>
      </c>
      <c r="O57" s="11" t="e">
        <f>ROUND(( SUM(Table323158[[#This Row],[I1]:[I7]]))*1000000, 0)</f>
        <v>#NUM!</v>
      </c>
      <c r="P57" s="11"/>
      <c r="Q57" s="6" t="e">
        <f t="shared" si="30"/>
        <v>#NUM!</v>
      </c>
      <c r="R57" s="6" t="e">
        <f t="shared" si="31"/>
        <v>#NUM!</v>
      </c>
      <c r="S57" s="6" t="e">
        <f t="shared" si="32"/>
        <v>#NUM!</v>
      </c>
      <c r="T57" s="10" t="e">
        <f t="shared" si="33"/>
        <v>#NUM!</v>
      </c>
      <c r="U57" s="10" t="e">
        <f t="shared" si="34"/>
        <v>#NUM!</v>
      </c>
      <c r="V57" s="10" t="e">
        <f t="shared" si="35"/>
        <v>#NUM!</v>
      </c>
      <c r="W57" s="10" t="e">
        <f t="shared" si="36"/>
        <v>#NUM!</v>
      </c>
      <c r="X57" s="10" t="e">
        <f t="shared" si="37"/>
        <v>#NUM!</v>
      </c>
      <c r="Y57" s="10" t="e">
        <f t="shared" si="38"/>
        <v>#NUM!</v>
      </c>
      <c r="Z57" s="10" t="e">
        <f t="shared" si="39"/>
        <v>#NUM!</v>
      </c>
      <c r="AA57" s="11" t="e">
        <f>ROUND((SUM(Table323158[[#This Row],[II1]:[II7]]))*1000000, 0)</f>
        <v>#NUM!</v>
      </c>
      <c r="AB57" s="18" t="s">
        <v>22</v>
      </c>
      <c r="AC57" s="11"/>
      <c r="AD57" s="13" t="str">
        <f t="shared" si="29"/>
        <v/>
      </c>
      <c r="AE57"/>
      <c r="AG57" s="11"/>
      <c r="AH57" s="6">
        <v>37</v>
      </c>
      <c r="AI57" s="11" t="str">
        <f t="shared" si="40"/>
        <v/>
      </c>
      <c r="AL57" s="13" t="str">
        <f t="shared" si="41"/>
        <v/>
      </c>
    </row>
    <row r="58" spans="2:38" x14ac:dyDescent="0.35">
      <c r="B58" s="6">
        <v>38</v>
      </c>
      <c r="C58" s="2" t="s">
        <v>22</v>
      </c>
      <c r="D58" s="6" t="e">
        <f t="shared" si="5"/>
        <v>#NUM!</v>
      </c>
      <c r="E58" s="6" t="e">
        <f t="shared" si="6"/>
        <v>#NUM!</v>
      </c>
      <c r="F58" s="6" t="e">
        <f t="shared" si="7"/>
        <v>#NUM!</v>
      </c>
      <c r="G58" s="6" t="e">
        <f t="shared" si="28"/>
        <v>#NUM!</v>
      </c>
      <c r="H58" s="10" t="e">
        <f t="shared" si="8"/>
        <v>#NUM!</v>
      </c>
      <c r="I58" s="10" t="e">
        <f t="shared" si="9"/>
        <v>#NUM!</v>
      </c>
      <c r="J58" s="10" t="e">
        <f t="shared" si="10"/>
        <v>#NUM!</v>
      </c>
      <c r="K58" s="10" t="e">
        <f t="shared" si="11"/>
        <v>#NUM!</v>
      </c>
      <c r="L58" s="10" t="e">
        <f t="shared" si="12"/>
        <v>#NUM!</v>
      </c>
      <c r="M58" s="10" t="e">
        <f t="shared" si="13"/>
        <v>#NUM!</v>
      </c>
      <c r="N58" s="10" t="e">
        <f t="shared" si="14"/>
        <v>#NUM!</v>
      </c>
      <c r="O58" s="11" t="e">
        <f>ROUND(( SUM(Table323158[[#This Row],[I1]:[I7]]))*1000000, 0)</f>
        <v>#NUM!</v>
      </c>
      <c r="P58" s="11"/>
      <c r="Q58" s="6" t="e">
        <f t="shared" si="30"/>
        <v>#NUM!</v>
      </c>
      <c r="R58" s="6" t="e">
        <f t="shared" si="31"/>
        <v>#NUM!</v>
      </c>
      <c r="S58" s="6" t="e">
        <f t="shared" si="32"/>
        <v>#NUM!</v>
      </c>
      <c r="T58" s="10" t="e">
        <f t="shared" si="33"/>
        <v>#NUM!</v>
      </c>
      <c r="U58" s="10" t="e">
        <f t="shared" si="34"/>
        <v>#NUM!</v>
      </c>
      <c r="V58" s="10" t="e">
        <f t="shared" si="35"/>
        <v>#NUM!</v>
      </c>
      <c r="W58" s="10" t="e">
        <f t="shared" si="36"/>
        <v>#NUM!</v>
      </c>
      <c r="X58" s="10" t="e">
        <f t="shared" si="37"/>
        <v>#NUM!</v>
      </c>
      <c r="Y58" s="10" t="e">
        <f t="shared" si="38"/>
        <v>#NUM!</v>
      </c>
      <c r="Z58" s="10" t="e">
        <f t="shared" si="39"/>
        <v>#NUM!</v>
      </c>
      <c r="AA58" s="11" t="e">
        <f>ROUND((SUM(Table323158[[#This Row],[II1]:[II7]]))*1000000, 0)</f>
        <v>#NUM!</v>
      </c>
      <c r="AB58" s="18" t="s">
        <v>22</v>
      </c>
      <c r="AC58" s="11"/>
      <c r="AD58" s="13" t="str">
        <f t="shared" si="29"/>
        <v/>
      </c>
      <c r="AE58"/>
      <c r="AG58" s="11"/>
      <c r="AH58" s="6">
        <v>38</v>
      </c>
      <c r="AI58" s="11" t="str">
        <f t="shared" si="40"/>
        <v/>
      </c>
      <c r="AL58" s="13" t="str">
        <f t="shared" si="41"/>
        <v/>
      </c>
    </row>
    <row r="59" spans="2:38" x14ac:dyDescent="0.35">
      <c r="B59" s="6">
        <v>39</v>
      </c>
      <c r="C59" s="2" t="s">
        <v>22</v>
      </c>
      <c r="D59" s="6" t="e">
        <f t="shared" si="5"/>
        <v>#NUM!</v>
      </c>
      <c r="E59" s="6" t="e">
        <f t="shared" si="6"/>
        <v>#NUM!</v>
      </c>
      <c r="F59" s="6" t="e">
        <f t="shared" si="7"/>
        <v>#NUM!</v>
      </c>
      <c r="G59" s="6" t="e">
        <f t="shared" si="28"/>
        <v>#NUM!</v>
      </c>
      <c r="H59" s="10" t="e">
        <f t="shared" si="8"/>
        <v>#NUM!</v>
      </c>
      <c r="I59" s="10" t="e">
        <f t="shared" si="9"/>
        <v>#NUM!</v>
      </c>
      <c r="J59" s="10" t="e">
        <f t="shared" si="10"/>
        <v>#NUM!</v>
      </c>
      <c r="K59" s="10" t="e">
        <f t="shared" si="11"/>
        <v>#NUM!</v>
      </c>
      <c r="L59" s="10" t="e">
        <f t="shared" si="12"/>
        <v>#NUM!</v>
      </c>
      <c r="M59" s="10" t="e">
        <f t="shared" si="13"/>
        <v>#NUM!</v>
      </c>
      <c r="N59" s="10" t="e">
        <f t="shared" si="14"/>
        <v>#NUM!</v>
      </c>
      <c r="O59" s="11" t="e">
        <f>ROUND(( SUM(Table323158[[#This Row],[I1]:[I7]]))*1000000, 0)</f>
        <v>#NUM!</v>
      </c>
      <c r="P59" s="11"/>
      <c r="Q59" s="6" t="e">
        <f t="shared" si="30"/>
        <v>#NUM!</v>
      </c>
      <c r="R59" s="6" t="e">
        <f t="shared" si="31"/>
        <v>#NUM!</v>
      </c>
      <c r="S59" s="6" t="e">
        <f t="shared" si="32"/>
        <v>#NUM!</v>
      </c>
      <c r="T59" s="10" t="e">
        <f t="shared" si="33"/>
        <v>#NUM!</v>
      </c>
      <c r="U59" s="10" t="e">
        <f t="shared" si="34"/>
        <v>#NUM!</v>
      </c>
      <c r="V59" s="10" t="e">
        <f t="shared" si="35"/>
        <v>#NUM!</v>
      </c>
      <c r="W59" s="10" t="e">
        <f t="shared" si="36"/>
        <v>#NUM!</v>
      </c>
      <c r="X59" s="10" t="e">
        <f t="shared" si="37"/>
        <v>#NUM!</v>
      </c>
      <c r="Y59" s="10" t="e">
        <f t="shared" si="38"/>
        <v>#NUM!</v>
      </c>
      <c r="Z59" s="10" t="e">
        <f t="shared" si="39"/>
        <v>#NUM!</v>
      </c>
      <c r="AA59" s="11" t="e">
        <f>ROUND((SUM(Table323158[[#This Row],[II1]:[II7]]))*1000000, 0)</f>
        <v>#NUM!</v>
      </c>
      <c r="AB59" s="18" t="s">
        <v>22</v>
      </c>
      <c r="AC59" s="11"/>
      <c r="AD59" s="13" t="str">
        <f t="shared" si="29"/>
        <v/>
      </c>
      <c r="AE59"/>
      <c r="AG59" s="11"/>
      <c r="AH59" s="6">
        <v>39</v>
      </c>
      <c r="AI59" s="11" t="str">
        <f t="shared" si="40"/>
        <v/>
      </c>
      <c r="AL59" s="13" t="str">
        <f t="shared" si="41"/>
        <v/>
      </c>
    </row>
    <row r="60" spans="2:38" x14ac:dyDescent="0.35">
      <c r="B60" s="6">
        <v>40</v>
      </c>
      <c r="C60" s="2" t="s">
        <v>22</v>
      </c>
      <c r="D60" s="6" t="e">
        <f t="shared" si="5"/>
        <v>#NUM!</v>
      </c>
      <c r="E60" s="6" t="e">
        <f t="shared" si="6"/>
        <v>#NUM!</v>
      </c>
      <c r="F60" s="6" t="e">
        <f t="shared" si="7"/>
        <v>#NUM!</v>
      </c>
      <c r="G60" s="6" t="e">
        <f t="shared" si="28"/>
        <v>#NUM!</v>
      </c>
      <c r="H60" s="10" t="e">
        <f t="shared" si="8"/>
        <v>#NUM!</v>
      </c>
      <c r="I60" s="10" t="e">
        <f t="shared" si="9"/>
        <v>#NUM!</v>
      </c>
      <c r="J60" s="10" t="e">
        <f t="shared" si="10"/>
        <v>#NUM!</v>
      </c>
      <c r="K60" s="10" t="e">
        <f t="shared" si="11"/>
        <v>#NUM!</v>
      </c>
      <c r="L60" s="10" t="e">
        <f t="shared" si="12"/>
        <v>#NUM!</v>
      </c>
      <c r="M60" s="10" t="e">
        <f t="shared" si="13"/>
        <v>#NUM!</v>
      </c>
      <c r="N60" s="10" t="e">
        <f t="shared" si="14"/>
        <v>#NUM!</v>
      </c>
      <c r="O60" s="11" t="e">
        <f>ROUND(( SUM(Table323158[[#This Row],[I1]:[I7]]))*1000000, 0)</f>
        <v>#NUM!</v>
      </c>
      <c r="P60" s="11"/>
      <c r="Q60" s="6" t="e">
        <f t="shared" si="30"/>
        <v>#NUM!</v>
      </c>
      <c r="R60" s="6" t="e">
        <f t="shared" si="31"/>
        <v>#NUM!</v>
      </c>
      <c r="S60" s="6" t="e">
        <f t="shared" si="32"/>
        <v>#NUM!</v>
      </c>
      <c r="T60" s="10" t="e">
        <f t="shared" si="33"/>
        <v>#NUM!</v>
      </c>
      <c r="U60" s="10" t="e">
        <f t="shared" si="34"/>
        <v>#NUM!</v>
      </c>
      <c r="V60" s="10" t="e">
        <f t="shared" si="35"/>
        <v>#NUM!</v>
      </c>
      <c r="W60" s="10" t="e">
        <f t="shared" si="36"/>
        <v>#NUM!</v>
      </c>
      <c r="X60" s="10" t="e">
        <f t="shared" si="37"/>
        <v>#NUM!</v>
      </c>
      <c r="Y60" s="10" t="e">
        <f t="shared" si="38"/>
        <v>#NUM!</v>
      </c>
      <c r="Z60" s="10" t="e">
        <f t="shared" si="39"/>
        <v>#NUM!</v>
      </c>
      <c r="AA60" s="11" t="e">
        <f>ROUND((SUM(Table323158[[#This Row],[II1]:[II7]]))*1000000, 0)</f>
        <v>#NUM!</v>
      </c>
      <c r="AB60" s="18" t="s">
        <v>22</v>
      </c>
      <c r="AC60" s="11"/>
      <c r="AD60" s="13" t="str">
        <f t="shared" si="29"/>
        <v/>
      </c>
      <c r="AE60"/>
      <c r="AG60" s="11"/>
      <c r="AH60" s="6">
        <v>40</v>
      </c>
      <c r="AI60" s="11" t="str">
        <f t="shared" si="40"/>
        <v/>
      </c>
      <c r="AL60" s="13" t="str">
        <f t="shared" si="41"/>
        <v/>
      </c>
    </row>
    <row r="61" spans="2:38" x14ac:dyDescent="0.35">
      <c r="B61" s="6">
        <v>41</v>
      </c>
      <c r="C61" s="2" t="s">
        <v>22</v>
      </c>
      <c r="D61" s="6" t="e">
        <f t="shared" si="5"/>
        <v>#NUM!</v>
      </c>
      <c r="E61" s="6" t="e">
        <f t="shared" si="6"/>
        <v>#NUM!</v>
      </c>
      <c r="F61" s="6" t="e">
        <f t="shared" si="7"/>
        <v>#NUM!</v>
      </c>
      <c r="G61" s="6" t="e">
        <f t="shared" si="28"/>
        <v>#NUM!</v>
      </c>
      <c r="H61" s="10" t="e">
        <f t="shared" si="8"/>
        <v>#NUM!</v>
      </c>
      <c r="I61" s="10" t="e">
        <f t="shared" si="9"/>
        <v>#NUM!</v>
      </c>
      <c r="J61" s="10" t="e">
        <f t="shared" si="10"/>
        <v>#NUM!</v>
      </c>
      <c r="K61" s="10" t="e">
        <f t="shared" si="11"/>
        <v>#NUM!</v>
      </c>
      <c r="L61" s="10" t="e">
        <f t="shared" si="12"/>
        <v>#NUM!</v>
      </c>
      <c r="M61" s="10" t="e">
        <f t="shared" si="13"/>
        <v>#NUM!</v>
      </c>
      <c r="N61" s="10" t="e">
        <f t="shared" si="14"/>
        <v>#NUM!</v>
      </c>
      <c r="O61" s="11" t="e">
        <f>ROUND(( SUM(Table323158[[#This Row],[I1]:[I7]]))*1000000, 0)</f>
        <v>#NUM!</v>
      </c>
      <c r="P61" s="11"/>
      <c r="Q61" s="6" t="e">
        <f t="shared" si="30"/>
        <v>#NUM!</v>
      </c>
      <c r="R61" s="6" t="e">
        <f t="shared" si="31"/>
        <v>#NUM!</v>
      </c>
      <c r="S61" s="6" t="e">
        <f t="shared" si="32"/>
        <v>#NUM!</v>
      </c>
      <c r="T61" s="10" t="e">
        <f t="shared" si="33"/>
        <v>#NUM!</v>
      </c>
      <c r="U61" s="10" t="e">
        <f t="shared" si="34"/>
        <v>#NUM!</v>
      </c>
      <c r="V61" s="10" t="e">
        <f t="shared" si="35"/>
        <v>#NUM!</v>
      </c>
      <c r="W61" s="10" t="e">
        <f t="shared" si="36"/>
        <v>#NUM!</v>
      </c>
      <c r="X61" s="10" t="e">
        <f t="shared" si="37"/>
        <v>#NUM!</v>
      </c>
      <c r="Y61" s="10" t="e">
        <f t="shared" si="38"/>
        <v>#NUM!</v>
      </c>
      <c r="Z61" s="10" t="e">
        <f t="shared" si="39"/>
        <v>#NUM!</v>
      </c>
      <c r="AA61" s="11" t="e">
        <f>ROUND((SUM(Table323158[[#This Row],[II1]:[II7]]))*1000000, 0)</f>
        <v>#NUM!</v>
      </c>
      <c r="AB61" s="18" t="s">
        <v>22</v>
      </c>
      <c r="AC61" s="11"/>
      <c r="AD61" s="13" t="str">
        <f t="shared" si="29"/>
        <v/>
      </c>
      <c r="AE61"/>
      <c r="AG61" s="11"/>
      <c r="AH61" s="6">
        <v>41</v>
      </c>
      <c r="AI61" s="11" t="str">
        <f t="shared" si="40"/>
        <v/>
      </c>
      <c r="AL61" s="13" t="str">
        <f t="shared" si="41"/>
        <v/>
      </c>
    </row>
    <row r="62" spans="2:38" x14ac:dyDescent="0.35">
      <c r="B62" s="6">
        <v>42</v>
      </c>
      <c r="C62" s="2" t="s">
        <v>22</v>
      </c>
      <c r="D62" s="6" t="e">
        <f t="shared" si="5"/>
        <v>#NUM!</v>
      </c>
      <c r="E62" s="6" t="e">
        <f t="shared" si="6"/>
        <v>#NUM!</v>
      </c>
      <c r="F62" s="6" t="e">
        <f t="shared" si="7"/>
        <v>#NUM!</v>
      </c>
      <c r="G62" s="6" t="e">
        <f t="shared" si="28"/>
        <v>#NUM!</v>
      </c>
      <c r="H62" s="10" t="e">
        <f t="shared" si="8"/>
        <v>#NUM!</v>
      </c>
      <c r="I62" s="10" t="e">
        <f t="shared" si="9"/>
        <v>#NUM!</v>
      </c>
      <c r="J62" s="10" t="e">
        <f t="shared" si="10"/>
        <v>#NUM!</v>
      </c>
      <c r="K62" s="10" t="e">
        <f t="shared" si="11"/>
        <v>#NUM!</v>
      </c>
      <c r="L62" s="10" t="e">
        <f t="shared" si="12"/>
        <v>#NUM!</v>
      </c>
      <c r="M62" s="10" t="e">
        <f t="shared" si="13"/>
        <v>#NUM!</v>
      </c>
      <c r="N62" s="10" t="e">
        <f t="shared" si="14"/>
        <v>#NUM!</v>
      </c>
      <c r="O62" s="11" t="e">
        <f>ROUND(( SUM(Table323158[[#This Row],[I1]:[I7]]))*1000000, 0)</f>
        <v>#NUM!</v>
      </c>
      <c r="P62" s="11"/>
      <c r="Q62" s="6" t="e">
        <f t="shared" si="30"/>
        <v>#NUM!</v>
      </c>
      <c r="R62" s="6" t="e">
        <f t="shared" si="31"/>
        <v>#NUM!</v>
      </c>
      <c r="S62" s="6" t="e">
        <f t="shared" si="32"/>
        <v>#NUM!</v>
      </c>
      <c r="T62" s="10" t="e">
        <f t="shared" si="33"/>
        <v>#NUM!</v>
      </c>
      <c r="U62" s="10" t="e">
        <f t="shared" si="34"/>
        <v>#NUM!</v>
      </c>
      <c r="V62" s="10" t="e">
        <f t="shared" si="35"/>
        <v>#NUM!</v>
      </c>
      <c r="W62" s="10" t="e">
        <f t="shared" si="36"/>
        <v>#NUM!</v>
      </c>
      <c r="X62" s="10" t="e">
        <f t="shared" si="37"/>
        <v>#NUM!</v>
      </c>
      <c r="Y62" s="10" t="e">
        <f t="shared" si="38"/>
        <v>#NUM!</v>
      </c>
      <c r="Z62" s="10" t="e">
        <f t="shared" si="39"/>
        <v>#NUM!</v>
      </c>
      <c r="AA62" s="11" t="e">
        <f>ROUND((SUM(Table323158[[#This Row],[II1]:[II7]]))*1000000, 0)</f>
        <v>#NUM!</v>
      </c>
      <c r="AB62" s="18" t="s">
        <v>22</v>
      </c>
      <c r="AC62" s="11"/>
      <c r="AD62" s="13" t="str">
        <f t="shared" si="29"/>
        <v/>
      </c>
      <c r="AE62"/>
      <c r="AG62" s="11"/>
      <c r="AH62" s="6">
        <v>42</v>
      </c>
      <c r="AI62" s="11" t="str">
        <f t="shared" si="40"/>
        <v/>
      </c>
      <c r="AL62" s="13" t="str">
        <f t="shared" si="41"/>
        <v/>
      </c>
    </row>
    <row r="63" spans="2:38" x14ac:dyDescent="0.35">
      <c r="B63" s="6">
        <v>43</v>
      </c>
      <c r="C63" s="2" t="s">
        <v>22</v>
      </c>
      <c r="D63" s="6" t="e">
        <f t="shared" si="5"/>
        <v>#NUM!</v>
      </c>
      <c r="E63" s="6" t="e">
        <f t="shared" si="6"/>
        <v>#NUM!</v>
      </c>
      <c r="F63" s="6" t="e">
        <f t="shared" si="7"/>
        <v>#NUM!</v>
      </c>
      <c r="G63" s="6" t="e">
        <f t="shared" si="28"/>
        <v>#NUM!</v>
      </c>
      <c r="H63" s="10" t="e">
        <f t="shared" si="8"/>
        <v>#NUM!</v>
      </c>
      <c r="I63" s="10" t="e">
        <f t="shared" si="9"/>
        <v>#NUM!</v>
      </c>
      <c r="J63" s="10" t="e">
        <f t="shared" si="10"/>
        <v>#NUM!</v>
      </c>
      <c r="K63" s="10" t="e">
        <f t="shared" si="11"/>
        <v>#NUM!</v>
      </c>
      <c r="L63" s="10" t="e">
        <f t="shared" si="12"/>
        <v>#NUM!</v>
      </c>
      <c r="M63" s="10" t="e">
        <f t="shared" si="13"/>
        <v>#NUM!</v>
      </c>
      <c r="N63" s="10" t="e">
        <f t="shared" si="14"/>
        <v>#NUM!</v>
      </c>
      <c r="O63" s="11" t="e">
        <f>ROUND(( SUM(Table323158[[#This Row],[I1]:[I7]]))*1000000, 0)</f>
        <v>#NUM!</v>
      </c>
      <c r="P63" s="11"/>
      <c r="Q63" s="6" t="e">
        <f t="shared" si="30"/>
        <v>#NUM!</v>
      </c>
      <c r="R63" s="6" t="e">
        <f t="shared" si="31"/>
        <v>#NUM!</v>
      </c>
      <c r="S63" s="6" t="e">
        <f t="shared" si="32"/>
        <v>#NUM!</v>
      </c>
      <c r="T63" s="10" t="e">
        <f t="shared" si="33"/>
        <v>#NUM!</v>
      </c>
      <c r="U63" s="10" t="e">
        <f t="shared" si="34"/>
        <v>#NUM!</v>
      </c>
      <c r="V63" s="10" t="e">
        <f t="shared" si="35"/>
        <v>#NUM!</v>
      </c>
      <c r="W63" s="10" t="e">
        <f t="shared" si="36"/>
        <v>#NUM!</v>
      </c>
      <c r="X63" s="10" t="e">
        <f t="shared" si="37"/>
        <v>#NUM!</v>
      </c>
      <c r="Y63" s="10" t="e">
        <f t="shared" si="38"/>
        <v>#NUM!</v>
      </c>
      <c r="Z63" s="10" t="e">
        <f t="shared" si="39"/>
        <v>#NUM!</v>
      </c>
      <c r="AA63" s="11" t="e">
        <f>ROUND((SUM(Table323158[[#This Row],[II1]:[II7]]))*1000000, 0)</f>
        <v>#NUM!</v>
      </c>
      <c r="AB63" s="18" t="s">
        <v>22</v>
      </c>
      <c r="AC63" s="11"/>
      <c r="AD63" s="13" t="str">
        <f t="shared" si="29"/>
        <v/>
      </c>
      <c r="AE63"/>
      <c r="AG63" s="11"/>
      <c r="AH63" s="6">
        <v>43</v>
      </c>
      <c r="AI63" s="11" t="str">
        <f t="shared" si="40"/>
        <v/>
      </c>
      <c r="AL63" s="13" t="str">
        <f t="shared" si="41"/>
        <v/>
      </c>
    </row>
    <row r="64" spans="2:38" x14ac:dyDescent="0.35">
      <c r="B64" s="6">
        <v>44</v>
      </c>
      <c r="C64" s="2" t="s">
        <v>22</v>
      </c>
      <c r="D64" s="6" t="e">
        <f t="shared" si="5"/>
        <v>#NUM!</v>
      </c>
      <c r="E64" s="6" t="e">
        <f t="shared" si="6"/>
        <v>#NUM!</v>
      </c>
      <c r="F64" s="6" t="e">
        <f t="shared" si="7"/>
        <v>#NUM!</v>
      </c>
      <c r="G64" s="6" t="e">
        <f t="shared" si="28"/>
        <v>#NUM!</v>
      </c>
      <c r="H64" s="10" t="e">
        <f t="shared" si="8"/>
        <v>#NUM!</v>
      </c>
      <c r="I64" s="10" t="e">
        <f t="shared" si="9"/>
        <v>#NUM!</v>
      </c>
      <c r="J64" s="10" t="e">
        <f t="shared" si="10"/>
        <v>#NUM!</v>
      </c>
      <c r="K64" s="10" t="e">
        <f t="shared" si="11"/>
        <v>#NUM!</v>
      </c>
      <c r="L64" s="10" t="e">
        <f t="shared" si="12"/>
        <v>#NUM!</v>
      </c>
      <c r="M64" s="10" t="e">
        <f t="shared" si="13"/>
        <v>#NUM!</v>
      </c>
      <c r="N64" s="10" t="e">
        <f t="shared" si="14"/>
        <v>#NUM!</v>
      </c>
      <c r="O64" s="11" t="e">
        <f>ROUND(( SUM(Table323158[[#This Row],[I1]:[I7]]))*1000000, 0)</f>
        <v>#NUM!</v>
      </c>
      <c r="P64" s="11"/>
      <c r="Q64" s="6" t="e">
        <f t="shared" si="30"/>
        <v>#NUM!</v>
      </c>
      <c r="R64" s="6" t="e">
        <f t="shared" si="31"/>
        <v>#NUM!</v>
      </c>
      <c r="S64" s="6" t="e">
        <f t="shared" si="32"/>
        <v>#NUM!</v>
      </c>
      <c r="T64" s="10" t="e">
        <f t="shared" si="33"/>
        <v>#NUM!</v>
      </c>
      <c r="U64" s="10" t="e">
        <f t="shared" si="34"/>
        <v>#NUM!</v>
      </c>
      <c r="V64" s="10" t="e">
        <f t="shared" si="35"/>
        <v>#NUM!</v>
      </c>
      <c r="W64" s="10" t="e">
        <f t="shared" si="36"/>
        <v>#NUM!</v>
      </c>
      <c r="X64" s="10" t="e">
        <f t="shared" si="37"/>
        <v>#NUM!</v>
      </c>
      <c r="Y64" s="10" t="e">
        <f t="shared" si="38"/>
        <v>#NUM!</v>
      </c>
      <c r="Z64" s="10" t="e">
        <f t="shared" si="39"/>
        <v>#NUM!</v>
      </c>
      <c r="AA64" s="11" t="e">
        <f>ROUND((SUM(Table323158[[#This Row],[II1]:[II7]]))*1000000, 0)</f>
        <v>#NUM!</v>
      </c>
      <c r="AB64" s="18" t="s">
        <v>22</v>
      </c>
      <c r="AC64" s="11"/>
      <c r="AD64" s="13" t="str">
        <f t="shared" si="29"/>
        <v/>
      </c>
      <c r="AE64"/>
      <c r="AG64" s="11"/>
      <c r="AH64" s="6">
        <v>44</v>
      </c>
      <c r="AI64" s="11" t="str">
        <f t="shared" si="40"/>
        <v/>
      </c>
      <c r="AL64" s="13" t="str">
        <f t="shared" si="41"/>
        <v/>
      </c>
    </row>
    <row r="65" spans="2:38" x14ac:dyDescent="0.35">
      <c r="B65" s="6">
        <v>45</v>
      </c>
      <c r="C65" s="2" t="s">
        <v>22</v>
      </c>
      <c r="D65" s="6" t="e">
        <f t="shared" si="5"/>
        <v>#NUM!</v>
      </c>
      <c r="E65" s="6" t="e">
        <f t="shared" si="6"/>
        <v>#NUM!</v>
      </c>
      <c r="F65" s="6" t="e">
        <f t="shared" si="7"/>
        <v>#NUM!</v>
      </c>
      <c r="G65" s="6" t="e">
        <f t="shared" si="28"/>
        <v>#NUM!</v>
      </c>
      <c r="H65" s="10" t="e">
        <f t="shared" si="8"/>
        <v>#NUM!</v>
      </c>
      <c r="I65" s="10" t="e">
        <f t="shared" si="9"/>
        <v>#NUM!</v>
      </c>
      <c r="J65" s="10" t="e">
        <f t="shared" si="10"/>
        <v>#NUM!</v>
      </c>
      <c r="K65" s="10" t="e">
        <f t="shared" si="11"/>
        <v>#NUM!</v>
      </c>
      <c r="L65" s="10" t="e">
        <f t="shared" si="12"/>
        <v>#NUM!</v>
      </c>
      <c r="M65" s="10" t="e">
        <f t="shared" si="13"/>
        <v>#NUM!</v>
      </c>
      <c r="N65" s="10" t="e">
        <f t="shared" si="14"/>
        <v>#NUM!</v>
      </c>
      <c r="O65" s="11" t="e">
        <f>ROUND(( SUM(Table323158[[#This Row],[I1]:[I7]]))*1000000, 0)</f>
        <v>#NUM!</v>
      </c>
      <c r="P65" s="11"/>
      <c r="Q65" s="6" t="e">
        <f t="shared" si="30"/>
        <v>#NUM!</v>
      </c>
      <c r="R65" s="6" t="e">
        <f t="shared" si="31"/>
        <v>#NUM!</v>
      </c>
      <c r="S65" s="6" t="e">
        <f t="shared" si="32"/>
        <v>#NUM!</v>
      </c>
      <c r="T65" s="10" t="e">
        <f t="shared" si="33"/>
        <v>#NUM!</v>
      </c>
      <c r="U65" s="10" t="e">
        <f t="shared" si="34"/>
        <v>#NUM!</v>
      </c>
      <c r="V65" s="10" t="e">
        <f t="shared" si="35"/>
        <v>#NUM!</v>
      </c>
      <c r="W65" s="10" t="e">
        <f t="shared" si="36"/>
        <v>#NUM!</v>
      </c>
      <c r="X65" s="10" t="e">
        <f t="shared" si="37"/>
        <v>#NUM!</v>
      </c>
      <c r="Y65" s="10" t="e">
        <f t="shared" si="38"/>
        <v>#NUM!</v>
      </c>
      <c r="Z65" s="10" t="e">
        <f t="shared" si="39"/>
        <v>#NUM!</v>
      </c>
      <c r="AA65" s="11" t="e">
        <f>ROUND((SUM(Table323158[[#This Row],[II1]:[II7]]))*1000000, 0)</f>
        <v>#NUM!</v>
      </c>
      <c r="AB65" s="18" t="s">
        <v>22</v>
      </c>
      <c r="AC65" s="11"/>
      <c r="AD65" s="13" t="str">
        <f t="shared" si="29"/>
        <v/>
      </c>
      <c r="AE65"/>
      <c r="AG65" s="11"/>
      <c r="AH65" s="6">
        <v>45</v>
      </c>
      <c r="AI65" s="11" t="str">
        <f t="shared" si="40"/>
        <v/>
      </c>
      <c r="AL65" s="13" t="str">
        <f t="shared" si="41"/>
        <v/>
      </c>
    </row>
    <row r="66" spans="2:38" x14ac:dyDescent="0.35">
      <c r="B66" s="6">
        <v>46</v>
      </c>
      <c r="C66" s="2" t="s">
        <v>22</v>
      </c>
      <c r="D66" s="6" t="e">
        <f t="shared" si="5"/>
        <v>#NUM!</v>
      </c>
      <c r="E66" s="6" t="e">
        <f t="shared" si="6"/>
        <v>#NUM!</v>
      </c>
      <c r="F66" s="6" t="e">
        <f t="shared" si="7"/>
        <v>#NUM!</v>
      </c>
      <c r="G66" s="6" t="e">
        <f t="shared" si="28"/>
        <v>#NUM!</v>
      </c>
      <c r="H66" s="10" t="e">
        <f t="shared" si="8"/>
        <v>#NUM!</v>
      </c>
      <c r="I66" s="10" t="e">
        <f t="shared" si="9"/>
        <v>#NUM!</v>
      </c>
      <c r="J66" s="10" t="e">
        <f t="shared" si="10"/>
        <v>#NUM!</v>
      </c>
      <c r="K66" s="10" t="e">
        <f t="shared" si="11"/>
        <v>#NUM!</v>
      </c>
      <c r="L66" s="10" t="e">
        <f t="shared" si="12"/>
        <v>#NUM!</v>
      </c>
      <c r="M66" s="10" t="e">
        <f t="shared" si="13"/>
        <v>#NUM!</v>
      </c>
      <c r="N66" s="10" t="e">
        <f t="shared" si="14"/>
        <v>#NUM!</v>
      </c>
      <c r="O66" s="11" t="e">
        <f>ROUND(( SUM(Table323158[[#This Row],[I1]:[I7]]))*1000000, 0)</f>
        <v>#NUM!</v>
      </c>
      <c r="P66" s="11"/>
      <c r="Q66" s="6" t="e">
        <f t="shared" si="30"/>
        <v>#NUM!</v>
      </c>
      <c r="R66" s="6" t="e">
        <f t="shared" si="31"/>
        <v>#NUM!</v>
      </c>
      <c r="S66" s="6" t="e">
        <f t="shared" si="32"/>
        <v>#NUM!</v>
      </c>
      <c r="T66" s="10" t="e">
        <f t="shared" si="33"/>
        <v>#NUM!</v>
      </c>
      <c r="U66" s="10" t="e">
        <f t="shared" si="34"/>
        <v>#NUM!</v>
      </c>
      <c r="V66" s="10" t="e">
        <f t="shared" si="35"/>
        <v>#NUM!</v>
      </c>
      <c r="W66" s="10" t="e">
        <f t="shared" si="36"/>
        <v>#NUM!</v>
      </c>
      <c r="X66" s="10" t="e">
        <f t="shared" si="37"/>
        <v>#NUM!</v>
      </c>
      <c r="Y66" s="10" t="e">
        <f t="shared" si="38"/>
        <v>#NUM!</v>
      </c>
      <c r="Z66" s="10" t="e">
        <f t="shared" si="39"/>
        <v>#NUM!</v>
      </c>
      <c r="AA66" s="11" t="e">
        <f>ROUND((SUM(Table323158[[#This Row],[II1]:[II7]]))*1000000, 0)</f>
        <v>#NUM!</v>
      </c>
      <c r="AB66" s="18" t="s">
        <v>22</v>
      </c>
      <c r="AC66" s="11"/>
      <c r="AD66" s="13" t="str">
        <f t="shared" si="29"/>
        <v/>
      </c>
      <c r="AE66"/>
      <c r="AG66" s="11"/>
      <c r="AH66" s="6">
        <v>46</v>
      </c>
      <c r="AI66" s="11" t="str">
        <f t="shared" si="40"/>
        <v/>
      </c>
      <c r="AL66" s="13" t="str">
        <f t="shared" si="41"/>
        <v/>
      </c>
    </row>
    <row r="67" spans="2:38" x14ac:dyDescent="0.35">
      <c r="B67" s="6">
        <v>47</v>
      </c>
      <c r="C67" s="2" t="s">
        <v>22</v>
      </c>
      <c r="D67" s="6" t="e">
        <f t="shared" si="5"/>
        <v>#NUM!</v>
      </c>
      <c r="E67" s="6" t="e">
        <f t="shared" si="6"/>
        <v>#NUM!</v>
      </c>
      <c r="F67" s="6" t="e">
        <f t="shared" si="7"/>
        <v>#NUM!</v>
      </c>
      <c r="G67" s="6" t="e">
        <f t="shared" si="28"/>
        <v>#NUM!</v>
      </c>
      <c r="H67" s="10" t="e">
        <f t="shared" si="8"/>
        <v>#NUM!</v>
      </c>
      <c r="I67" s="10" t="e">
        <f t="shared" si="9"/>
        <v>#NUM!</v>
      </c>
      <c r="J67" s="10" t="e">
        <f t="shared" si="10"/>
        <v>#NUM!</v>
      </c>
      <c r="K67" s="10" t="e">
        <f t="shared" si="11"/>
        <v>#NUM!</v>
      </c>
      <c r="L67" s="10" t="e">
        <f t="shared" si="12"/>
        <v>#NUM!</v>
      </c>
      <c r="M67" s="10" t="e">
        <f t="shared" si="13"/>
        <v>#NUM!</v>
      </c>
      <c r="N67" s="10" t="e">
        <f t="shared" si="14"/>
        <v>#NUM!</v>
      </c>
      <c r="O67" s="11" t="e">
        <f>ROUND(( SUM(Table323158[[#This Row],[I1]:[I7]]))*1000000, 0)</f>
        <v>#NUM!</v>
      </c>
      <c r="P67" s="11"/>
      <c r="Q67" s="6" t="e">
        <f t="shared" si="30"/>
        <v>#NUM!</v>
      </c>
      <c r="R67" s="6" t="e">
        <f t="shared" si="31"/>
        <v>#NUM!</v>
      </c>
      <c r="S67" s="6" t="e">
        <f t="shared" si="32"/>
        <v>#NUM!</v>
      </c>
      <c r="T67" s="10" t="e">
        <f t="shared" si="33"/>
        <v>#NUM!</v>
      </c>
      <c r="U67" s="10" t="e">
        <f t="shared" si="34"/>
        <v>#NUM!</v>
      </c>
      <c r="V67" s="10" t="e">
        <f t="shared" si="35"/>
        <v>#NUM!</v>
      </c>
      <c r="W67" s="10" t="e">
        <f t="shared" si="36"/>
        <v>#NUM!</v>
      </c>
      <c r="X67" s="10" t="e">
        <f t="shared" si="37"/>
        <v>#NUM!</v>
      </c>
      <c r="Y67" s="10" t="e">
        <f t="shared" si="38"/>
        <v>#NUM!</v>
      </c>
      <c r="Z67" s="10" t="e">
        <f t="shared" si="39"/>
        <v>#NUM!</v>
      </c>
      <c r="AA67" s="11" t="e">
        <f>ROUND((SUM(Table323158[[#This Row],[II1]:[II7]]))*1000000, 0)</f>
        <v>#NUM!</v>
      </c>
      <c r="AB67" s="18" t="s">
        <v>22</v>
      </c>
      <c r="AC67" s="11"/>
      <c r="AD67" s="13" t="str">
        <f t="shared" si="29"/>
        <v/>
      </c>
      <c r="AE67"/>
      <c r="AG67" s="11"/>
      <c r="AH67" s="6">
        <v>47</v>
      </c>
      <c r="AI67" s="11" t="str">
        <f t="shared" si="40"/>
        <v/>
      </c>
      <c r="AL67" s="13" t="str">
        <f t="shared" si="41"/>
        <v/>
      </c>
    </row>
    <row r="68" spans="2:38" x14ac:dyDescent="0.35">
      <c r="B68" s="6">
        <v>48</v>
      </c>
      <c r="C68" s="2" t="s">
        <v>22</v>
      </c>
      <c r="D68" s="6" t="e">
        <f t="shared" si="5"/>
        <v>#NUM!</v>
      </c>
      <c r="E68" s="6" t="e">
        <f t="shared" si="6"/>
        <v>#NUM!</v>
      </c>
      <c r="F68" s="6" t="e">
        <f t="shared" si="7"/>
        <v>#NUM!</v>
      </c>
      <c r="G68" s="6" t="e">
        <f t="shared" si="28"/>
        <v>#NUM!</v>
      </c>
      <c r="H68" s="10" t="e">
        <f t="shared" si="8"/>
        <v>#NUM!</v>
      </c>
      <c r="I68" s="10" t="e">
        <f t="shared" si="9"/>
        <v>#NUM!</v>
      </c>
      <c r="J68" s="10" t="e">
        <f t="shared" si="10"/>
        <v>#NUM!</v>
      </c>
      <c r="K68" s="10" t="e">
        <f t="shared" si="11"/>
        <v>#NUM!</v>
      </c>
      <c r="L68" s="10" t="e">
        <f t="shared" si="12"/>
        <v>#NUM!</v>
      </c>
      <c r="M68" s="10" t="e">
        <f t="shared" si="13"/>
        <v>#NUM!</v>
      </c>
      <c r="N68" s="10" t="e">
        <f t="shared" si="14"/>
        <v>#NUM!</v>
      </c>
      <c r="O68" s="11" t="e">
        <f>ROUND(( SUM(Table323158[[#This Row],[I1]:[I7]]))*1000000, 0)</f>
        <v>#NUM!</v>
      </c>
      <c r="P68" s="11"/>
      <c r="Q68" s="6" t="e">
        <f t="shared" si="30"/>
        <v>#NUM!</v>
      </c>
      <c r="R68" s="6" t="e">
        <f t="shared" si="31"/>
        <v>#NUM!</v>
      </c>
      <c r="S68" s="6" t="e">
        <f t="shared" si="32"/>
        <v>#NUM!</v>
      </c>
      <c r="T68" s="10" t="e">
        <f t="shared" si="33"/>
        <v>#NUM!</v>
      </c>
      <c r="U68" s="10" t="e">
        <f t="shared" si="34"/>
        <v>#NUM!</v>
      </c>
      <c r="V68" s="10" t="e">
        <f t="shared" si="35"/>
        <v>#NUM!</v>
      </c>
      <c r="W68" s="10" t="e">
        <f t="shared" si="36"/>
        <v>#NUM!</v>
      </c>
      <c r="X68" s="10" t="e">
        <f t="shared" si="37"/>
        <v>#NUM!</v>
      </c>
      <c r="Y68" s="10" t="e">
        <f t="shared" si="38"/>
        <v>#NUM!</v>
      </c>
      <c r="Z68" s="10" t="e">
        <f t="shared" si="39"/>
        <v>#NUM!</v>
      </c>
      <c r="AA68" s="11" t="e">
        <f>ROUND((SUM(Table323158[[#This Row],[II1]:[II7]]))*1000000, 0)</f>
        <v>#NUM!</v>
      </c>
      <c r="AB68" s="18" t="s">
        <v>22</v>
      </c>
      <c r="AC68" s="11"/>
      <c r="AD68" s="13" t="str">
        <f t="shared" si="29"/>
        <v/>
      </c>
      <c r="AE68"/>
      <c r="AG68" s="11"/>
      <c r="AH68" s="6">
        <v>48</v>
      </c>
      <c r="AI68" s="11" t="str">
        <f t="shared" si="40"/>
        <v/>
      </c>
      <c r="AL68" s="13" t="str">
        <f t="shared" si="41"/>
        <v/>
      </c>
    </row>
    <row r="69" spans="2:38" x14ac:dyDescent="0.35">
      <c r="B69" s="6">
        <v>49</v>
      </c>
      <c r="C69" s="2" t="s">
        <v>22</v>
      </c>
      <c r="D69" s="6" t="e">
        <f t="shared" si="5"/>
        <v>#NUM!</v>
      </c>
      <c r="E69" s="6" t="e">
        <f t="shared" si="6"/>
        <v>#NUM!</v>
      </c>
      <c r="F69" s="6" t="e">
        <f t="shared" si="7"/>
        <v>#NUM!</v>
      </c>
      <c r="G69" s="6" t="e">
        <f t="shared" si="28"/>
        <v>#NUM!</v>
      </c>
      <c r="H69" s="10" t="e">
        <f t="shared" si="8"/>
        <v>#NUM!</v>
      </c>
      <c r="I69" s="10" t="e">
        <f t="shared" si="9"/>
        <v>#NUM!</v>
      </c>
      <c r="J69" s="10" t="e">
        <f t="shared" si="10"/>
        <v>#NUM!</v>
      </c>
      <c r="K69" s="10" t="e">
        <f t="shared" si="11"/>
        <v>#NUM!</v>
      </c>
      <c r="L69" s="10" t="e">
        <f t="shared" si="12"/>
        <v>#NUM!</v>
      </c>
      <c r="M69" s="10" t="e">
        <f t="shared" si="13"/>
        <v>#NUM!</v>
      </c>
      <c r="N69" s="10" t="e">
        <f t="shared" si="14"/>
        <v>#NUM!</v>
      </c>
      <c r="O69" s="11" t="e">
        <f>ROUND(( SUM(Table323158[[#This Row],[I1]:[I7]]))*1000000, 0)</f>
        <v>#NUM!</v>
      </c>
      <c r="P69" s="11"/>
      <c r="Q69" s="6" t="e">
        <f t="shared" si="30"/>
        <v>#NUM!</v>
      </c>
      <c r="R69" s="6" t="e">
        <f t="shared" si="31"/>
        <v>#NUM!</v>
      </c>
      <c r="S69" s="6" t="e">
        <f t="shared" si="32"/>
        <v>#NUM!</v>
      </c>
      <c r="T69" s="10" t="e">
        <f t="shared" si="33"/>
        <v>#NUM!</v>
      </c>
      <c r="U69" s="10" t="e">
        <f t="shared" si="34"/>
        <v>#NUM!</v>
      </c>
      <c r="V69" s="10" t="e">
        <f t="shared" si="35"/>
        <v>#NUM!</v>
      </c>
      <c r="W69" s="10" t="e">
        <f t="shared" si="36"/>
        <v>#NUM!</v>
      </c>
      <c r="X69" s="10" t="e">
        <f t="shared" si="37"/>
        <v>#NUM!</v>
      </c>
      <c r="Y69" s="10" t="e">
        <f t="shared" si="38"/>
        <v>#NUM!</v>
      </c>
      <c r="Z69" s="10" t="e">
        <f t="shared" si="39"/>
        <v>#NUM!</v>
      </c>
      <c r="AA69" s="11" t="e">
        <f>ROUND((SUM(Table323158[[#This Row],[II1]:[II7]]))*1000000, 0)</f>
        <v>#NUM!</v>
      </c>
      <c r="AB69" s="18" t="s">
        <v>22</v>
      </c>
      <c r="AC69" s="11"/>
      <c r="AD69" s="13" t="str">
        <f t="shared" si="29"/>
        <v/>
      </c>
      <c r="AE69"/>
      <c r="AG69" s="11"/>
      <c r="AH69" s="6">
        <v>49</v>
      </c>
      <c r="AI69" s="11" t="str">
        <f t="shared" si="40"/>
        <v/>
      </c>
      <c r="AL69" s="13" t="str">
        <f t="shared" si="41"/>
        <v/>
      </c>
    </row>
    <row r="70" spans="2:38" x14ac:dyDescent="0.35">
      <c r="B70" s="6">
        <v>50</v>
      </c>
      <c r="C70" s="2" t="s">
        <v>22</v>
      </c>
      <c r="D70" s="6" t="e">
        <f t="shared" si="5"/>
        <v>#NUM!</v>
      </c>
      <c r="E70" s="6" t="e">
        <f t="shared" si="6"/>
        <v>#NUM!</v>
      </c>
      <c r="F70" s="6" t="e">
        <f t="shared" si="7"/>
        <v>#NUM!</v>
      </c>
      <c r="G70" s="6" t="e">
        <f t="shared" si="28"/>
        <v>#NUM!</v>
      </c>
      <c r="H70" s="10" t="e">
        <f t="shared" si="8"/>
        <v>#NUM!</v>
      </c>
      <c r="I70" s="10" t="e">
        <f t="shared" si="9"/>
        <v>#NUM!</v>
      </c>
      <c r="J70" s="10" t="e">
        <f t="shared" si="10"/>
        <v>#NUM!</v>
      </c>
      <c r="K70" s="10" t="e">
        <f t="shared" si="11"/>
        <v>#NUM!</v>
      </c>
      <c r="L70" s="10" t="e">
        <f t="shared" si="12"/>
        <v>#NUM!</v>
      </c>
      <c r="M70" s="10" t="e">
        <f t="shared" si="13"/>
        <v>#NUM!</v>
      </c>
      <c r="N70" s="10" t="e">
        <f t="shared" si="14"/>
        <v>#NUM!</v>
      </c>
      <c r="O70" s="11" t="e">
        <f>ROUND(( SUM(Table323158[[#This Row],[I1]:[I7]]))*1000000, 0)</f>
        <v>#NUM!</v>
      </c>
      <c r="P70" s="11"/>
      <c r="Q70" s="6" t="e">
        <f t="shared" si="30"/>
        <v>#NUM!</v>
      </c>
      <c r="R70" s="6" t="e">
        <f t="shared" si="31"/>
        <v>#NUM!</v>
      </c>
      <c r="S70" s="6" t="e">
        <f t="shared" si="32"/>
        <v>#NUM!</v>
      </c>
      <c r="T70" s="10" t="e">
        <f t="shared" si="33"/>
        <v>#NUM!</v>
      </c>
      <c r="U70" s="10" t="e">
        <f t="shared" si="34"/>
        <v>#NUM!</v>
      </c>
      <c r="V70" s="10" t="e">
        <f t="shared" si="35"/>
        <v>#NUM!</v>
      </c>
      <c r="W70" s="10" t="e">
        <f t="shared" si="36"/>
        <v>#NUM!</v>
      </c>
      <c r="X70" s="10" t="e">
        <f t="shared" si="37"/>
        <v>#NUM!</v>
      </c>
      <c r="Y70" s="10" t="e">
        <f t="shared" si="38"/>
        <v>#NUM!</v>
      </c>
      <c r="Z70" s="10" t="e">
        <f t="shared" si="39"/>
        <v>#NUM!</v>
      </c>
      <c r="AA70" s="11" t="e">
        <f>ROUND((SUM(Table323158[[#This Row],[II1]:[II7]]))*1000000, 0)</f>
        <v>#NUM!</v>
      </c>
      <c r="AB70" s="18" t="s">
        <v>22</v>
      </c>
      <c r="AC70" s="11"/>
      <c r="AD70" s="13" t="str">
        <f t="shared" si="29"/>
        <v/>
      </c>
      <c r="AE70"/>
      <c r="AG70" s="11"/>
      <c r="AH70" s="6">
        <v>50</v>
      </c>
      <c r="AI70" s="11" t="str">
        <f t="shared" si="40"/>
        <v/>
      </c>
      <c r="AL70" s="13" t="str">
        <f t="shared" si="41"/>
        <v/>
      </c>
    </row>
    <row r="71" spans="2:38" x14ac:dyDescent="0.35">
      <c r="B71" s="6">
        <v>51</v>
      </c>
      <c r="C71" s="2" t="s">
        <v>22</v>
      </c>
      <c r="D71" s="6" t="e">
        <f t="shared" si="5"/>
        <v>#NUM!</v>
      </c>
      <c r="E71" s="6" t="e">
        <f t="shared" si="6"/>
        <v>#NUM!</v>
      </c>
      <c r="F71" s="6" t="e">
        <f t="shared" si="7"/>
        <v>#NUM!</v>
      </c>
      <c r="G71" s="6" t="e">
        <f t="shared" si="28"/>
        <v>#NUM!</v>
      </c>
      <c r="H71" s="10" t="e">
        <f t="shared" si="8"/>
        <v>#NUM!</v>
      </c>
      <c r="I71" s="10" t="e">
        <f t="shared" si="9"/>
        <v>#NUM!</v>
      </c>
      <c r="J71" s="10" t="e">
        <f t="shared" si="10"/>
        <v>#NUM!</v>
      </c>
      <c r="K71" s="10" t="e">
        <f t="shared" si="11"/>
        <v>#NUM!</v>
      </c>
      <c r="L71" s="10" t="e">
        <f t="shared" si="12"/>
        <v>#NUM!</v>
      </c>
      <c r="M71" s="10" t="e">
        <f t="shared" si="13"/>
        <v>#NUM!</v>
      </c>
      <c r="N71" s="10" t="e">
        <f t="shared" si="14"/>
        <v>#NUM!</v>
      </c>
      <c r="O71" s="11" t="e">
        <f>ROUND(( SUM(Table323158[[#This Row],[I1]:[I7]]))*1000000, 0)</f>
        <v>#NUM!</v>
      </c>
      <c r="P71" s="11"/>
      <c r="Q71" s="6" t="e">
        <f t="shared" si="30"/>
        <v>#NUM!</v>
      </c>
      <c r="R71" s="6" t="e">
        <f t="shared" si="31"/>
        <v>#NUM!</v>
      </c>
      <c r="S71" s="6" t="e">
        <f t="shared" si="32"/>
        <v>#NUM!</v>
      </c>
      <c r="T71" s="10" t="e">
        <f t="shared" si="33"/>
        <v>#NUM!</v>
      </c>
      <c r="U71" s="10" t="e">
        <f t="shared" si="34"/>
        <v>#NUM!</v>
      </c>
      <c r="V71" s="10" t="e">
        <f t="shared" si="35"/>
        <v>#NUM!</v>
      </c>
      <c r="W71" s="10" t="e">
        <f t="shared" si="36"/>
        <v>#NUM!</v>
      </c>
      <c r="X71" s="10" t="e">
        <f t="shared" si="37"/>
        <v>#NUM!</v>
      </c>
      <c r="Y71" s="10" t="e">
        <f t="shared" si="38"/>
        <v>#NUM!</v>
      </c>
      <c r="Z71" s="10" t="e">
        <f t="shared" si="39"/>
        <v>#NUM!</v>
      </c>
      <c r="AA71" s="11" t="e">
        <f>ROUND((SUM(Table323158[[#This Row],[II1]:[II7]]))*1000000, 0)</f>
        <v>#NUM!</v>
      </c>
      <c r="AB71" s="18" t="s">
        <v>22</v>
      </c>
      <c r="AC71" s="11"/>
      <c r="AD71" s="13" t="str">
        <f t="shared" si="29"/>
        <v/>
      </c>
      <c r="AE71"/>
      <c r="AG71" s="11"/>
      <c r="AH71" s="6">
        <v>51</v>
      </c>
      <c r="AI71" s="11" t="str">
        <f t="shared" si="40"/>
        <v/>
      </c>
      <c r="AL71" s="13" t="str">
        <f t="shared" si="41"/>
        <v/>
      </c>
    </row>
    <row r="72" spans="2:38" x14ac:dyDescent="0.35">
      <c r="B72" s="6">
        <v>52</v>
      </c>
      <c r="C72" s="2" t="s">
        <v>22</v>
      </c>
      <c r="D72" s="6" t="e">
        <f t="shared" si="5"/>
        <v>#NUM!</v>
      </c>
      <c r="E72" s="6" t="e">
        <f t="shared" si="6"/>
        <v>#NUM!</v>
      </c>
      <c r="F72" s="6" t="e">
        <f t="shared" si="7"/>
        <v>#NUM!</v>
      </c>
      <c r="G72" s="6" t="e">
        <f t="shared" si="28"/>
        <v>#NUM!</v>
      </c>
      <c r="H72" s="10" t="e">
        <f t="shared" si="8"/>
        <v>#NUM!</v>
      </c>
      <c r="I72" s="10" t="e">
        <f t="shared" si="9"/>
        <v>#NUM!</v>
      </c>
      <c r="J72" s="10" t="e">
        <f t="shared" si="10"/>
        <v>#NUM!</v>
      </c>
      <c r="K72" s="10" t="e">
        <f t="shared" si="11"/>
        <v>#NUM!</v>
      </c>
      <c r="L72" s="10" t="e">
        <f t="shared" si="12"/>
        <v>#NUM!</v>
      </c>
      <c r="M72" s="10" t="e">
        <f t="shared" si="13"/>
        <v>#NUM!</v>
      </c>
      <c r="N72" s="10" t="e">
        <f t="shared" si="14"/>
        <v>#NUM!</v>
      </c>
      <c r="O72" s="11" t="e">
        <f>ROUND(( SUM(Table323158[[#This Row],[I1]:[I7]]))*1000000, 0)</f>
        <v>#NUM!</v>
      </c>
      <c r="P72" s="11"/>
      <c r="Q72" s="6" t="e">
        <f t="shared" si="30"/>
        <v>#NUM!</v>
      </c>
      <c r="R72" s="6" t="e">
        <f t="shared" si="31"/>
        <v>#NUM!</v>
      </c>
      <c r="S72" s="6" t="e">
        <f t="shared" si="32"/>
        <v>#NUM!</v>
      </c>
      <c r="T72" s="10" t="e">
        <f t="shared" si="33"/>
        <v>#NUM!</v>
      </c>
      <c r="U72" s="10" t="e">
        <f t="shared" si="34"/>
        <v>#NUM!</v>
      </c>
      <c r="V72" s="10" t="e">
        <f t="shared" si="35"/>
        <v>#NUM!</v>
      </c>
      <c r="W72" s="10" t="e">
        <f t="shared" si="36"/>
        <v>#NUM!</v>
      </c>
      <c r="X72" s="10" t="e">
        <f t="shared" si="37"/>
        <v>#NUM!</v>
      </c>
      <c r="Y72" s="10" t="e">
        <f t="shared" si="38"/>
        <v>#NUM!</v>
      </c>
      <c r="Z72" s="10" t="e">
        <f t="shared" si="39"/>
        <v>#NUM!</v>
      </c>
      <c r="AA72" s="11" t="e">
        <f>ROUND((SUM(Table323158[[#This Row],[II1]:[II7]]))*1000000, 0)</f>
        <v>#NUM!</v>
      </c>
      <c r="AB72" s="18" t="s">
        <v>22</v>
      </c>
      <c r="AC72" s="11"/>
      <c r="AD72" s="13" t="str">
        <f t="shared" si="29"/>
        <v/>
      </c>
      <c r="AE72"/>
      <c r="AG72" s="11"/>
      <c r="AH72" s="6">
        <v>52</v>
      </c>
      <c r="AI72" s="11" t="str">
        <f t="shared" si="40"/>
        <v/>
      </c>
      <c r="AL72" s="13" t="str">
        <f t="shared" si="41"/>
        <v/>
      </c>
    </row>
    <row r="73" spans="2:38" x14ac:dyDescent="0.35">
      <c r="B73" s="6">
        <v>53</v>
      </c>
      <c r="C73" s="2" t="s">
        <v>22</v>
      </c>
      <c r="D73" s="6" t="e">
        <f t="shared" si="5"/>
        <v>#NUM!</v>
      </c>
      <c r="E73" s="6" t="e">
        <f t="shared" si="6"/>
        <v>#NUM!</v>
      </c>
      <c r="F73" s="6" t="e">
        <f t="shared" si="7"/>
        <v>#NUM!</v>
      </c>
      <c r="G73" s="6" t="e">
        <f t="shared" si="28"/>
        <v>#NUM!</v>
      </c>
      <c r="H73" s="10" t="e">
        <f t="shared" si="8"/>
        <v>#NUM!</v>
      </c>
      <c r="I73" s="10" t="e">
        <f t="shared" si="9"/>
        <v>#NUM!</v>
      </c>
      <c r="J73" s="10" t="e">
        <f t="shared" si="10"/>
        <v>#NUM!</v>
      </c>
      <c r="K73" s="10" t="e">
        <f t="shared" si="11"/>
        <v>#NUM!</v>
      </c>
      <c r="L73" s="10" t="e">
        <f t="shared" si="12"/>
        <v>#NUM!</v>
      </c>
      <c r="M73" s="10" t="e">
        <f t="shared" si="13"/>
        <v>#NUM!</v>
      </c>
      <c r="N73" s="10" t="e">
        <f t="shared" si="14"/>
        <v>#NUM!</v>
      </c>
      <c r="O73" s="11" t="e">
        <f>ROUND(( SUM(Table323158[[#This Row],[I1]:[I7]]))*1000000, 0)</f>
        <v>#NUM!</v>
      </c>
      <c r="P73" s="11"/>
      <c r="Q73" s="6" t="e">
        <f t="shared" si="30"/>
        <v>#NUM!</v>
      </c>
      <c r="R73" s="6" t="e">
        <f t="shared" si="31"/>
        <v>#NUM!</v>
      </c>
      <c r="S73" s="6" t="e">
        <f t="shared" si="32"/>
        <v>#NUM!</v>
      </c>
      <c r="T73" s="10" t="e">
        <f t="shared" si="33"/>
        <v>#NUM!</v>
      </c>
      <c r="U73" s="10" t="e">
        <f t="shared" si="34"/>
        <v>#NUM!</v>
      </c>
      <c r="V73" s="10" t="e">
        <f t="shared" si="35"/>
        <v>#NUM!</v>
      </c>
      <c r="W73" s="10" t="e">
        <f t="shared" si="36"/>
        <v>#NUM!</v>
      </c>
      <c r="X73" s="10" t="e">
        <f t="shared" si="37"/>
        <v>#NUM!</v>
      </c>
      <c r="Y73" s="10" t="e">
        <f t="shared" si="38"/>
        <v>#NUM!</v>
      </c>
      <c r="Z73" s="10" t="e">
        <f t="shared" si="39"/>
        <v>#NUM!</v>
      </c>
      <c r="AA73" s="11" t="e">
        <f>ROUND((SUM(Table323158[[#This Row],[II1]:[II7]]))*1000000, 0)</f>
        <v>#NUM!</v>
      </c>
      <c r="AB73" s="18" t="s">
        <v>22</v>
      </c>
      <c r="AC73" s="11"/>
      <c r="AD73" s="13" t="str">
        <f t="shared" si="29"/>
        <v/>
      </c>
      <c r="AE73"/>
      <c r="AG73" s="11"/>
      <c r="AH73" s="6">
        <v>53</v>
      </c>
      <c r="AI73" s="11" t="str">
        <f t="shared" si="40"/>
        <v/>
      </c>
      <c r="AL73" s="13" t="str">
        <f t="shared" si="41"/>
        <v/>
      </c>
    </row>
    <row r="74" spans="2:38" x14ac:dyDescent="0.35">
      <c r="B74" s="6">
        <v>54</v>
      </c>
      <c r="C74" s="2" t="s">
        <v>22</v>
      </c>
      <c r="D74" s="6" t="e">
        <f t="shared" si="5"/>
        <v>#NUM!</v>
      </c>
      <c r="E74" s="6" t="e">
        <f t="shared" si="6"/>
        <v>#NUM!</v>
      </c>
      <c r="F74" s="6" t="e">
        <f t="shared" si="7"/>
        <v>#NUM!</v>
      </c>
      <c r="G74" s="6" t="e">
        <f t="shared" si="28"/>
        <v>#NUM!</v>
      </c>
      <c r="H74" s="10" t="e">
        <f t="shared" si="8"/>
        <v>#NUM!</v>
      </c>
      <c r="I74" s="10" t="e">
        <f t="shared" si="9"/>
        <v>#NUM!</v>
      </c>
      <c r="J74" s="10" t="e">
        <f t="shared" si="10"/>
        <v>#NUM!</v>
      </c>
      <c r="K74" s="10" t="e">
        <f t="shared" si="11"/>
        <v>#NUM!</v>
      </c>
      <c r="L74" s="10" t="e">
        <f t="shared" si="12"/>
        <v>#NUM!</v>
      </c>
      <c r="M74" s="10" t="e">
        <f t="shared" si="13"/>
        <v>#NUM!</v>
      </c>
      <c r="N74" s="10" t="e">
        <f t="shared" si="14"/>
        <v>#NUM!</v>
      </c>
      <c r="O74" s="11" t="e">
        <f>ROUND(( SUM(Table323158[[#This Row],[I1]:[I7]]))*1000000, 0)</f>
        <v>#NUM!</v>
      </c>
      <c r="P74" s="11"/>
      <c r="Q74" s="6" t="e">
        <f t="shared" si="30"/>
        <v>#NUM!</v>
      </c>
      <c r="R74" s="6" t="e">
        <f t="shared" si="31"/>
        <v>#NUM!</v>
      </c>
      <c r="S74" s="6" t="e">
        <f t="shared" si="32"/>
        <v>#NUM!</v>
      </c>
      <c r="T74" s="10" t="e">
        <f t="shared" si="33"/>
        <v>#NUM!</v>
      </c>
      <c r="U74" s="10" t="e">
        <f t="shared" si="34"/>
        <v>#NUM!</v>
      </c>
      <c r="V74" s="10" t="e">
        <f t="shared" si="35"/>
        <v>#NUM!</v>
      </c>
      <c r="W74" s="10" t="e">
        <f t="shared" si="36"/>
        <v>#NUM!</v>
      </c>
      <c r="X74" s="10" t="e">
        <f t="shared" si="37"/>
        <v>#NUM!</v>
      </c>
      <c r="Y74" s="10" t="e">
        <f t="shared" si="38"/>
        <v>#NUM!</v>
      </c>
      <c r="Z74" s="10" t="e">
        <f t="shared" si="39"/>
        <v>#NUM!</v>
      </c>
      <c r="AA74" s="11" t="e">
        <f>ROUND((SUM(Table323158[[#This Row],[II1]:[II7]]))*1000000, 0)</f>
        <v>#NUM!</v>
      </c>
      <c r="AB74" s="18" t="s">
        <v>22</v>
      </c>
      <c r="AC74" s="11"/>
      <c r="AD74" s="13" t="str">
        <f t="shared" si="29"/>
        <v/>
      </c>
      <c r="AE74"/>
      <c r="AG74" s="11"/>
      <c r="AH74" s="6">
        <v>54</v>
      </c>
      <c r="AI74" s="11" t="str">
        <f t="shared" si="40"/>
        <v/>
      </c>
      <c r="AL74" s="13" t="str">
        <f t="shared" si="41"/>
        <v/>
      </c>
    </row>
    <row r="75" spans="2:38" x14ac:dyDescent="0.35">
      <c r="B75" s="6">
        <v>55</v>
      </c>
      <c r="C75" s="2" t="s">
        <v>22</v>
      </c>
      <c r="D75" s="6" t="e">
        <f t="shared" si="5"/>
        <v>#NUM!</v>
      </c>
      <c r="E75" s="6" t="e">
        <f t="shared" si="6"/>
        <v>#NUM!</v>
      </c>
      <c r="F75" s="6" t="e">
        <f t="shared" si="7"/>
        <v>#NUM!</v>
      </c>
      <c r="G75" s="6" t="e">
        <f t="shared" si="28"/>
        <v>#NUM!</v>
      </c>
      <c r="H75" s="10" t="e">
        <f t="shared" si="8"/>
        <v>#NUM!</v>
      </c>
      <c r="I75" s="10" t="e">
        <f t="shared" si="9"/>
        <v>#NUM!</v>
      </c>
      <c r="J75" s="10" t="e">
        <f t="shared" si="10"/>
        <v>#NUM!</v>
      </c>
      <c r="K75" s="10" t="e">
        <f t="shared" si="11"/>
        <v>#NUM!</v>
      </c>
      <c r="L75" s="10" t="e">
        <f t="shared" si="12"/>
        <v>#NUM!</v>
      </c>
      <c r="M75" s="10" t="e">
        <f t="shared" si="13"/>
        <v>#NUM!</v>
      </c>
      <c r="N75" s="10" t="e">
        <f t="shared" si="14"/>
        <v>#NUM!</v>
      </c>
      <c r="O75" s="11" t="e">
        <f>ROUND(( SUM(Table323158[[#This Row],[I1]:[I7]]))*1000000, 0)</f>
        <v>#NUM!</v>
      </c>
      <c r="P75" s="11"/>
      <c r="Q75" s="6" t="e">
        <f t="shared" si="30"/>
        <v>#NUM!</v>
      </c>
      <c r="R75" s="6" t="e">
        <f t="shared" si="31"/>
        <v>#NUM!</v>
      </c>
      <c r="S75" s="6" t="e">
        <f t="shared" si="32"/>
        <v>#NUM!</v>
      </c>
      <c r="T75" s="10" t="e">
        <f t="shared" si="33"/>
        <v>#NUM!</v>
      </c>
      <c r="U75" s="10" t="e">
        <f t="shared" si="34"/>
        <v>#NUM!</v>
      </c>
      <c r="V75" s="10" t="e">
        <f t="shared" si="35"/>
        <v>#NUM!</v>
      </c>
      <c r="W75" s="10" t="e">
        <f t="shared" si="36"/>
        <v>#NUM!</v>
      </c>
      <c r="X75" s="10" t="e">
        <f t="shared" si="37"/>
        <v>#NUM!</v>
      </c>
      <c r="Y75" s="10" t="e">
        <f t="shared" si="38"/>
        <v>#NUM!</v>
      </c>
      <c r="Z75" s="10" t="e">
        <f t="shared" si="39"/>
        <v>#NUM!</v>
      </c>
      <c r="AA75" s="11" t="e">
        <f>ROUND((SUM(Table323158[[#This Row],[II1]:[II7]]))*1000000, 0)</f>
        <v>#NUM!</v>
      </c>
      <c r="AB75" s="18" t="s">
        <v>22</v>
      </c>
      <c r="AC75" s="11"/>
      <c r="AD75" s="13" t="str">
        <f t="shared" si="29"/>
        <v/>
      </c>
      <c r="AE75"/>
      <c r="AG75" s="11"/>
      <c r="AH75" s="6">
        <v>55</v>
      </c>
      <c r="AI75" s="11" t="str">
        <f t="shared" si="40"/>
        <v/>
      </c>
      <c r="AL75" s="13" t="str">
        <f t="shared" si="41"/>
        <v/>
      </c>
    </row>
    <row r="76" spans="2:38" x14ac:dyDescent="0.35">
      <c r="B76" s="6">
        <v>56</v>
      </c>
      <c r="C76" s="2" t="s">
        <v>22</v>
      </c>
      <c r="D76" s="6" t="e">
        <f t="shared" si="5"/>
        <v>#NUM!</v>
      </c>
      <c r="E76" s="6" t="e">
        <f t="shared" si="6"/>
        <v>#NUM!</v>
      </c>
      <c r="F76" s="6" t="e">
        <f t="shared" si="7"/>
        <v>#NUM!</v>
      </c>
      <c r="G76" s="6" t="e">
        <f t="shared" si="28"/>
        <v>#NUM!</v>
      </c>
      <c r="H76" s="10" t="e">
        <f t="shared" si="8"/>
        <v>#NUM!</v>
      </c>
      <c r="I76" s="10" t="e">
        <f t="shared" si="9"/>
        <v>#NUM!</v>
      </c>
      <c r="J76" s="10" t="e">
        <f t="shared" si="10"/>
        <v>#NUM!</v>
      </c>
      <c r="K76" s="10" t="e">
        <f t="shared" si="11"/>
        <v>#NUM!</v>
      </c>
      <c r="L76" s="10" t="e">
        <f t="shared" si="12"/>
        <v>#NUM!</v>
      </c>
      <c r="M76" s="10" t="e">
        <f t="shared" si="13"/>
        <v>#NUM!</v>
      </c>
      <c r="N76" s="10" t="e">
        <f t="shared" si="14"/>
        <v>#NUM!</v>
      </c>
      <c r="O76" s="11" t="e">
        <f>ROUND(( SUM(Table323158[[#This Row],[I1]:[I7]]))*1000000, 0)</f>
        <v>#NUM!</v>
      </c>
      <c r="P76" s="11"/>
      <c r="Q76" s="6" t="e">
        <f t="shared" si="30"/>
        <v>#NUM!</v>
      </c>
      <c r="R76" s="6" t="e">
        <f t="shared" si="31"/>
        <v>#NUM!</v>
      </c>
      <c r="S76" s="6" t="e">
        <f t="shared" si="32"/>
        <v>#NUM!</v>
      </c>
      <c r="T76" s="10" t="e">
        <f t="shared" si="33"/>
        <v>#NUM!</v>
      </c>
      <c r="U76" s="10" t="e">
        <f t="shared" si="34"/>
        <v>#NUM!</v>
      </c>
      <c r="V76" s="10" t="e">
        <f t="shared" si="35"/>
        <v>#NUM!</v>
      </c>
      <c r="W76" s="10" t="e">
        <f t="shared" si="36"/>
        <v>#NUM!</v>
      </c>
      <c r="X76" s="10" t="e">
        <f t="shared" si="37"/>
        <v>#NUM!</v>
      </c>
      <c r="Y76" s="10" t="e">
        <f t="shared" si="38"/>
        <v>#NUM!</v>
      </c>
      <c r="Z76" s="10" t="e">
        <f t="shared" si="39"/>
        <v>#NUM!</v>
      </c>
      <c r="AA76" s="11" t="e">
        <f>ROUND((SUM(Table323158[[#This Row],[II1]:[II7]]))*1000000, 0)</f>
        <v>#NUM!</v>
      </c>
      <c r="AB76" s="18" t="s">
        <v>22</v>
      </c>
      <c r="AC76" s="11"/>
      <c r="AD76" s="13" t="str">
        <f t="shared" si="29"/>
        <v/>
      </c>
      <c r="AE76"/>
      <c r="AG76" s="11"/>
      <c r="AH76" s="6">
        <v>56</v>
      </c>
      <c r="AI76" s="11" t="str">
        <f t="shared" si="40"/>
        <v/>
      </c>
      <c r="AL76" s="13" t="str">
        <f t="shared" si="41"/>
        <v/>
      </c>
    </row>
    <row r="77" spans="2:38" x14ac:dyDescent="0.35">
      <c r="B77" s="6">
        <v>57</v>
      </c>
      <c r="C77" s="2" t="s">
        <v>22</v>
      </c>
      <c r="D77" s="6" t="e">
        <f t="shared" si="5"/>
        <v>#NUM!</v>
      </c>
      <c r="E77" s="6" t="e">
        <f t="shared" si="6"/>
        <v>#NUM!</v>
      </c>
      <c r="F77" s="6" t="e">
        <f t="shared" si="7"/>
        <v>#NUM!</v>
      </c>
      <c r="G77" s="6" t="e">
        <f t="shared" si="28"/>
        <v>#NUM!</v>
      </c>
      <c r="H77" s="10" t="e">
        <f t="shared" si="8"/>
        <v>#NUM!</v>
      </c>
      <c r="I77" s="10" t="e">
        <f t="shared" si="9"/>
        <v>#NUM!</v>
      </c>
      <c r="J77" s="10" t="e">
        <f t="shared" si="10"/>
        <v>#NUM!</v>
      </c>
      <c r="K77" s="10" t="e">
        <f t="shared" si="11"/>
        <v>#NUM!</v>
      </c>
      <c r="L77" s="10" t="e">
        <f t="shared" si="12"/>
        <v>#NUM!</v>
      </c>
      <c r="M77" s="10" t="e">
        <f t="shared" si="13"/>
        <v>#NUM!</v>
      </c>
      <c r="N77" s="10" t="e">
        <f t="shared" si="14"/>
        <v>#NUM!</v>
      </c>
      <c r="O77" s="11" t="e">
        <f>ROUND(( SUM(Table323158[[#This Row],[I1]:[I7]]))*1000000, 0)</f>
        <v>#NUM!</v>
      </c>
      <c r="P77" s="11"/>
      <c r="Q77" s="6" t="e">
        <f t="shared" si="30"/>
        <v>#NUM!</v>
      </c>
      <c r="R77" s="6" t="e">
        <f t="shared" si="31"/>
        <v>#NUM!</v>
      </c>
      <c r="S77" s="6" t="e">
        <f t="shared" si="32"/>
        <v>#NUM!</v>
      </c>
      <c r="T77" s="10" t="e">
        <f t="shared" si="33"/>
        <v>#NUM!</v>
      </c>
      <c r="U77" s="10" t="e">
        <f t="shared" si="34"/>
        <v>#NUM!</v>
      </c>
      <c r="V77" s="10" t="e">
        <f t="shared" si="35"/>
        <v>#NUM!</v>
      </c>
      <c r="W77" s="10" t="e">
        <f t="shared" si="36"/>
        <v>#NUM!</v>
      </c>
      <c r="X77" s="10" t="e">
        <f t="shared" si="37"/>
        <v>#NUM!</v>
      </c>
      <c r="Y77" s="10" t="e">
        <f t="shared" si="38"/>
        <v>#NUM!</v>
      </c>
      <c r="Z77" s="10" t="e">
        <f t="shared" si="39"/>
        <v>#NUM!</v>
      </c>
      <c r="AA77" s="11" t="e">
        <f>ROUND((SUM(Table323158[[#This Row],[II1]:[II7]]))*1000000, 0)</f>
        <v>#NUM!</v>
      </c>
      <c r="AB77" s="18" t="s">
        <v>22</v>
      </c>
      <c r="AC77" s="11"/>
      <c r="AD77" s="13" t="str">
        <f t="shared" si="29"/>
        <v/>
      </c>
      <c r="AE77"/>
      <c r="AG77" s="11"/>
      <c r="AH77" s="6">
        <v>57</v>
      </c>
      <c r="AI77" s="11" t="str">
        <f t="shared" si="40"/>
        <v/>
      </c>
      <c r="AL77" s="13" t="str">
        <f t="shared" si="41"/>
        <v/>
      </c>
    </row>
    <row r="78" spans="2:38" x14ac:dyDescent="0.35">
      <c r="B78" s="6">
        <v>58</v>
      </c>
      <c r="C78" s="2" t="s">
        <v>22</v>
      </c>
      <c r="D78" s="6" t="e">
        <f t="shared" si="5"/>
        <v>#NUM!</v>
      </c>
      <c r="E78" s="6" t="e">
        <f t="shared" si="6"/>
        <v>#NUM!</v>
      </c>
      <c r="F78" s="6" t="e">
        <f t="shared" si="7"/>
        <v>#NUM!</v>
      </c>
      <c r="G78" s="6" t="e">
        <f t="shared" si="28"/>
        <v>#NUM!</v>
      </c>
      <c r="H78" s="10" t="e">
        <f t="shared" si="8"/>
        <v>#NUM!</v>
      </c>
      <c r="I78" s="10" t="e">
        <f t="shared" si="9"/>
        <v>#NUM!</v>
      </c>
      <c r="J78" s="10" t="e">
        <f t="shared" si="10"/>
        <v>#NUM!</v>
      </c>
      <c r="K78" s="10" t="e">
        <f t="shared" si="11"/>
        <v>#NUM!</v>
      </c>
      <c r="L78" s="10" t="e">
        <f t="shared" si="12"/>
        <v>#NUM!</v>
      </c>
      <c r="M78" s="10" t="e">
        <f t="shared" si="13"/>
        <v>#NUM!</v>
      </c>
      <c r="N78" s="10" t="e">
        <f t="shared" si="14"/>
        <v>#NUM!</v>
      </c>
      <c r="O78" s="11" t="e">
        <f>ROUND(( SUM(Table323158[[#This Row],[I1]:[I7]]))*1000000, 0)</f>
        <v>#NUM!</v>
      </c>
      <c r="P78" s="11"/>
      <c r="Q78" s="6" t="e">
        <f t="shared" si="30"/>
        <v>#NUM!</v>
      </c>
      <c r="R78" s="6" t="e">
        <f t="shared" si="31"/>
        <v>#NUM!</v>
      </c>
      <c r="S78" s="6" t="e">
        <f t="shared" si="32"/>
        <v>#NUM!</v>
      </c>
      <c r="T78" s="10" t="e">
        <f t="shared" si="33"/>
        <v>#NUM!</v>
      </c>
      <c r="U78" s="10" t="e">
        <f t="shared" si="34"/>
        <v>#NUM!</v>
      </c>
      <c r="V78" s="10" t="e">
        <f t="shared" si="35"/>
        <v>#NUM!</v>
      </c>
      <c r="W78" s="10" t="e">
        <f t="shared" si="36"/>
        <v>#NUM!</v>
      </c>
      <c r="X78" s="10" t="e">
        <f t="shared" si="37"/>
        <v>#NUM!</v>
      </c>
      <c r="Y78" s="10" t="e">
        <f t="shared" si="38"/>
        <v>#NUM!</v>
      </c>
      <c r="Z78" s="10" t="e">
        <f t="shared" si="39"/>
        <v>#NUM!</v>
      </c>
      <c r="AA78" s="11" t="e">
        <f>ROUND((SUM(Table323158[[#This Row],[II1]:[II7]]))*1000000, 0)</f>
        <v>#NUM!</v>
      </c>
      <c r="AB78" s="18" t="s">
        <v>22</v>
      </c>
      <c r="AC78" s="11"/>
      <c r="AD78" s="13" t="str">
        <f t="shared" si="29"/>
        <v/>
      </c>
      <c r="AE78"/>
      <c r="AG78" s="11"/>
      <c r="AH78" s="6">
        <v>58</v>
      </c>
      <c r="AI78" s="11" t="str">
        <f t="shared" si="40"/>
        <v/>
      </c>
      <c r="AL78" s="13" t="str">
        <f t="shared" si="41"/>
        <v/>
      </c>
    </row>
    <row r="79" spans="2:38" x14ac:dyDescent="0.35">
      <c r="B79" s="6">
        <v>59</v>
      </c>
      <c r="C79" s="2" t="s">
        <v>22</v>
      </c>
      <c r="D79" s="6" t="e">
        <f t="shared" si="5"/>
        <v>#NUM!</v>
      </c>
      <c r="E79" s="6" t="e">
        <f t="shared" si="6"/>
        <v>#NUM!</v>
      </c>
      <c r="F79" s="6" t="e">
        <f t="shared" si="7"/>
        <v>#NUM!</v>
      </c>
      <c r="G79" s="6" t="e">
        <f t="shared" si="28"/>
        <v>#NUM!</v>
      </c>
      <c r="H79" s="10" t="e">
        <f t="shared" si="8"/>
        <v>#NUM!</v>
      </c>
      <c r="I79" s="10" t="e">
        <f t="shared" si="9"/>
        <v>#NUM!</v>
      </c>
      <c r="J79" s="10" t="e">
        <f t="shared" si="10"/>
        <v>#NUM!</v>
      </c>
      <c r="K79" s="10" t="e">
        <f t="shared" si="11"/>
        <v>#NUM!</v>
      </c>
      <c r="L79" s="10" t="e">
        <f t="shared" si="12"/>
        <v>#NUM!</v>
      </c>
      <c r="M79" s="10" t="e">
        <f t="shared" si="13"/>
        <v>#NUM!</v>
      </c>
      <c r="N79" s="10" t="e">
        <f t="shared" si="14"/>
        <v>#NUM!</v>
      </c>
      <c r="O79" s="11" t="e">
        <f>ROUND(( SUM(Table323158[[#This Row],[I1]:[I7]]))*1000000, 0)</f>
        <v>#NUM!</v>
      </c>
      <c r="P79" s="11"/>
      <c r="Q79" s="6" t="e">
        <f t="shared" si="30"/>
        <v>#NUM!</v>
      </c>
      <c r="R79" s="6" t="e">
        <f t="shared" si="31"/>
        <v>#NUM!</v>
      </c>
      <c r="S79" s="6" t="e">
        <f t="shared" si="32"/>
        <v>#NUM!</v>
      </c>
      <c r="T79" s="10" t="e">
        <f t="shared" si="33"/>
        <v>#NUM!</v>
      </c>
      <c r="U79" s="10" t="e">
        <f t="shared" si="34"/>
        <v>#NUM!</v>
      </c>
      <c r="V79" s="10" t="e">
        <f t="shared" si="35"/>
        <v>#NUM!</v>
      </c>
      <c r="W79" s="10" t="e">
        <f t="shared" si="36"/>
        <v>#NUM!</v>
      </c>
      <c r="X79" s="10" t="e">
        <f t="shared" si="37"/>
        <v>#NUM!</v>
      </c>
      <c r="Y79" s="10" t="e">
        <f t="shared" si="38"/>
        <v>#NUM!</v>
      </c>
      <c r="Z79" s="10" t="e">
        <f t="shared" si="39"/>
        <v>#NUM!</v>
      </c>
      <c r="AA79" s="11" t="e">
        <f>ROUND((SUM(Table323158[[#This Row],[II1]:[II7]]))*1000000, 0)</f>
        <v>#NUM!</v>
      </c>
      <c r="AB79" s="18" t="s">
        <v>22</v>
      </c>
      <c r="AC79" s="11"/>
      <c r="AD79" s="13">
        <f>IF(ISBLANK(AC79), 0, COUNTIF($J$20:$J$83,AC79))</f>
        <v>0</v>
      </c>
      <c r="AE79"/>
      <c r="AG79" s="11"/>
      <c r="AH79" s="6">
        <v>59</v>
      </c>
      <c r="AI79" s="11" t="str">
        <f t="shared" si="40"/>
        <v/>
      </c>
      <c r="AL79" s="13" t="str">
        <f t="shared" si="41"/>
        <v/>
      </c>
    </row>
    <row r="80" spans="2:38" x14ac:dyDescent="0.35">
      <c r="B80" s="6">
        <v>60</v>
      </c>
      <c r="C80" s="2" t="s">
        <v>22</v>
      </c>
      <c r="D80" s="6" t="e">
        <f t="shared" si="5"/>
        <v>#NUM!</v>
      </c>
      <c r="E80" s="6" t="e">
        <f t="shared" si="6"/>
        <v>#NUM!</v>
      </c>
      <c r="F80" s="6" t="e">
        <f t="shared" si="7"/>
        <v>#NUM!</v>
      </c>
      <c r="G80" s="6" t="e">
        <f t="shared" si="28"/>
        <v>#NUM!</v>
      </c>
      <c r="H80" s="10" t="e">
        <f t="shared" si="8"/>
        <v>#NUM!</v>
      </c>
      <c r="I80" s="10" t="e">
        <f t="shared" si="9"/>
        <v>#NUM!</v>
      </c>
      <c r="J80" s="10" t="e">
        <f t="shared" si="10"/>
        <v>#NUM!</v>
      </c>
      <c r="K80" s="10" t="e">
        <f t="shared" si="11"/>
        <v>#NUM!</v>
      </c>
      <c r="L80" s="10" t="e">
        <f t="shared" si="12"/>
        <v>#NUM!</v>
      </c>
      <c r="M80" s="10" t="e">
        <f t="shared" si="13"/>
        <v>#NUM!</v>
      </c>
      <c r="N80" s="10" t="e">
        <f t="shared" si="14"/>
        <v>#NUM!</v>
      </c>
      <c r="O80" s="11" t="e">
        <f>ROUND(( SUM(Table323158[[#This Row],[I1]:[I7]]))*1000000, 0)</f>
        <v>#NUM!</v>
      </c>
      <c r="P80" s="11"/>
      <c r="Q80" s="6" t="e">
        <f t="shared" si="30"/>
        <v>#NUM!</v>
      </c>
      <c r="R80" s="6" t="e">
        <f t="shared" si="31"/>
        <v>#NUM!</v>
      </c>
      <c r="S80" s="6" t="e">
        <f t="shared" si="32"/>
        <v>#NUM!</v>
      </c>
      <c r="T80" s="10" t="e">
        <f t="shared" si="33"/>
        <v>#NUM!</v>
      </c>
      <c r="U80" s="10" t="e">
        <f t="shared" si="34"/>
        <v>#NUM!</v>
      </c>
      <c r="V80" s="10" t="e">
        <f t="shared" si="35"/>
        <v>#NUM!</v>
      </c>
      <c r="W80" s="10" t="e">
        <f t="shared" si="36"/>
        <v>#NUM!</v>
      </c>
      <c r="X80" s="10" t="e">
        <f t="shared" si="37"/>
        <v>#NUM!</v>
      </c>
      <c r="Y80" s="10" t="e">
        <f t="shared" si="38"/>
        <v>#NUM!</v>
      </c>
      <c r="Z80" s="10" t="e">
        <f t="shared" si="39"/>
        <v>#NUM!</v>
      </c>
      <c r="AA80" s="11" t="e">
        <f>ROUND((SUM(Table323158[[#This Row],[II1]:[II7]]))*1000000, 0)</f>
        <v>#NUM!</v>
      </c>
      <c r="AB80" s="18" t="s">
        <v>22</v>
      </c>
      <c r="AC80" s="11"/>
      <c r="AD80" s="13">
        <f>IF(ISBLANK(AC80), 0, COUNTIF($J$20:$J$83,AC80))</f>
        <v>0</v>
      </c>
      <c r="AE80"/>
      <c r="AG80" s="11"/>
      <c r="AH80" s="6">
        <v>60</v>
      </c>
      <c r="AI80" s="11" t="str">
        <f t="shared" si="40"/>
        <v/>
      </c>
      <c r="AL80" s="13" t="str">
        <f t="shared" si="41"/>
        <v/>
      </c>
    </row>
    <row r="81" spans="2:38" x14ac:dyDescent="0.35">
      <c r="B81" s="6">
        <v>61</v>
      </c>
      <c r="C81" s="2" t="s">
        <v>22</v>
      </c>
      <c r="D81" s="6" t="e">
        <f t="shared" si="5"/>
        <v>#NUM!</v>
      </c>
      <c r="E81" s="6" t="e">
        <f t="shared" si="6"/>
        <v>#NUM!</v>
      </c>
      <c r="F81" s="6" t="e">
        <f t="shared" si="7"/>
        <v>#NUM!</v>
      </c>
      <c r="G81" s="6" t="e">
        <f t="shared" si="28"/>
        <v>#NUM!</v>
      </c>
      <c r="H81" s="10" t="e">
        <f t="shared" si="8"/>
        <v>#NUM!</v>
      </c>
      <c r="I81" s="10" t="e">
        <f t="shared" si="9"/>
        <v>#NUM!</v>
      </c>
      <c r="J81" s="10" t="e">
        <f t="shared" si="10"/>
        <v>#NUM!</v>
      </c>
      <c r="K81" s="10" t="e">
        <f t="shared" si="11"/>
        <v>#NUM!</v>
      </c>
      <c r="L81" s="10" t="e">
        <f t="shared" si="12"/>
        <v>#NUM!</v>
      </c>
      <c r="M81" s="10" t="e">
        <f t="shared" si="13"/>
        <v>#NUM!</v>
      </c>
      <c r="N81" s="10" t="e">
        <f t="shared" si="14"/>
        <v>#NUM!</v>
      </c>
      <c r="O81" s="11" t="e">
        <f>ROUND(( SUM(Table323158[[#This Row],[I1]:[I7]]))*1000000, 0)</f>
        <v>#NUM!</v>
      </c>
      <c r="P81" s="11"/>
      <c r="Q81" s="6" t="e">
        <f t="shared" si="30"/>
        <v>#NUM!</v>
      </c>
      <c r="R81" s="6" t="e">
        <f t="shared" si="31"/>
        <v>#NUM!</v>
      </c>
      <c r="S81" s="6" t="e">
        <f t="shared" si="32"/>
        <v>#NUM!</v>
      </c>
      <c r="T81" s="10" t="e">
        <f t="shared" si="33"/>
        <v>#NUM!</v>
      </c>
      <c r="U81" s="10" t="e">
        <f t="shared" si="34"/>
        <v>#NUM!</v>
      </c>
      <c r="V81" s="10" t="e">
        <f t="shared" si="35"/>
        <v>#NUM!</v>
      </c>
      <c r="W81" s="10" t="e">
        <f t="shared" si="36"/>
        <v>#NUM!</v>
      </c>
      <c r="X81" s="10" t="e">
        <f t="shared" si="37"/>
        <v>#NUM!</v>
      </c>
      <c r="Y81" s="10" t="e">
        <f t="shared" si="38"/>
        <v>#NUM!</v>
      </c>
      <c r="Z81" s="10" t="e">
        <f t="shared" si="39"/>
        <v>#NUM!</v>
      </c>
      <c r="AA81" s="11" t="e">
        <f>ROUND((SUM(Table323158[[#This Row],[II1]:[II7]]))*1000000, 0)</f>
        <v>#NUM!</v>
      </c>
      <c r="AB81" s="18" t="s">
        <v>22</v>
      </c>
      <c r="AC81" s="11"/>
      <c r="AD81" s="13">
        <f>IF(ISBLANK(AC81), 0, COUNTIF($J$20:$J$83,AC81))</f>
        <v>0</v>
      </c>
      <c r="AE81"/>
      <c r="AG81" s="11"/>
      <c r="AH81" s="6">
        <v>61</v>
      </c>
      <c r="AI81" s="11" t="str">
        <f t="shared" si="40"/>
        <v/>
      </c>
      <c r="AL81" s="13" t="str">
        <f t="shared" si="41"/>
        <v/>
      </c>
    </row>
    <row r="82" spans="2:38" x14ac:dyDescent="0.35">
      <c r="B82" s="6">
        <v>62</v>
      </c>
      <c r="C82" s="2" t="s">
        <v>22</v>
      </c>
      <c r="D82" s="6" t="e">
        <f t="shared" si="5"/>
        <v>#NUM!</v>
      </c>
      <c r="E82" s="6" t="e">
        <f t="shared" si="6"/>
        <v>#NUM!</v>
      </c>
      <c r="F82" s="6" t="e">
        <f t="shared" si="7"/>
        <v>#NUM!</v>
      </c>
      <c r="G82" s="6" t="e">
        <f t="shared" si="28"/>
        <v>#NUM!</v>
      </c>
      <c r="H82" s="10" t="e">
        <f t="shared" si="8"/>
        <v>#NUM!</v>
      </c>
      <c r="I82" s="10" t="e">
        <f t="shared" si="9"/>
        <v>#NUM!</v>
      </c>
      <c r="J82" s="10" t="e">
        <f t="shared" si="10"/>
        <v>#NUM!</v>
      </c>
      <c r="K82" s="10" t="e">
        <f t="shared" si="11"/>
        <v>#NUM!</v>
      </c>
      <c r="L82" s="10" t="e">
        <f t="shared" si="12"/>
        <v>#NUM!</v>
      </c>
      <c r="M82" s="10" t="e">
        <f t="shared" si="13"/>
        <v>#NUM!</v>
      </c>
      <c r="N82" s="10" t="e">
        <f t="shared" si="14"/>
        <v>#NUM!</v>
      </c>
      <c r="O82" s="11" t="e">
        <f>ROUND(( SUM(Table323158[[#This Row],[I1]:[I7]]))*1000000, 0)</f>
        <v>#NUM!</v>
      </c>
      <c r="P82" s="11"/>
      <c r="Q82" s="6" t="e">
        <f t="shared" si="30"/>
        <v>#NUM!</v>
      </c>
      <c r="R82" s="6" t="e">
        <f t="shared" si="31"/>
        <v>#NUM!</v>
      </c>
      <c r="S82" s="6" t="e">
        <f t="shared" si="32"/>
        <v>#NUM!</v>
      </c>
      <c r="T82" s="10" t="e">
        <f t="shared" si="33"/>
        <v>#NUM!</v>
      </c>
      <c r="U82" s="10" t="e">
        <f t="shared" si="34"/>
        <v>#NUM!</v>
      </c>
      <c r="V82" s="10" t="e">
        <f t="shared" si="35"/>
        <v>#NUM!</v>
      </c>
      <c r="W82" s="10" t="e">
        <f t="shared" si="36"/>
        <v>#NUM!</v>
      </c>
      <c r="X82" s="10" t="e">
        <f t="shared" si="37"/>
        <v>#NUM!</v>
      </c>
      <c r="Y82" s="10" t="e">
        <f t="shared" si="38"/>
        <v>#NUM!</v>
      </c>
      <c r="Z82" s="10" t="e">
        <f t="shared" si="39"/>
        <v>#NUM!</v>
      </c>
      <c r="AA82" s="11" t="e">
        <f>ROUND((SUM(Table323158[[#This Row],[II1]:[II7]]))*1000000, 0)</f>
        <v>#NUM!</v>
      </c>
      <c r="AB82" s="18" t="s">
        <v>22</v>
      </c>
      <c r="AC82" s="11"/>
      <c r="AD82" s="13">
        <f>IF(ISBLANK(AC82), 0, COUNTIF($J$20:$J$83,AC82))</f>
        <v>0</v>
      </c>
      <c r="AE82"/>
      <c r="AG82" s="11"/>
      <c r="AH82" s="6">
        <v>62</v>
      </c>
      <c r="AI82" s="11" t="str">
        <f t="shared" si="40"/>
        <v/>
      </c>
      <c r="AL82" s="13" t="str">
        <f t="shared" si="41"/>
        <v/>
      </c>
    </row>
    <row r="83" spans="2:38" x14ac:dyDescent="0.35">
      <c r="B83" s="6">
        <v>63</v>
      </c>
      <c r="C83" s="2" t="s">
        <v>22</v>
      </c>
      <c r="D83" s="6" t="e">
        <f t="shared" si="5"/>
        <v>#NUM!</v>
      </c>
      <c r="E83" s="6" t="e">
        <f t="shared" si="6"/>
        <v>#NUM!</v>
      </c>
      <c r="F83" s="6" t="e">
        <f t="shared" si="7"/>
        <v>#NUM!</v>
      </c>
      <c r="G83" s="6" t="e">
        <f t="shared" si="28"/>
        <v>#NUM!</v>
      </c>
      <c r="H83" s="10" t="e">
        <f t="shared" si="8"/>
        <v>#NUM!</v>
      </c>
      <c r="I83" s="10" t="e">
        <f t="shared" si="9"/>
        <v>#NUM!</v>
      </c>
      <c r="J83" s="10" t="e">
        <f t="shared" si="10"/>
        <v>#NUM!</v>
      </c>
      <c r="K83" s="10" t="e">
        <f t="shared" si="11"/>
        <v>#NUM!</v>
      </c>
      <c r="L83" s="10" t="e">
        <f t="shared" si="12"/>
        <v>#NUM!</v>
      </c>
      <c r="M83" s="10" t="e">
        <f t="shared" si="13"/>
        <v>#NUM!</v>
      </c>
      <c r="N83" s="10" t="e">
        <f t="shared" si="14"/>
        <v>#NUM!</v>
      </c>
      <c r="O83" s="11" t="e">
        <f>ROUND(( SUM(Table323158[[#This Row],[I1]:[I7]]))*1000000, 0)</f>
        <v>#NUM!</v>
      </c>
      <c r="P83" s="11"/>
      <c r="Q83" s="6" t="e">
        <f t="shared" si="30"/>
        <v>#NUM!</v>
      </c>
      <c r="R83" s="6" t="e">
        <f t="shared" si="31"/>
        <v>#NUM!</v>
      </c>
      <c r="S83" s="6" t="e">
        <f t="shared" si="32"/>
        <v>#NUM!</v>
      </c>
      <c r="T83" s="10" t="e">
        <f t="shared" si="33"/>
        <v>#NUM!</v>
      </c>
      <c r="U83" s="10" t="e">
        <f t="shared" si="34"/>
        <v>#NUM!</v>
      </c>
      <c r="V83" s="10" t="e">
        <f t="shared" si="35"/>
        <v>#NUM!</v>
      </c>
      <c r="W83" s="10" t="e">
        <f t="shared" si="36"/>
        <v>#NUM!</v>
      </c>
      <c r="X83" s="10" t="e">
        <f t="shared" si="37"/>
        <v>#NUM!</v>
      </c>
      <c r="Y83" s="10" t="e">
        <f t="shared" si="38"/>
        <v>#NUM!</v>
      </c>
      <c r="Z83" s="10" t="e">
        <f t="shared" si="39"/>
        <v>#NUM!</v>
      </c>
      <c r="AA83" s="11" t="e">
        <f>ROUND((SUM(Table323158[[#This Row],[II1]:[II7]]))*1000000, 0)</f>
        <v>#NUM!</v>
      </c>
      <c r="AB83" s="18" t="s">
        <v>22</v>
      </c>
      <c r="AC83" s="11"/>
      <c r="AD83" s="13">
        <f>IF(ISBLANK(AC83), 0, COUNTIF($J$20:$J$83,AC83))</f>
        <v>0</v>
      </c>
      <c r="AE83"/>
      <c r="AG83" s="11"/>
      <c r="AH83" s="6">
        <v>63</v>
      </c>
      <c r="AI83" s="11" t="str">
        <f>IF(ISBLANK(AI84),"",AI84-AF83)</f>
        <v/>
      </c>
      <c r="AL83" s="13" t="str">
        <f t="shared" si="41"/>
        <v/>
      </c>
    </row>
  </sheetData>
  <phoneticPr fontId="5" type="noConversion"/>
  <conditionalFormatting sqref="O20:P20 O36:P83 O20:O35">
    <cfRule type="duplicateValues" dxfId="11" priority="1"/>
  </conditionalFormatting>
  <conditionalFormatting sqref="AA20:AA83">
    <cfRule type="duplicateValues" dxfId="10" priority="2"/>
  </conditionalFormatting>
  <hyperlinks>
    <hyperlink ref="AU7" r:id="rId1" display="R@" xr:uid="{BD8AAEF9-4AF1-4C2E-B276-62DB93149D32}"/>
    <hyperlink ref="AV7" r:id="rId2" display="R@" xr:uid="{E991AA3B-E78C-44F1-9CA0-6D5F16F3D748}"/>
    <hyperlink ref="AW7" r:id="rId3" display="R@" xr:uid="{A47B4F8F-2B62-4BF9-8EBA-E18747347A18}"/>
    <hyperlink ref="AX7" r:id="rId4" display="R@" xr:uid="{A0F81EAD-3358-463D-9E31-CA01F47C6190}"/>
    <hyperlink ref="AY7" r:id="rId5" display="R@" xr:uid="{A11F2AA4-78B3-439A-8894-0FD0407FBCFF}"/>
    <hyperlink ref="BC7" r:id="rId6" display="R@" xr:uid="{84654875-8E57-40B3-902F-E17B968BACC3}"/>
    <hyperlink ref="BD7" r:id="rId7" display="R@" xr:uid="{C9E77860-E504-4676-B63A-A1E395BCC080}"/>
    <hyperlink ref="BE7" r:id="rId8" display="R@" xr:uid="{A2A6FA59-CCEB-48D7-A7D9-909CDE989908}"/>
    <hyperlink ref="BF7" r:id="rId9" display="R@" xr:uid="{02C5AF68-7A47-43CB-86D3-43A342D0316D}"/>
    <hyperlink ref="BG7" r:id="rId10" display="R@" xr:uid="{0DA54326-6386-404F-8598-1DFB6743DF0C}"/>
    <hyperlink ref="BJ7" r:id="rId11" display="R@" xr:uid="{61CA150D-3000-4FD8-B59B-7AB8B23587C8}"/>
    <hyperlink ref="BK7" r:id="rId12" display="R@" xr:uid="{9DDDBDB7-C106-4E6D-83FC-090765DFD1A4}"/>
    <hyperlink ref="BL7" r:id="rId13" display="R@" xr:uid="{70002DB4-1C5A-4099-965F-A76680D178E5}"/>
    <hyperlink ref="BM7" r:id="rId14" display="R@" xr:uid="{1B1786FF-5495-43F5-83FE-157461C3EBD7}"/>
    <hyperlink ref="BN7" r:id="rId15" display="R@" xr:uid="{36AED721-AC4D-40B9-A751-BD08FCE9B0B7}"/>
    <hyperlink ref="BQ7" r:id="rId16" display="R@" xr:uid="{66280F3E-A581-48A3-8AD2-2BB07F8E1A2C}"/>
    <hyperlink ref="BR7" r:id="rId17" display="R@" xr:uid="{F698BCD2-4079-4EE6-9ABF-949A10295246}"/>
    <hyperlink ref="BS7" r:id="rId18" display="R@" xr:uid="{0450A897-ABBB-4B66-8BBE-56BBA7F7B311}"/>
    <hyperlink ref="BT7" r:id="rId19" display="R@" xr:uid="{3C46E02F-5585-44DB-84B6-84372580C936}"/>
    <hyperlink ref="BU7" r:id="rId20" display="R@" xr:uid="{B978F5CF-022D-4228-B52A-2053E59BFD95}"/>
    <hyperlink ref="BX7" r:id="rId21" display="R@" xr:uid="{9341D145-F588-40D3-8140-7868ACAF4410}"/>
    <hyperlink ref="BY7" r:id="rId22" display="R@" xr:uid="{1BD255F1-BD0E-4280-8BA4-9F253557F7EE}"/>
    <hyperlink ref="BZ7" r:id="rId23" display="R@" xr:uid="{60CD3D95-8079-4CD3-8F35-44B0899B138B}"/>
    <hyperlink ref="CA7" r:id="rId24" display="R@" xr:uid="{3F9AC2C8-7399-4CE2-AA0B-D99E64084FB3}"/>
    <hyperlink ref="CB7" r:id="rId25" display="R@" xr:uid="{E0EAD341-0C15-4B3A-A83A-86E2F36EFCDE}"/>
    <hyperlink ref="CE7" r:id="rId26" display="R@" xr:uid="{CE1BFA0F-F5A5-4439-9902-B404AA14E499}"/>
    <hyperlink ref="CF7" r:id="rId27" display="R@" xr:uid="{69739768-8ABA-457F-8D0E-4758C7925482}"/>
    <hyperlink ref="CG7" r:id="rId28" display="R@" xr:uid="{601DD2DB-3F24-4993-B3A3-B9197F51435F}"/>
    <hyperlink ref="CH7" r:id="rId29" display="R@" xr:uid="{7C2BDF4C-D358-4655-A975-4884C7CF1361}"/>
    <hyperlink ref="CI7" r:id="rId30" display="R@" xr:uid="{0C206FDE-4B6E-4B6C-9D7B-E58736104983}"/>
    <hyperlink ref="E10" r:id="rId31" display="R@" xr:uid="{76670EB3-4F2A-4048-B0D0-BE91A85721E2}"/>
    <hyperlink ref="F10" r:id="rId32" display="R@" xr:uid="{F3FA1E33-37EE-4D98-BEC3-AFC2B329B19A}"/>
    <hyperlink ref="G10" r:id="rId33" display="R@" xr:uid="{FA3E481E-2651-483E-B59B-D174EF39954F}"/>
    <hyperlink ref="H10" r:id="rId34" display="R@" xr:uid="{DF29644F-DB75-440B-8802-23742217E4B5}"/>
    <hyperlink ref="I10" r:id="rId35" display="R@" xr:uid="{CFA1058C-0372-439A-BFF6-09149B194204}"/>
    <hyperlink ref="J10" r:id="rId36" display="R@" xr:uid="{FC69F8D7-8643-4D63-A8E0-4E16E3B33ECD}"/>
    <hyperlink ref="BY20" r:id="rId37" display="R@" xr:uid="{3574F756-A3A4-404C-9136-2607E155D977}"/>
    <hyperlink ref="BZ20" r:id="rId38" display="R@" xr:uid="{CB74F10E-9922-4703-84EC-8999734F774F}"/>
    <hyperlink ref="CA20" r:id="rId39" display="R@" xr:uid="{FDB25E4C-A192-45B6-8488-C24800FF748F}"/>
    <hyperlink ref="CB20" r:id="rId40" display="R@" xr:uid="{8B5C7D3F-A235-4F9F-88C8-702788AFE10D}"/>
    <hyperlink ref="CC20" r:id="rId41" display="R@" xr:uid="{DD099C78-E2D8-435B-A2C0-B21F801ADF0C}"/>
    <hyperlink ref="CL7" r:id="rId42" display="R@" xr:uid="{CCB03353-C4EA-4175-B98C-AFCF8470091E}"/>
    <hyperlink ref="CM7" r:id="rId43" display="R@" xr:uid="{450509EA-A8F3-449E-837A-4BBC4793D897}"/>
    <hyperlink ref="CN7" r:id="rId44" display="R@" xr:uid="{1BFABDA5-7D06-4B72-8D32-585FD362B421}"/>
    <hyperlink ref="CO7" r:id="rId45" display="R@" xr:uid="{639326CF-3A51-4E67-A04C-1D0970C697C9}"/>
    <hyperlink ref="CP7" r:id="rId46" display="R@" xr:uid="{225FE883-1BED-444B-BDFE-93A9CE41947E}"/>
    <hyperlink ref="CQ7" r:id="rId47" display="R@" xr:uid="{2310B3D4-BAB5-4CC4-B5E6-9D0C723B13BB}"/>
    <hyperlink ref="E2" r:id="rId48" display="R@" xr:uid="{2102D18B-16A2-4E8C-A590-BEEC556A78A0}"/>
    <hyperlink ref="F2" r:id="rId49" display="R@" xr:uid="{AFB9F7C9-A475-47C6-84D2-243DA0B268D4}"/>
    <hyperlink ref="G2" r:id="rId50" display="R@" xr:uid="{C7C25446-6ED7-4F4A-9267-0E5D8FAB80AF}"/>
    <hyperlink ref="H2" r:id="rId51" display="R@" xr:uid="{D0AB822A-9DCF-4000-8B67-2F4570ED2F7A}"/>
    <hyperlink ref="I2" r:id="rId52" display="R@" xr:uid="{C2AB74BC-3FB2-48AC-8739-4B0AD5918292}"/>
    <hyperlink ref="J2" r:id="rId53" display="R@" xr:uid="{787C74B0-F736-4068-9E5F-A08011ED2836}"/>
    <hyperlink ref="CT7" r:id="rId54" display="R@" xr:uid="{48964DFB-E102-4573-9512-F3792BE8E958}"/>
    <hyperlink ref="CU7" r:id="rId55" display="R@" xr:uid="{920C880A-03AA-41E4-84A0-D6987A29EC24}"/>
    <hyperlink ref="CV7" r:id="rId56" display="R@" xr:uid="{6BF6D509-0AFD-48F7-B783-9161E980C552}"/>
    <hyperlink ref="CW7" r:id="rId57" display="R@" xr:uid="{A7AF8EA1-D35F-47FE-A33E-129EF2AE1D03}"/>
    <hyperlink ref="CX7" r:id="rId58" display="R@" xr:uid="{3CFDE75E-638B-4490-B0E8-3640A876DF10}"/>
    <hyperlink ref="CY7" r:id="rId59" display="R@" xr:uid="{68153FC6-3308-4E08-A9B6-F3017963E186}"/>
    <hyperlink ref="DB7" r:id="rId60" display="R@" xr:uid="{FAE90B4C-0A5F-496C-A3C7-80892D49F9DD}"/>
    <hyperlink ref="DC7" r:id="rId61" display="R@" xr:uid="{FEE8F658-81F2-4E19-AC74-6DDA98F0D415}"/>
    <hyperlink ref="DD7" r:id="rId62" display="R@" xr:uid="{8DC6C17E-0013-4A9F-A701-03700C513698}"/>
    <hyperlink ref="DE7" r:id="rId63" display="R@" xr:uid="{8F1C1A68-D80D-4350-A575-4E94A99E78B7}"/>
    <hyperlink ref="DF7" r:id="rId64" display="R@" xr:uid="{022FAE70-013F-47F2-85FB-A9E4613E9B15}"/>
    <hyperlink ref="DG7" r:id="rId65" display="R@" xr:uid="{DCA9C69C-D49E-440F-8B6D-65452BC046CD}"/>
    <hyperlink ref="DJ7" r:id="rId66" display="R@" xr:uid="{1AD3D11E-1AD3-46EB-9756-67B8477FD044}"/>
    <hyperlink ref="DK7" r:id="rId67" display="R@" xr:uid="{768A917F-F059-45A2-982D-2A02D4B17C44}"/>
    <hyperlink ref="DL7" r:id="rId68" display="R@" xr:uid="{1F2B0A0D-E8A8-43BB-9924-F63381CA9455}"/>
    <hyperlink ref="DM7" r:id="rId69" display="R@" xr:uid="{6700A653-53FE-44EF-A0F9-F368C4332045}"/>
    <hyperlink ref="DN7" r:id="rId70" display="R@" xr:uid="{F963BD55-25F8-4589-B7AD-A91E98FCEEC9}"/>
    <hyperlink ref="DO7" r:id="rId71" display="R@" xr:uid="{91F00897-C63B-4220-9FF9-1A97C74E22E8}"/>
  </hyperlinks>
  <pageMargins left="0.7" right="0.7" top="0.75" bottom="0.75" header="0.3" footer="0.3"/>
  <drawing r:id="rId72"/>
  <tableParts count="1">
    <tablePart r:id="rId7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B207D-AFBD-4156-A763-C1191DC522DA}">
  <dimension ref="B2:DQ83"/>
  <sheetViews>
    <sheetView workbookViewId="0">
      <selection activeCell="C17" sqref="C17"/>
    </sheetView>
  </sheetViews>
  <sheetFormatPr defaultRowHeight="14.5" x14ac:dyDescent="0.35"/>
  <cols>
    <col min="2" max="2" width="6.7265625" style="6" bestFit="1" customWidth="1"/>
    <col min="3" max="3" width="19.1796875" style="2" customWidth="1"/>
    <col min="4" max="4" width="12.1796875" customWidth="1"/>
    <col min="5" max="6" width="10.54296875" bestFit="1" customWidth="1"/>
    <col min="7" max="7" width="10.54296875" customWidth="1"/>
    <col min="8" max="10" width="10.54296875" bestFit="1" customWidth="1"/>
    <col min="11" max="13" width="10.54296875" style="10" bestFit="1" customWidth="1"/>
    <col min="14" max="15" width="10.54296875" style="10" customWidth="1"/>
    <col min="16" max="16" width="19.1796875" style="10" bestFit="1" customWidth="1"/>
    <col min="17" max="17" width="19.1796875" style="10" customWidth="1"/>
    <col min="18" max="18" width="6.7265625" style="6" bestFit="1" customWidth="1"/>
    <col min="19" max="27" width="10.54296875" style="10" customWidth="1"/>
    <col min="28" max="29" width="10.54296875" style="10" bestFit="1" customWidth="1"/>
    <col min="30" max="30" width="19.26953125" style="10" customWidth="1"/>
    <col min="31" max="31" width="10.54296875" style="10" customWidth="1"/>
    <col min="32" max="32" width="10" style="11" bestFit="1" customWidth="1"/>
    <col min="33" max="33" width="19.1796875" style="11" bestFit="1" customWidth="1"/>
    <col min="34" max="34" width="14.7265625" style="11" bestFit="1" customWidth="1"/>
    <col min="35" max="35" width="9.54296875" style="13" bestFit="1" customWidth="1"/>
    <col min="37" max="37" width="7.81640625" style="11" bestFit="1" customWidth="1"/>
    <col min="38" max="39" width="7.81640625" style="11" customWidth="1"/>
    <col min="40" max="41" width="10.81640625" style="11" customWidth="1"/>
    <col min="42" max="42" width="9.1796875" style="11"/>
  </cols>
  <sheetData>
    <row r="2" spans="3:121" x14ac:dyDescent="0.35">
      <c r="D2" s="15" t="s">
        <v>10</v>
      </c>
      <c r="E2" s="5" t="s">
        <v>11</v>
      </c>
      <c r="F2" s="5" t="s">
        <v>13</v>
      </c>
      <c r="G2" s="5"/>
      <c r="H2" s="5"/>
      <c r="I2" s="5"/>
      <c r="J2" s="5"/>
    </row>
    <row r="3" spans="3:121" x14ac:dyDescent="0.35">
      <c r="D3">
        <v>7</v>
      </c>
      <c r="E3">
        <v>7</v>
      </c>
      <c r="F3">
        <v>7</v>
      </c>
      <c r="K3">
        <f t="shared" ref="K3:K8" si="0">SUM(D3:J3)</f>
        <v>21</v>
      </c>
      <c r="L3">
        <v>32</v>
      </c>
      <c r="N3"/>
      <c r="O3"/>
      <c r="P3"/>
      <c r="Q3"/>
      <c r="S3"/>
      <c r="T3"/>
      <c r="U3"/>
      <c r="V3"/>
      <c r="W3"/>
      <c r="X3"/>
      <c r="Y3"/>
      <c r="Z3"/>
      <c r="AA3"/>
    </row>
    <row r="4" spans="3:121" x14ac:dyDescent="0.35">
      <c r="D4">
        <v>7</v>
      </c>
      <c r="E4">
        <v>30</v>
      </c>
      <c r="F4">
        <v>100</v>
      </c>
      <c r="K4">
        <f t="shared" si="0"/>
        <v>137</v>
      </c>
      <c r="L4">
        <v>16</v>
      </c>
      <c r="N4"/>
      <c r="O4"/>
      <c r="P4"/>
      <c r="Q4"/>
      <c r="S4"/>
      <c r="T4"/>
      <c r="U4"/>
      <c r="V4"/>
      <c r="W4"/>
      <c r="X4"/>
      <c r="Y4"/>
      <c r="Z4"/>
      <c r="AA4"/>
    </row>
    <row r="5" spans="3:121" x14ac:dyDescent="0.35">
      <c r="D5">
        <v>30</v>
      </c>
      <c r="E5">
        <v>100</v>
      </c>
      <c r="F5">
        <v>100</v>
      </c>
      <c r="K5">
        <f t="shared" si="0"/>
        <v>230</v>
      </c>
      <c r="L5">
        <v>8</v>
      </c>
      <c r="N5"/>
      <c r="O5"/>
      <c r="P5"/>
      <c r="Q5"/>
      <c r="S5"/>
      <c r="T5"/>
      <c r="U5"/>
      <c r="V5"/>
      <c r="W5"/>
      <c r="X5"/>
      <c r="Y5"/>
      <c r="Z5"/>
      <c r="AA5"/>
    </row>
    <row r="6" spans="3:121" x14ac:dyDescent="0.35">
      <c r="D6">
        <v>100</v>
      </c>
      <c r="E6">
        <v>100</v>
      </c>
      <c r="F6">
        <v>100</v>
      </c>
      <c r="K6">
        <f t="shared" si="0"/>
        <v>300</v>
      </c>
      <c r="L6">
        <v>4</v>
      </c>
      <c r="N6"/>
      <c r="O6"/>
      <c r="P6"/>
      <c r="Q6"/>
      <c r="S6"/>
      <c r="T6"/>
      <c r="U6"/>
      <c r="V6"/>
      <c r="W6"/>
      <c r="X6"/>
      <c r="Y6"/>
      <c r="Z6"/>
      <c r="AA6"/>
    </row>
    <row r="7" spans="3:121" x14ac:dyDescent="0.35">
      <c r="D7">
        <v>7</v>
      </c>
      <c r="E7">
        <v>100</v>
      </c>
      <c r="F7">
        <v>100</v>
      </c>
      <c r="K7">
        <f t="shared" si="0"/>
        <v>207</v>
      </c>
      <c r="L7">
        <v>2</v>
      </c>
      <c r="N7"/>
      <c r="O7"/>
      <c r="P7"/>
      <c r="Q7"/>
      <c r="S7"/>
      <c r="T7"/>
      <c r="U7"/>
      <c r="V7"/>
      <c r="W7"/>
      <c r="X7"/>
      <c r="Y7"/>
      <c r="Z7"/>
      <c r="AA7"/>
      <c r="AV7" s="15" t="s">
        <v>10</v>
      </c>
      <c r="AW7" s="5" t="s">
        <v>11</v>
      </c>
      <c r="AX7" s="5" t="s">
        <v>13</v>
      </c>
      <c r="AY7" s="5" t="s">
        <v>25</v>
      </c>
      <c r="AZ7" s="5" t="s">
        <v>27</v>
      </c>
      <c r="BA7" s="5" t="s">
        <v>28</v>
      </c>
      <c r="BD7" s="15" t="s">
        <v>10</v>
      </c>
      <c r="BE7" s="5" t="s">
        <v>11</v>
      </c>
      <c r="BF7" s="5" t="s">
        <v>13</v>
      </c>
      <c r="BG7" s="5" t="s">
        <v>25</v>
      </c>
      <c r="BH7" s="5" t="s">
        <v>27</v>
      </c>
      <c r="BI7" s="5" t="s">
        <v>28</v>
      </c>
      <c r="BK7" s="15" t="s">
        <v>10</v>
      </c>
      <c r="BL7" s="5" t="s">
        <v>11</v>
      </c>
      <c r="BM7" s="5" t="s">
        <v>13</v>
      </c>
      <c r="BN7" s="5" t="s">
        <v>25</v>
      </c>
      <c r="BO7" s="5" t="s">
        <v>27</v>
      </c>
      <c r="BP7" s="5" t="s">
        <v>28</v>
      </c>
      <c r="BR7" s="15" t="s">
        <v>10</v>
      </c>
      <c r="BS7" s="5" t="s">
        <v>11</v>
      </c>
      <c r="BT7" s="5" t="s">
        <v>13</v>
      </c>
      <c r="BU7" s="5" t="s">
        <v>25</v>
      </c>
      <c r="BV7" s="5" t="s">
        <v>27</v>
      </c>
      <c r="BW7" s="5" t="s">
        <v>28</v>
      </c>
      <c r="BY7" s="15" t="s">
        <v>10</v>
      </c>
      <c r="BZ7" s="5" t="s">
        <v>11</v>
      </c>
      <c r="CA7" s="5" t="s">
        <v>13</v>
      </c>
      <c r="CB7" s="5" t="s">
        <v>25</v>
      </c>
      <c r="CC7" s="5" t="s">
        <v>27</v>
      </c>
      <c r="CD7" s="5" t="s">
        <v>28</v>
      </c>
      <c r="CF7" s="15" t="s">
        <v>10</v>
      </c>
      <c r="CG7" s="5" t="s">
        <v>11</v>
      </c>
      <c r="CH7" s="5" t="s">
        <v>13</v>
      </c>
      <c r="CI7" s="5" t="s">
        <v>25</v>
      </c>
      <c r="CJ7" s="5" t="s">
        <v>27</v>
      </c>
      <c r="CK7" s="5" t="s">
        <v>28</v>
      </c>
      <c r="CM7" s="15" t="s">
        <v>10</v>
      </c>
      <c r="CN7" s="5" t="s">
        <v>11</v>
      </c>
      <c r="CO7" s="5" t="s">
        <v>13</v>
      </c>
      <c r="CP7" s="5" t="s">
        <v>25</v>
      </c>
      <c r="CQ7" s="5" t="s">
        <v>27</v>
      </c>
      <c r="CR7" s="5" t="s">
        <v>28</v>
      </c>
      <c r="CS7" s="5" t="s">
        <v>34</v>
      </c>
      <c r="CU7" s="15" t="s">
        <v>10</v>
      </c>
      <c r="CV7" s="5" t="s">
        <v>11</v>
      </c>
      <c r="CW7" s="5" t="s">
        <v>13</v>
      </c>
      <c r="CX7" s="5" t="s">
        <v>25</v>
      </c>
      <c r="CY7" s="5" t="s">
        <v>27</v>
      </c>
      <c r="CZ7" s="5" t="s">
        <v>28</v>
      </c>
      <c r="DA7" s="5" t="s">
        <v>34</v>
      </c>
      <c r="DC7" s="15" t="s">
        <v>10</v>
      </c>
      <c r="DD7" s="5" t="s">
        <v>11</v>
      </c>
      <c r="DE7" s="5" t="s">
        <v>13</v>
      </c>
      <c r="DF7" s="5" t="s">
        <v>25</v>
      </c>
      <c r="DG7" s="5" t="s">
        <v>27</v>
      </c>
      <c r="DH7" s="5" t="s">
        <v>28</v>
      </c>
      <c r="DI7" s="5" t="s">
        <v>34</v>
      </c>
      <c r="DK7" s="15" t="s">
        <v>10</v>
      </c>
      <c r="DL7" s="5" t="s">
        <v>11</v>
      </c>
      <c r="DM7" s="5" t="s">
        <v>13</v>
      </c>
      <c r="DN7" s="5" t="s">
        <v>25</v>
      </c>
      <c r="DO7" s="5" t="s">
        <v>27</v>
      </c>
      <c r="DP7" s="5" t="s">
        <v>28</v>
      </c>
      <c r="DQ7" s="5" t="s">
        <v>34</v>
      </c>
    </row>
    <row r="8" spans="3:121" x14ac:dyDescent="0.35">
      <c r="D8">
        <v>7</v>
      </c>
      <c r="E8">
        <v>7</v>
      </c>
      <c r="F8">
        <v>100</v>
      </c>
      <c r="K8">
        <f t="shared" si="0"/>
        <v>114</v>
      </c>
      <c r="L8">
        <v>1</v>
      </c>
      <c r="N8"/>
      <c r="O8"/>
      <c r="P8"/>
      <c r="Q8"/>
      <c r="S8"/>
      <c r="T8"/>
      <c r="U8"/>
      <c r="V8"/>
      <c r="W8"/>
      <c r="X8"/>
      <c r="Y8"/>
      <c r="Z8"/>
      <c r="AA8"/>
      <c r="AV8">
        <v>7</v>
      </c>
      <c r="AW8">
        <v>7</v>
      </c>
      <c r="AX8">
        <v>7</v>
      </c>
      <c r="AY8">
        <v>7</v>
      </c>
      <c r="AZ8">
        <v>7</v>
      </c>
      <c r="BA8">
        <v>7</v>
      </c>
      <c r="BD8">
        <v>7</v>
      </c>
      <c r="BE8">
        <v>7</v>
      </c>
      <c r="BF8">
        <v>7</v>
      </c>
      <c r="BG8">
        <v>7</v>
      </c>
      <c r="BH8">
        <v>7</v>
      </c>
      <c r="BI8">
        <v>100</v>
      </c>
      <c r="BK8">
        <v>7</v>
      </c>
      <c r="BL8">
        <v>7</v>
      </c>
      <c r="BM8">
        <v>7</v>
      </c>
      <c r="BN8">
        <v>7</v>
      </c>
      <c r="BO8">
        <v>7</v>
      </c>
      <c r="BP8">
        <v>100</v>
      </c>
      <c r="BR8">
        <v>7</v>
      </c>
      <c r="BS8">
        <v>7</v>
      </c>
      <c r="BT8">
        <v>7</v>
      </c>
      <c r="BU8">
        <v>7</v>
      </c>
      <c r="BV8">
        <v>7</v>
      </c>
      <c r="BW8">
        <v>100</v>
      </c>
      <c r="BY8">
        <v>7</v>
      </c>
      <c r="BZ8">
        <v>7</v>
      </c>
      <c r="CA8">
        <v>7</v>
      </c>
      <c r="CB8">
        <v>7</v>
      </c>
      <c r="CC8">
        <v>7</v>
      </c>
      <c r="CD8">
        <v>20</v>
      </c>
      <c r="CF8">
        <v>7</v>
      </c>
      <c r="CG8">
        <v>7</v>
      </c>
      <c r="CH8">
        <v>7</v>
      </c>
      <c r="CI8">
        <v>7</v>
      </c>
      <c r="CJ8">
        <v>7</v>
      </c>
      <c r="CK8">
        <v>7</v>
      </c>
      <c r="CM8">
        <v>7</v>
      </c>
      <c r="CN8">
        <v>7</v>
      </c>
      <c r="CO8">
        <v>7</v>
      </c>
      <c r="CP8">
        <v>7</v>
      </c>
      <c r="CQ8">
        <v>7</v>
      </c>
      <c r="CR8">
        <v>7</v>
      </c>
      <c r="CS8">
        <v>7</v>
      </c>
      <c r="CU8">
        <v>7</v>
      </c>
      <c r="CV8">
        <v>7</v>
      </c>
      <c r="CW8">
        <v>7</v>
      </c>
      <c r="CX8">
        <v>7</v>
      </c>
      <c r="CY8">
        <v>7</v>
      </c>
      <c r="CZ8">
        <v>7</v>
      </c>
      <c r="DA8">
        <v>7</v>
      </c>
      <c r="DC8">
        <v>7</v>
      </c>
      <c r="DD8">
        <v>7</v>
      </c>
      <c r="DE8">
        <v>7</v>
      </c>
      <c r="DF8">
        <v>7</v>
      </c>
      <c r="DG8">
        <v>7</v>
      </c>
      <c r="DH8">
        <v>7</v>
      </c>
      <c r="DI8">
        <v>7</v>
      </c>
      <c r="DK8">
        <v>7</v>
      </c>
      <c r="DL8">
        <v>7</v>
      </c>
      <c r="DM8">
        <v>7</v>
      </c>
      <c r="DN8">
        <v>7</v>
      </c>
      <c r="DO8">
        <v>7</v>
      </c>
      <c r="DP8">
        <v>7</v>
      </c>
      <c r="DQ8">
        <v>7</v>
      </c>
    </row>
    <row r="9" spans="3:121" x14ac:dyDescent="0.35">
      <c r="L9"/>
      <c r="N9"/>
      <c r="O9"/>
      <c r="P9"/>
      <c r="Q9"/>
      <c r="S9"/>
      <c r="T9"/>
      <c r="U9"/>
      <c r="V9"/>
      <c r="W9"/>
      <c r="X9"/>
      <c r="Y9"/>
      <c r="Z9"/>
      <c r="AA9"/>
      <c r="AV9">
        <v>7</v>
      </c>
      <c r="AW9">
        <v>7</v>
      </c>
      <c r="AX9">
        <v>7</v>
      </c>
      <c r="AY9">
        <v>7</v>
      </c>
      <c r="AZ9">
        <v>100</v>
      </c>
      <c r="BA9">
        <v>100</v>
      </c>
      <c r="BD9">
        <v>7</v>
      </c>
      <c r="BE9">
        <v>7</v>
      </c>
      <c r="BF9">
        <v>7</v>
      </c>
      <c r="BG9">
        <v>7</v>
      </c>
      <c r="BH9">
        <v>100</v>
      </c>
      <c r="BI9">
        <v>20</v>
      </c>
      <c r="BK9">
        <v>7</v>
      </c>
      <c r="BL9">
        <v>7</v>
      </c>
      <c r="BM9">
        <v>7</v>
      </c>
      <c r="BN9">
        <v>100</v>
      </c>
      <c r="BO9">
        <v>100</v>
      </c>
      <c r="BP9">
        <v>20</v>
      </c>
      <c r="BR9">
        <v>7</v>
      </c>
      <c r="BS9">
        <v>7</v>
      </c>
      <c r="BT9">
        <v>7</v>
      </c>
      <c r="BU9">
        <v>100</v>
      </c>
      <c r="BV9">
        <v>100</v>
      </c>
      <c r="BW9">
        <v>20</v>
      </c>
      <c r="BY9">
        <v>7</v>
      </c>
      <c r="BZ9">
        <v>7</v>
      </c>
      <c r="CA9">
        <v>7</v>
      </c>
      <c r="CB9">
        <v>7</v>
      </c>
      <c r="CC9">
        <v>20</v>
      </c>
      <c r="CD9">
        <v>100</v>
      </c>
      <c r="CF9">
        <v>7</v>
      </c>
      <c r="CG9">
        <v>7</v>
      </c>
      <c r="CH9">
        <v>7</v>
      </c>
      <c r="CI9">
        <v>100</v>
      </c>
      <c r="CJ9">
        <v>100</v>
      </c>
      <c r="CK9">
        <v>100</v>
      </c>
      <c r="CM9">
        <v>7</v>
      </c>
      <c r="CN9">
        <v>7</v>
      </c>
      <c r="CO9">
        <v>7</v>
      </c>
      <c r="CP9">
        <v>20</v>
      </c>
      <c r="CQ9">
        <v>100</v>
      </c>
      <c r="CR9">
        <v>150</v>
      </c>
      <c r="CS9">
        <v>150</v>
      </c>
      <c r="CU9">
        <v>7</v>
      </c>
      <c r="CV9">
        <v>7</v>
      </c>
      <c r="CW9">
        <v>7</v>
      </c>
      <c r="CX9">
        <v>20</v>
      </c>
      <c r="CY9">
        <v>100</v>
      </c>
      <c r="CZ9">
        <v>150</v>
      </c>
      <c r="DA9">
        <v>150</v>
      </c>
      <c r="DC9">
        <v>7</v>
      </c>
      <c r="DD9">
        <v>7</v>
      </c>
      <c r="DE9">
        <v>7</v>
      </c>
      <c r="DF9">
        <v>7</v>
      </c>
      <c r="DG9">
        <v>7</v>
      </c>
      <c r="DH9">
        <v>30</v>
      </c>
      <c r="DI9">
        <v>100</v>
      </c>
      <c r="DK9">
        <v>7</v>
      </c>
      <c r="DL9">
        <v>7</v>
      </c>
      <c r="DM9">
        <v>7</v>
      </c>
      <c r="DN9">
        <v>7</v>
      </c>
      <c r="DO9">
        <v>7</v>
      </c>
      <c r="DP9">
        <v>30</v>
      </c>
      <c r="DQ9">
        <v>100</v>
      </c>
    </row>
    <row r="10" spans="3:121" x14ac:dyDescent="0.35">
      <c r="D10" s="16" t="s">
        <v>7</v>
      </c>
      <c r="E10" s="9" t="s">
        <v>8</v>
      </c>
      <c r="F10" s="9" t="s">
        <v>12</v>
      </c>
      <c r="G10" s="9" t="s">
        <v>26</v>
      </c>
      <c r="H10" s="9" t="s">
        <v>29</v>
      </c>
      <c r="I10" s="9" t="s">
        <v>30</v>
      </c>
      <c r="J10" s="9" t="s">
        <v>35</v>
      </c>
      <c r="L10"/>
      <c r="N10"/>
      <c r="O10"/>
      <c r="P10"/>
      <c r="Q10"/>
      <c r="S10"/>
      <c r="T10"/>
      <c r="U10"/>
      <c r="V10"/>
      <c r="W10"/>
      <c r="X10"/>
      <c r="Y10"/>
      <c r="Z10"/>
      <c r="AA10"/>
      <c r="AV10">
        <v>7</v>
      </c>
      <c r="AW10">
        <v>7</v>
      </c>
      <c r="AX10">
        <v>20</v>
      </c>
      <c r="AY10">
        <v>20</v>
      </c>
      <c r="AZ10">
        <v>100</v>
      </c>
      <c r="BA10">
        <v>100</v>
      </c>
      <c r="BD10">
        <v>7</v>
      </c>
      <c r="BE10">
        <v>7</v>
      </c>
      <c r="BF10">
        <v>7</v>
      </c>
      <c r="BG10">
        <v>100</v>
      </c>
      <c r="BH10">
        <v>20</v>
      </c>
      <c r="BI10">
        <v>20</v>
      </c>
      <c r="BK10">
        <v>7</v>
      </c>
      <c r="BL10">
        <v>7</v>
      </c>
      <c r="BM10">
        <v>100</v>
      </c>
      <c r="BN10">
        <v>100</v>
      </c>
      <c r="BO10">
        <v>100</v>
      </c>
      <c r="BP10">
        <v>20</v>
      </c>
      <c r="BR10">
        <v>7</v>
      </c>
      <c r="BS10">
        <v>7</v>
      </c>
      <c r="BT10">
        <v>100</v>
      </c>
      <c r="BU10">
        <v>100</v>
      </c>
      <c r="BV10">
        <v>100</v>
      </c>
      <c r="BW10">
        <v>20</v>
      </c>
      <c r="BY10">
        <v>7</v>
      </c>
      <c r="BZ10">
        <v>7</v>
      </c>
      <c r="CA10">
        <v>7</v>
      </c>
      <c r="CB10">
        <v>20</v>
      </c>
      <c r="CC10">
        <v>100</v>
      </c>
      <c r="CD10">
        <v>100</v>
      </c>
      <c r="CF10">
        <v>7</v>
      </c>
      <c r="CG10">
        <v>100</v>
      </c>
      <c r="CH10">
        <v>100</v>
      </c>
      <c r="CI10">
        <v>100</v>
      </c>
      <c r="CJ10">
        <v>100</v>
      </c>
      <c r="CK10">
        <v>100</v>
      </c>
      <c r="CM10">
        <v>7</v>
      </c>
      <c r="CN10">
        <v>20</v>
      </c>
      <c r="CO10">
        <v>20</v>
      </c>
      <c r="CP10">
        <v>20</v>
      </c>
      <c r="CQ10">
        <v>20</v>
      </c>
      <c r="CR10">
        <v>20</v>
      </c>
      <c r="CS10">
        <v>150</v>
      </c>
      <c r="CU10">
        <v>7</v>
      </c>
      <c r="CV10">
        <v>20</v>
      </c>
      <c r="CW10">
        <v>20</v>
      </c>
      <c r="CX10">
        <v>20</v>
      </c>
      <c r="CY10">
        <v>20</v>
      </c>
      <c r="CZ10">
        <v>20</v>
      </c>
      <c r="DA10">
        <v>150</v>
      </c>
      <c r="DC10">
        <v>7</v>
      </c>
      <c r="DD10">
        <v>7</v>
      </c>
      <c r="DE10">
        <v>7</v>
      </c>
      <c r="DF10">
        <v>30</v>
      </c>
      <c r="DG10">
        <v>30</v>
      </c>
      <c r="DH10">
        <v>30</v>
      </c>
      <c r="DI10">
        <v>100</v>
      </c>
      <c r="DK10">
        <v>7</v>
      </c>
      <c r="DL10">
        <v>7</v>
      </c>
      <c r="DM10">
        <v>7</v>
      </c>
      <c r="DN10">
        <v>15</v>
      </c>
      <c r="DO10">
        <v>15</v>
      </c>
      <c r="DP10">
        <v>100</v>
      </c>
      <c r="DQ10">
        <v>100</v>
      </c>
    </row>
    <row r="11" spans="3:121" x14ac:dyDescent="0.35">
      <c r="D11" s="10">
        <f>0.2/(D3*1000)</f>
        <v>2.8571428571428574E-5</v>
      </c>
      <c r="E11" s="10">
        <f t="shared" ref="E11:F11" si="1">0.2/(E3*1000)</f>
        <v>2.8571428571428574E-5</v>
      </c>
      <c r="F11" s="10">
        <f t="shared" si="1"/>
        <v>2.8571428571428574E-5</v>
      </c>
      <c r="G11" s="10" t="e">
        <f t="shared" ref="G11:J16" si="2">0.2/(G3*1000)</f>
        <v>#DIV/0!</v>
      </c>
      <c r="H11" s="10" t="e">
        <f t="shared" si="2"/>
        <v>#DIV/0!</v>
      </c>
      <c r="I11" s="10" t="e">
        <f t="shared" si="2"/>
        <v>#DIV/0!</v>
      </c>
      <c r="J11" s="10" t="e">
        <f t="shared" si="2"/>
        <v>#DIV/0!</v>
      </c>
      <c r="K11" s="10" t="e">
        <f t="shared" ref="K11:K16" si="3">SUM(D11:J11)</f>
        <v>#DIV/0!</v>
      </c>
      <c r="L11"/>
      <c r="N11"/>
      <c r="O11"/>
      <c r="P11"/>
      <c r="Q11"/>
      <c r="S11"/>
      <c r="T11"/>
      <c r="U11"/>
      <c r="V11"/>
      <c r="W11"/>
      <c r="X11"/>
      <c r="Y11"/>
      <c r="Z11"/>
      <c r="AA11"/>
      <c r="AV11">
        <v>100</v>
      </c>
      <c r="AW11">
        <v>100</v>
      </c>
      <c r="AX11">
        <v>100</v>
      </c>
      <c r="AY11">
        <v>100</v>
      </c>
      <c r="AZ11">
        <v>100</v>
      </c>
      <c r="BA11">
        <v>100</v>
      </c>
      <c r="BD11">
        <v>7</v>
      </c>
      <c r="BE11">
        <v>7</v>
      </c>
      <c r="BF11">
        <v>100</v>
      </c>
      <c r="BG11">
        <v>20</v>
      </c>
      <c r="BH11">
        <v>20</v>
      </c>
      <c r="BI11">
        <v>20</v>
      </c>
      <c r="BK11">
        <v>7</v>
      </c>
      <c r="BL11">
        <v>100</v>
      </c>
      <c r="BM11">
        <v>100</v>
      </c>
      <c r="BN11">
        <v>100</v>
      </c>
      <c r="BO11">
        <v>20</v>
      </c>
      <c r="BP11">
        <v>20</v>
      </c>
      <c r="BR11">
        <v>100</v>
      </c>
      <c r="BS11">
        <v>100</v>
      </c>
      <c r="BT11">
        <v>100</v>
      </c>
      <c r="BU11">
        <v>100</v>
      </c>
      <c r="BV11">
        <v>100</v>
      </c>
      <c r="BW11">
        <v>100</v>
      </c>
      <c r="BY11">
        <v>20</v>
      </c>
      <c r="BZ11">
        <v>20</v>
      </c>
      <c r="CA11">
        <v>20</v>
      </c>
      <c r="CB11">
        <v>100</v>
      </c>
      <c r="CC11">
        <v>100</v>
      </c>
      <c r="CD11">
        <v>100</v>
      </c>
      <c r="CF11">
        <v>100</v>
      </c>
      <c r="CG11">
        <v>100</v>
      </c>
      <c r="CH11">
        <v>100</v>
      </c>
      <c r="CI11">
        <v>100</v>
      </c>
      <c r="CJ11">
        <v>100</v>
      </c>
      <c r="CK11">
        <v>100</v>
      </c>
      <c r="CM11">
        <v>150</v>
      </c>
      <c r="CN11">
        <v>150</v>
      </c>
      <c r="CO11">
        <v>150</v>
      </c>
      <c r="CP11">
        <v>150</v>
      </c>
      <c r="CQ11">
        <v>150</v>
      </c>
      <c r="CR11">
        <v>150</v>
      </c>
      <c r="CS11">
        <v>150</v>
      </c>
      <c r="CU11">
        <v>150</v>
      </c>
      <c r="CV11">
        <v>150</v>
      </c>
      <c r="CW11">
        <v>150</v>
      </c>
      <c r="CX11">
        <v>150</v>
      </c>
      <c r="CY11">
        <v>150</v>
      </c>
      <c r="CZ11">
        <v>150</v>
      </c>
      <c r="DA11">
        <v>150</v>
      </c>
      <c r="DC11">
        <v>100</v>
      </c>
      <c r="DD11">
        <v>100</v>
      </c>
      <c r="DE11">
        <v>100</v>
      </c>
      <c r="DF11">
        <v>100</v>
      </c>
      <c r="DG11">
        <v>100</v>
      </c>
      <c r="DH11">
        <v>100</v>
      </c>
      <c r="DI11">
        <v>100</v>
      </c>
      <c r="DK11">
        <v>100</v>
      </c>
      <c r="DL11">
        <v>100</v>
      </c>
      <c r="DM11">
        <v>100</v>
      </c>
      <c r="DN11">
        <v>100</v>
      </c>
      <c r="DO11">
        <v>100</v>
      </c>
      <c r="DP11">
        <v>100</v>
      </c>
      <c r="DQ11">
        <v>100</v>
      </c>
    </row>
    <row r="12" spans="3:121" x14ac:dyDescent="0.35">
      <c r="D12" s="10">
        <f t="shared" ref="D12:F16" si="4">0.2/(D4*1000)</f>
        <v>2.8571428571428574E-5</v>
      </c>
      <c r="E12" s="10">
        <f t="shared" si="4"/>
        <v>6.6666666666666666E-6</v>
      </c>
      <c r="F12" s="10">
        <f t="shared" si="4"/>
        <v>1.9999999999999999E-6</v>
      </c>
      <c r="G12" s="10" t="e">
        <f t="shared" si="2"/>
        <v>#DIV/0!</v>
      </c>
      <c r="H12" s="10" t="e">
        <f t="shared" si="2"/>
        <v>#DIV/0!</v>
      </c>
      <c r="I12" s="10" t="e">
        <f t="shared" si="2"/>
        <v>#DIV/0!</v>
      </c>
      <c r="J12" s="10" t="e">
        <f t="shared" si="2"/>
        <v>#DIV/0!</v>
      </c>
      <c r="K12" s="10" t="e">
        <f t="shared" si="3"/>
        <v>#DIV/0!</v>
      </c>
      <c r="L12"/>
      <c r="N12"/>
      <c r="O12"/>
      <c r="P12"/>
      <c r="Q12"/>
      <c r="S12"/>
      <c r="T12"/>
      <c r="U12"/>
      <c r="V12"/>
      <c r="W12"/>
      <c r="X12"/>
      <c r="Y12"/>
      <c r="Z12"/>
      <c r="AA12"/>
      <c r="AV12">
        <v>20</v>
      </c>
      <c r="AW12">
        <v>100</v>
      </c>
      <c r="AX12">
        <v>100</v>
      </c>
      <c r="AY12">
        <v>100</v>
      </c>
      <c r="AZ12">
        <v>100</v>
      </c>
      <c r="BA12">
        <v>100</v>
      </c>
      <c r="BD12">
        <v>7</v>
      </c>
      <c r="BE12">
        <v>100</v>
      </c>
      <c r="BF12">
        <v>20</v>
      </c>
      <c r="BG12">
        <v>20</v>
      </c>
      <c r="BH12">
        <v>20</v>
      </c>
      <c r="BI12">
        <v>20</v>
      </c>
      <c r="BK12">
        <v>100</v>
      </c>
      <c r="BL12">
        <v>100</v>
      </c>
      <c r="BM12">
        <v>100</v>
      </c>
      <c r="BN12">
        <v>20</v>
      </c>
      <c r="BO12">
        <v>20</v>
      </c>
      <c r="BP12">
        <v>20</v>
      </c>
      <c r="BR12">
        <v>100</v>
      </c>
      <c r="BS12">
        <v>100</v>
      </c>
      <c r="BT12">
        <v>100</v>
      </c>
      <c r="BU12">
        <v>20</v>
      </c>
      <c r="BV12">
        <v>20</v>
      </c>
      <c r="BW12">
        <v>20</v>
      </c>
      <c r="BY12">
        <v>20</v>
      </c>
      <c r="BZ12">
        <v>20</v>
      </c>
      <c r="CA12">
        <v>100</v>
      </c>
      <c r="CB12">
        <v>100</v>
      </c>
      <c r="CC12">
        <v>100</v>
      </c>
      <c r="CD12">
        <v>100</v>
      </c>
      <c r="CF12">
        <v>20</v>
      </c>
      <c r="CG12">
        <v>100</v>
      </c>
      <c r="CH12">
        <v>100</v>
      </c>
      <c r="CI12">
        <v>100</v>
      </c>
      <c r="CJ12">
        <v>100</v>
      </c>
      <c r="CK12">
        <v>100</v>
      </c>
      <c r="CM12">
        <v>20</v>
      </c>
      <c r="CN12">
        <v>150</v>
      </c>
      <c r="CO12">
        <v>150</v>
      </c>
      <c r="CP12">
        <v>150</v>
      </c>
      <c r="CQ12">
        <v>150</v>
      </c>
      <c r="CR12">
        <v>150</v>
      </c>
      <c r="CS12">
        <v>150</v>
      </c>
      <c r="CU12">
        <v>20</v>
      </c>
      <c r="CV12">
        <v>150</v>
      </c>
      <c r="CW12">
        <v>150</v>
      </c>
      <c r="CX12">
        <v>150</v>
      </c>
      <c r="CY12">
        <v>150</v>
      </c>
      <c r="CZ12">
        <v>150</v>
      </c>
      <c r="DA12">
        <v>150</v>
      </c>
      <c r="DC12">
        <v>30</v>
      </c>
      <c r="DD12">
        <v>30</v>
      </c>
      <c r="DE12">
        <v>100</v>
      </c>
      <c r="DF12">
        <v>100</v>
      </c>
      <c r="DG12">
        <v>100</v>
      </c>
      <c r="DH12">
        <v>100</v>
      </c>
      <c r="DI12">
        <v>100</v>
      </c>
      <c r="DK12">
        <v>15</v>
      </c>
      <c r="DL12">
        <v>30</v>
      </c>
      <c r="DM12">
        <v>100</v>
      </c>
      <c r="DN12">
        <v>100</v>
      </c>
      <c r="DO12">
        <v>100</v>
      </c>
      <c r="DP12">
        <v>100</v>
      </c>
      <c r="DQ12">
        <v>100</v>
      </c>
    </row>
    <row r="13" spans="3:121" x14ac:dyDescent="0.35">
      <c r="C13" s="2">
        <v>0</v>
      </c>
      <c r="D13" s="10">
        <f t="shared" si="4"/>
        <v>6.6666666666666666E-6</v>
      </c>
      <c r="E13" s="10">
        <f t="shared" si="4"/>
        <v>1.9999999999999999E-6</v>
      </c>
      <c r="F13" s="10">
        <f t="shared" si="4"/>
        <v>1.9999999999999999E-6</v>
      </c>
      <c r="G13" s="10" t="e">
        <f t="shared" si="2"/>
        <v>#DIV/0!</v>
      </c>
      <c r="H13" s="10" t="e">
        <f t="shared" si="2"/>
        <v>#DIV/0!</v>
      </c>
      <c r="I13" s="10" t="e">
        <f t="shared" si="2"/>
        <v>#DIV/0!</v>
      </c>
      <c r="J13" s="10" t="e">
        <f t="shared" si="2"/>
        <v>#DIV/0!</v>
      </c>
      <c r="K13" s="10" t="e">
        <f t="shared" si="3"/>
        <v>#DIV/0!</v>
      </c>
      <c r="AV13">
        <v>7</v>
      </c>
      <c r="AW13">
        <v>20</v>
      </c>
      <c r="AX13">
        <v>100</v>
      </c>
      <c r="AY13">
        <v>100</v>
      </c>
      <c r="AZ13">
        <v>100</v>
      </c>
      <c r="BA13">
        <v>100</v>
      </c>
      <c r="BD13">
        <v>100</v>
      </c>
      <c r="BE13">
        <v>20</v>
      </c>
      <c r="BF13">
        <v>20</v>
      </c>
      <c r="BG13">
        <v>20</v>
      </c>
      <c r="BH13">
        <v>20</v>
      </c>
      <c r="BI13">
        <v>20</v>
      </c>
      <c r="BK13">
        <v>100</v>
      </c>
      <c r="BL13">
        <v>100</v>
      </c>
      <c r="BM13">
        <v>20</v>
      </c>
      <c r="BN13">
        <v>20</v>
      </c>
      <c r="BO13">
        <v>20</v>
      </c>
      <c r="BP13">
        <v>20</v>
      </c>
      <c r="BR13">
        <v>100</v>
      </c>
      <c r="BS13">
        <v>100</v>
      </c>
      <c r="BT13">
        <v>20</v>
      </c>
      <c r="BU13">
        <v>20</v>
      </c>
      <c r="BV13">
        <v>20</v>
      </c>
      <c r="BW13">
        <v>20</v>
      </c>
      <c r="BY13">
        <v>20</v>
      </c>
      <c r="BZ13">
        <v>100</v>
      </c>
      <c r="CA13">
        <v>100</v>
      </c>
      <c r="CB13">
        <v>100</v>
      </c>
      <c r="CC13">
        <v>100</v>
      </c>
      <c r="CD13">
        <v>100</v>
      </c>
      <c r="CF13">
        <v>20</v>
      </c>
      <c r="CG13">
        <v>20</v>
      </c>
      <c r="CH13">
        <v>100</v>
      </c>
      <c r="CI13">
        <v>100</v>
      </c>
      <c r="CJ13">
        <v>100</v>
      </c>
      <c r="CK13">
        <v>100</v>
      </c>
      <c r="CM13">
        <v>7</v>
      </c>
      <c r="CN13">
        <v>100</v>
      </c>
      <c r="CO13">
        <v>150</v>
      </c>
      <c r="CP13">
        <v>150</v>
      </c>
      <c r="CQ13">
        <v>150</v>
      </c>
      <c r="CR13">
        <v>150</v>
      </c>
      <c r="CS13">
        <v>150</v>
      </c>
      <c r="CU13">
        <v>7</v>
      </c>
      <c r="CV13">
        <v>100</v>
      </c>
      <c r="CW13">
        <v>150</v>
      </c>
      <c r="CX13">
        <v>150</v>
      </c>
      <c r="CY13">
        <v>150</v>
      </c>
      <c r="CZ13">
        <v>150</v>
      </c>
      <c r="DA13">
        <v>150</v>
      </c>
      <c r="DC13">
        <v>7</v>
      </c>
      <c r="DD13">
        <v>30</v>
      </c>
      <c r="DE13">
        <v>30</v>
      </c>
      <c r="DF13">
        <v>30</v>
      </c>
      <c r="DG13">
        <v>100</v>
      </c>
      <c r="DH13">
        <v>100</v>
      </c>
      <c r="DI13">
        <v>100</v>
      </c>
      <c r="DK13">
        <v>7</v>
      </c>
      <c r="DL13">
        <v>15</v>
      </c>
      <c r="DM13">
        <v>30</v>
      </c>
      <c r="DN13">
        <v>100</v>
      </c>
      <c r="DO13">
        <v>100</v>
      </c>
      <c r="DP13">
        <v>100</v>
      </c>
      <c r="DQ13">
        <v>100</v>
      </c>
    </row>
    <row r="14" spans="3:121" x14ac:dyDescent="0.35">
      <c r="C14" s="2">
        <v>1</v>
      </c>
      <c r="D14" s="10">
        <f t="shared" si="4"/>
        <v>1.9999999999999999E-6</v>
      </c>
      <c r="E14" s="10">
        <f t="shared" si="4"/>
        <v>1.9999999999999999E-6</v>
      </c>
      <c r="F14" s="10">
        <f t="shared" si="4"/>
        <v>1.9999999999999999E-6</v>
      </c>
      <c r="G14" s="10" t="e">
        <f t="shared" si="2"/>
        <v>#DIV/0!</v>
      </c>
      <c r="H14" s="10" t="e">
        <f t="shared" si="2"/>
        <v>#DIV/0!</v>
      </c>
      <c r="I14" s="10" t="e">
        <f t="shared" si="2"/>
        <v>#DIV/0!</v>
      </c>
      <c r="J14" s="10" t="e">
        <f t="shared" si="2"/>
        <v>#DIV/0!</v>
      </c>
      <c r="K14" s="10" t="e">
        <f t="shared" si="3"/>
        <v>#DIV/0!</v>
      </c>
    </row>
    <row r="15" spans="3:121" x14ac:dyDescent="0.35">
      <c r="C15" s="2">
        <v>1</v>
      </c>
      <c r="D15" s="10">
        <f t="shared" si="4"/>
        <v>2.8571428571428574E-5</v>
      </c>
      <c r="E15" s="10">
        <f t="shared" si="4"/>
        <v>1.9999999999999999E-6</v>
      </c>
      <c r="F15" s="10">
        <f t="shared" si="4"/>
        <v>1.9999999999999999E-6</v>
      </c>
      <c r="G15" s="10" t="e">
        <f t="shared" si="2"/>
        <v>#DIV/0!</v>
      </c>
      <c r="H15" s="10" t="e">
        <f t="shared" si="2"/>
        <v>#DIV/0!</v>
      </c>
      <c r="I15" s="10" t="e">
        <f t="shared" si="2"/>
        <v>#DIV/0!</v>
      </c>
      <c r="J15" s="10" t="e">
        <f t="shared" si="2"/>
        <v>#DIV/0!</v>
      </c>
      <c r="K15" s="10" t="e">
        <f t="shared" si="3"/>
        <v>#DIV/0!</v>
      </c>
    </row>
    <row r="16" spans="3:121" x14ac:dyDescent="0.35">
      <c r="C16" s="2">
        <v>0</v>
      </c>
      <c r="D16" s="10">
        <f t="shared" si="4"/>
        <v>2.8571428571428574E-5</v>
      </c>
      <c r="E16" s="10">
        <f t="shared" si="4"/>
        <v>2.8571428571428574E-5</v>
      </c>
      <c r="F16" s="10">
        <f t="shared" si="4"/>
        <v>1.9999999999999999E-6</v>
      </c>
      <c r="G16" s="10" t="e">
        <f t="shared" si="2"/>
        <v>#DIV/0!</v>
      </c>
      <c r="H16" s="10" t="e">
        <f t="shared" si="2"/>
        <v>#DIV/0!</v>
      </c>
      <c r="I16" s="10" t="e">
        <f t="shared" si="2"/>
        <v>#DIV/0!</v>
      </c>
      <c r="J16" s="10" t="e">
        <f t="shared" si="2"/>
        <v>#DIV/0!</v>
      </c>
      <c r="K16" s="10" t="e">
        <f t="shared" si="3"/>
        <v>#DIV/0!</v>
      </c>
    </row>
    <row r="17" spans="2:60" x14ac:dyDescent="0.35">
      <c r="J17" s="10"/>
      <c r="K17" s="10" t="e">
        <f>SUM(K12:K16)</f>
        <v>#DIV/0!</v>
      </c>
      <c r="L17" s="10" t="e">
        <f>K15-K16</f>
        <v>#DIV/0!</v>
      </c>
    </row>
    <row r="19" spans="2:60" s="2" customFormat="1" x14ac:dyDescent="0.35">
      <c r="B19" s="3" t="s">
        <v>6</v>
      </c>
      <c r="C19" s="4" t="s">
        <v>23</v>
      </c>
      <c r="D19" s="3" t="s">
        <v>5</v>
      </c>
      <c r="E19" s="3" t="s">
        <v>0</v>
      </c>
      <c r="F19" s="3" t="s">
        <v>1</v>
      </c>
      <c r="G19" s="3" t="s">
        <v>2</v>
      </c>
      <c r="H19" s="8" t="s">
        <v>7</v>
      </c>
      <c r="I19" s="8" t="s">
        <v>8</v>
      </c>
      <c r="J19" s="8" t="s">
        <v>12</v>
      </c>
      <c r="K19" s="8" t="s">
        <v>26</v>
      </c>
      <c r="L19" s="8" t="s">
        <v>29</v>
      </c>
      <c r="M19" s="8" t="s">
        <v>30</v>
      </c>
      <c r="N19" s="8" t="s">
        <v>35</v>
      </c>
      <c r="O19" s="12" t="s">
        <v>37</v>
      </c>
      <c r="P19" s="12" t="s">
        <v>54</v>
      </c>
      <c r="R19" s="3" t="s">
        <v>6</v>
      </c>
      <c r="S19" s="3" t="s">
        <v>51</v>
      </c>
      <c r="T19" s="3" t="s">
        <v>3</v>
      </c>
      <c r="U19" s="3" t="s">
        <v>4</v>
      </c>
      <c r="V19" s="8" t="s">
        <v>43</v>
      </c>
      <c r="W19" s="8" t="s">
        <v>44</v>
      </c>
      <c r="X19" s="8" t="s">
        <v>45</v>
      </c>
      <c r="Y19" s="8" t="s">
        <v>46</v>
      </c>
      <c r="Z19" s="8" t="s">
        <v>47</v>
      </c>
      <c r="AA19" s="8" t="s">
        <v>48</v>
      </c>
      <c r="AB19" s="8" t="s">
        <v>49</v>
      </c>
      <c r="AC19" s="12" t="s">
        <v>50</v>
      </c>
      <c r="AD19" s="8" t="s">
        <v>36</v>
      </c>
      <c r="AE19" s="12" t="s">
        <v>14</v>
      </c>
      <c r="AF19" s="14" t="s">
        <v>15</v>
      </c>
      <c r="AG19" s="2" t="s">
        <v>39</v>
      </c>
      <c r="AH19" s="8" t="s">
        <v>40</v>
      </c>
      <c r="AI19" s="8" t="s">
        <v>41</v>
      </c>
      <c r="AJ19" s="8" t="s">
        <v>33</v>
      </c>
      <c r="AK19" s="8" t="s">
        <v>42</v>
      </c>
      <c r="AL19" s="8" t="s">
        <v>52</v>
      </c>
      <c r="AM19" s="8" t="s">
        <v>24</v>
      </c>
      <c r="AN19" s="8" t="s">
        <v>53</v>
      </c>
    </row>
    <row r="20" spans="2:60" x14ac:dyDescent="0.35">
      <c r="B20" s="6">
        <v>0</v>
      </c>
      <c r="C20" s="2" t="s">
        <v>16</v>
      </c>
      <c r="D20" s="6" t="str">
        <f t="shared" ref="D20:D83" si="5">LEFT(RIGHT(DEC2BIN($B20,3),3),1)</f>
        <v>0</v>
      </c>
      <c r="E20" s="6" t="str">
        <f t="shared" ref="E20:E83" si="6">LEFT(RIGHT(DEC2BIN($B20,3),2),1)</f>
        <v>0</v>
      </c>
      <c r="F20" s="6" t="str">
        <f t="shared" ref="F20:F83" si="7">LEFT(RIGHT(DEC2BIN($B20,3),1),1)</f>
        <v>0</v>
      </c>
      <c r="G20" s="6"/>
      <c r="H20" s="10">
        <f t="shared" ref="H20:H83" si="8">(($D20*$D$11)+($E20*$D$12)+($F20*$D$13))</f>
        <v>0</v>
      </c>
      <c r="I20" s="10">
        <f t="shared" ref="I20:I83" si="9">(($D20*$E$11)+($E20*$E$12)+($F20*$E$13))</f>
        <v>0</v>
      </c>
      <c r="J20" s="10">
        <f t="shared" ref="J20:J83" si="10">(($D20*$F$11)+($E20*$F$12)+($F20*$F$13))</f>
        <v>0</v>
      </c>
      <c r="K20" s="10" t="e">
        <f t="shared" ref="K20:K83" si="11">(($D20*$G$11)+($E20*$G$12)+($F20*$G$13))</f>
        <v>#DIV/0!</v>
      </c>
      <c r="L20" s="10" t="e">
        <f t="shared" ref="L20:L83" si="12">(($D20*$H$11)+($E20*$H$12)+($F20*$H$13))</f>
        <v>#DIV/0!</v>
      </c>
      <c r="M20" s="10" t="e">
        <f t="shared" ref="M20:M83" si="13">(($D20*$I$11)+($E20*$I$12)+($F20*$I$13))</f>
        <v>#DIV/0!</v>
      </c>
      <c r="N20" s="10" t="e">
        <f t="shared" ref="N20:N83" si="14">(($D20*$J$11)+($E20*$J$12)+($F20*$J$13))</f>
        <v>#DIV/0!</v>
      </c>
      <c r="O20" s="11">
        <f>ROUND(( SUM(Table3231589[[#This Row],[I1]:[I3]]))*1000000, 0)</f>
        <v>0</v>
      </c>
      <c r="P20" s="26" t="s">
        <v>21</v>
      </c>
      <c r="Q20" s="11"/>
      <c r="R20" s="6">
        <v>0</v>
      </c>
      <c r="S20" s="6" t="str">
        <f t="shared" ref="S20:S51" si="15">LEFT(RIGHT(DEC2BIN($R20,3),3),1)</f>
        <v>0</v>
      </c>
      <c r="T20" s="6" t="str">
        <f t="shared" ref="T20:T51" si="16">LEFT(RIGHT(DEC2BIN($R20,3),2),1)</f>
        <v>0</v>
      </c>
      <c r="U20" s="6" t="str">
        <f t="shared" ref="U20:U51" si="17">LEFT(RIGHT(DEC2BIN($R20,3),1),1)</f>
        <v>0</v>
      </c>
      <c r="V20" s="10">
        <f t="shared" ref="V20:V51" si="18">(($S20*$D$14)+($T20*$D$15)+($U20*$D$16))</f>
        <v>0</v>
      </c>
      <c r="W20" s="10">
        <f t="shared" ref="W20:W51" si="19">(($S20*$E$14)+($T20*$E$15)+($U20*$E$16))</f>
        <v>0</v>
      </c>
      <c r="X20" s="10">
        <f t="shared" ref="X20:X51" si="20">(($S20*$F$14)+($T20*$F$15)+($U20*$F$16))</f>
        <v>0</v>
      </c>
      <c r="Y20" s="10" t="e">
        <f t="shared" ref="Y20:Y51" si="21">(($S20*$G$14)+($T20*$G$15)+($U20*$G$16))</f>
        <v>#DIV/0!</v>
      </c>
      <c r="Z20" s="10" t="e">
        <f t="shared" ref="Z20:Z51" si="22">(($S20*$H$14)+($T20*$H$15)+($U20*$H$16))</f>
        <v>#DIV/0!</v>
      </c>
      <c r="AA20" s="10" t="e">
        <f t="shared" ref="AA20:AA51" si="23">(($S20*$I$14)+($T20*$I$15)+($U20*$I$16))</f>
        <v>#DIV/0!</v>
      </c>
      <c r="AB20" s="10" t="e">
        <f t="shared" ref="AB20:AB51" si="24">(($S20*$J$14)+($T20*$J$15)+($U20*$J$16))</f>
        <v>#DIV/0!</v>
      </c>
      <c r="AC20" s="11">
        <f>ROUND((SUM(Table12[[#This Row],[II1]:[II3]]))*1000000, 0)</f>
        <v>0</v>
      </c>
      <c r="AD20" s="18" t="s">
        <v>16</v>
      </c>
      <c r="AE20" s="11" cm="1">
        <f t="array" ref="AE20:AE28" xml:space="preserve"> _xlfn.UNIQUE(AC20:AC83)</f>
        <v>0</v>
      </c>
      <c r="AF20" s="13">
        <f t="shared" ref="AF20:AF41" si="25">IF(ISBLANK(AE20), "", COUNTIF($AC$20:$AC$83,AE20))</f>
        <v>1</v>
      </c>
      <c r="AG20"/>
      <c r="AH20" s="11" t="e" cm="1">
        <f t="array" ref="AH20">_xlfn._xlws.SORT(#REF!)</f>
        <v>#REF!</v>
      </c>
      <c r="AI20" s="11"/>
      <c r="AJ20" s="6">
        <v>0</v>
      </c>
      <c r="AK20" s="11" t="str">
        <f t="shared" ref="AK20:AK51" si="26">IF(ISBLANK(AH21),"",AH21-AH20)</f>
        <v/>
      </c>
      <c r="AM20" s="11" t="str" cm="1">
        <f t="array" ref="AM20">_xlfn.UNIQUE(AK20:AK83)</f>
        <v/>
      </c>
      <c r="AN20" s="13" t="str">
        <f t="shared" ref="AN20:AN51" si="27">IF(OR(ISBLANK(AM20), AM20 = ""),"",COUNTIF($AK$20:$AK$83,AM20))</f>
        <v/>
      </c>
      <c r="AO20"/>
      <c r="AP20"/>
      <c r="BC20" s="15" t="s">
        <v>10</v>
      </c>
      <c r="BD20" s="5" t="s">
        <v>11</v>
      </c>
      <c r="BE20" s="5" t="s">
        <v>13</v>
      </c>
      <c r="BF20" s="5" t="s">
        <v>25</v>
      </c>
      <c r="BG20" s="5" t="s">
        <v>27</v>
      </c>
      <c r="BH20" s="5" t="s">
        <v>28</v>
      </c>
    </row>
    <row r="21" spans="2:60" x14ac:dyDescent="0.35">
      <c r="B21" s="6">
        <v>1</v>
      </c>
      <c r="C21" s="2" t="s">
        <v>16</v>
      </c>
      <c r="D21" s="6" t="str">
        <f t="shared" si="5"/>
        <v>0</v>
      </c>
      <c r="E21" s="6" t="str">
        <f t="shared" si="6"/>
        <v>0</v>
      </c>
      <c r="F21" s="6" t="str">
        <f t="shared" si="7"/>
        <v>1</v>
      </c>
      <c r="G21" s="6"/>
      <c r="H21" s="10">
        <f t="shared" si="8"/>
        <v>6.6666666666666666E-6</v>
      </c>
      <c r="I21" s="10">
        <f t="shared" si="9"/>
        <v>1.9999999999999999E-6</v>
      </c>
      <c r="J21" s="10">
        <f t="shared" si="10"/>
        <v>1.9999999999999999E-6</v>
      </c>
      <c r="K21" s="10" t="e">
        <f t="shared" si="11"/>
        <v>#DIV/0!</v>
      </c>
      <c r="L21" s="10" t="e">
        <f t="shared" si="12"/>
        <v>#DIV/0!</v>
      </c>
      <c r="M21" s="10" t="e">
        <f t="shared" si="13"/>
        <v>#DIV/0!</v>
      </c>
      <c r="N21" s="10" t="e">
        <f t="shared" si="14"/>
        <v>#DIV/0!</v>
      </c>
      <c r="O21" s="11">
        <f>ROUND(( SUM(Table3231589[[#This Row],[I1]:[I3]]))*1000000, 0)</f>
        <v>11</v>
      </c>
      <c r="P21" s="2" t="s">
        <v>19</v>
      </c>
      <c r="Q21" s="11"/>
      <c r="R21" s="6">
        <v>4</v>
      </c>
      <c r="S21" s="6" t="str">
        <f t="shared" si="15"/>
        <v>1</v>
      </c>
      <c r="T21" s="6" t="str">
        <f t="shared" si="16"/>
        <v>0</v>
      </c>
      <c r="U21" s="6" t="str">
        <f t="shared" si="17"/>
        <v>0</v>
      </c>
      <c r="V21" s="10">
        <f t="shared" si="18"/>
        <v>1.9999999999999999E-6</v>
      </c>
      <c r="W21" s="10">
        <f t="shared" si="19"/>
        <v>1.9999999999999999E-6</v>
      </c>
      <c r="X21" s="10">
        <f t="shared" si="20"/>
        <v>1.9999999999999999E-6</v>
      </c>
      <c r="Y21" s="10" t="e">
        <f t="shared" si="21"/>
        <v>#DIV/0!</v>
      </c>
      <c r="Z21" s="10" t="e">
        <f t="shared" si="22"/>
        <v>#DIV/0!</v>
      </c>
      <c r="AA21" s="10" t="e">
        <f t="shared" si="23"/>
        <v>#DIV/0!</v>
      </c>
      <c r="AB21" s="10" t="e">
        <f t="shared" si="24"/>
        <v>#DIV/0!</v>
      </c>
      <c r="AC21" s="11">
        <f>ROUND((SUM(Table12[[#This Row],[II1]:[II3]]))*1000000, 0)</f>
        <v>6</v>
      </c>
      <c r="AD21" s="18" t="s">
        <v>18</v>
      </c>
      <c r="AE21" s="11">
        <v>6</v>
      </c>
      <c r="AF21" s="13">
        <f t="shared" si="25"/>
        <v>1</v>
      </c>
      <c r="AG21"/>
      <c r="AI21" s="11"/>
      <c r="AJ21" s="6">
        <v>1</v>
      </c>
      <c r="AK21" s="11" t="str">
        <f t="shared" si="26"/>
        <v/>
      </c>
      <c r="AN21" s="13" t="str">
        <f t="shared" si="27"/>
        <v/>
      </c>
      <c r="AO21"/>
      <c r="AP21"/>
      <c r="BC21">
        <v>7</v>
      </c>
      <c r="BD21">
        <v>7</v>
      </c>
      <c r="BE21">
        <v>7</v>
      </c>
      <c r="BF21">
        <v>7</v>
      </c>
      <c r="BG21">
        <v>7</v>
      </c>
      <c r="BH21">
        <v>7</v>
      </c>
    </row>
    <row r="22" spans="2:60" x14ac:dyDescent="0.35">
      <c r="B22" s="6">
        <v>2</v>
      </c>
      <c r="C22" s="2" t="s">
        <v>17</v>
      </c>
      <c r="D22" s="6" t="str">
        <f t="shared" si="5"/>
        <v>0</v>
      </c>
      <c r="E22" s="6" t="str">
        <f t="shared" si="6"/>
        <v>1</v>
      </c>
      <c r="F22" s="6" t="str">
        <f t="shared" si="7"/>
        <v>0</v>
      </c>
      <c r="G22" s="6"/>
      <c r="H22" s="10">
        <f t="shared" si="8"/>
        <v>2.8571428571428574E-5</v>
      </c>
      <c r="I22" s="10">
        <f t="shared" si="9"/>
        <v>6.6666666666666666E-6</v>
      </c>
      <c r="J22" s="10">
        <f t="shared" si="10"/>
        <v>1.9999999999999999E-6</v>
      </c>
      <c r="K22" s="10" t="e">
        <f t="shared" si="11"/>
        <v>#DIV/0!</v>
      </c>
      <c r="L22" s="10" t="e">
        <f t="shared" si="12"/>
        <v>#DIV/0!</v>
      </c>
      <c r="M22" s="10" t="e">
        <f t="shared" si="13"/>
        <v>#DIV/0!</v>
      </c>
      <c r="N22" s="10" t="e">
        <f t="shared" si="14"/>
        <v>#DIV/0!</v>
      </c>
      <c r="O22" s="11">
        <f>ROUND(( SUM(Table3231589[[#This Row],[I1]:[I3]]))*1000000, 0)</f>
        <v>37</v>
      </c>
      <c r="P22" s="26" t="s">
        <v>21</v>
      </c>
      <c r="Q22" s="11"/>
      <c r="R22" s="6">
        <v>2</v>
      </c>
      <c r="S22" s="6" t="str">
        <f t="shared" si="15"/>
        <v>0</v>
      </c>
      <c r="T22" s="6" t="str">
        <f t="shared" si="16"/>
        <v>1</v>
      </c>
      <c r="U22" s="6" t="str">
        <f t="shared" si="17"/>
        <v>0</v>
      </c>
      <c r="V22" s="10">
        <f t="shared" si="18"/>
        <v>2.8571428571428574E-5</v>
      </c>
      <c r="W22" s="10">
        <f t="shared" si="19"/>
        <v>1.9999999999999999E-6</v>
      </c>
      <c r="X22" s="10">
        <f t="shared" si="20"/>
        <v>1.9999999999999999E-6</v>
      </c>
      <c r="Y22" s="10" t="e">
        <f t="shared" si="21"/>
        <v>#DIV/0!</v>
      </c>
      <c r="Z22" s="10" t="e">
        <f t="shared" si="22"/>
        <v>#DIV/0!</v>
      </c>
      <c r="AA22" s="10" t="e">
        <f t="shared" si="23"/>
        <v>#DIV/0!</v>
      </c>
      <c r="AB22" s="10" t="e">
        <f t="shared" si="24"/>
        <v>#DIV/0!</v>
      </c>
      <c r="AC22" s="11">
        <f>ROUND((SUM(Table12[[#This Row],[II1]:[II3]]))*1000000, 0)</f>
        <v>33</v>
      </c>
      <c r="AD22" s="18" t="s">
        <v>17</v>
      </c>
      <c r="AE22" s="11">
        <v>33</v>
      </c>
      <c r="AF22" s="13">
        <f t="shared" si="25"/>
        <v>1</v>
      </c>
      <c r="AG22"/>
      <c r="AI22" s="11"/>
      <c r="AJ22" s="6">
        <v>2</v>
      </c>
      <c r="AK22" s="11" t="str">
        <f t="shared" si="26"/>
        <v/>
      </c>
      <c r="AN22" s="13" t="str">
        <f t="shared" si="27"/>
        <v/>
      </c>
      <c r="AO22"/>
      <c r="AP22"/>
      <c r="BC22">
        <v>7</v>
      </c>
      <c r="BD22">
        <v>7</v>
      </c>
      <c r="BE22">
        <v>7</v>
      </c>
      <c r="BF22">
        <v>150</v>
      </c>
      <c r="BG22">
        <v>150</v>
      </c>
      <c r="BH22">
        <v>150</v>
      </c>
    </row>
    <row r="23" spans="2:60" x14ac:dyDescent="0.35">
      <c r="B23" s="6">
        <v>3</v>
      </c>
      <c r="C23" s="2" t="s">
        <v>16</v>
      </c>
      <c r="D23" s="6" t="str">
        <f t="shared" si="5"/>
        <v>0</v>
      </c>
      <c r="E23" s="6" t="str">
        <f t="shared" si="6"/>
        <v>1</v>
      </c>
      <c r="F23" s="6" t="str">
        <f t="shared" si="7"/>
        <v>1</v>
      </c>
      <c r="G23" s="6"/>
      <c r="H23" s="10">
        <f t="shared" si="8"/>
        <v>3.5238095238095239E-5</v>
      </c>
      <c r="I23" s="10">
        <f t="shared" si="9"/>
        <v>8.6666666666666661E-6</v>
      </c>
      <c r="J23" s="10">
        <f t="shared" si="10"/>
        <v>3.9999999999999998E-6</v>
      </c>
      <c r="K23" s="10" t="e">
        <f t="shared" si="11"/>
        <v>#DIV/0!</v>
      </c>
      <c r="L23" s="10" t="e">
        <f t="shared" si="12"/>
        <v>#DIV/0!</v>
      </c>
      <c r="M23" s="10" t="e">
        <f t="shared" si="13"/>
        <v>#DIV/0!</v>
      </c>
      <c r="N23" s="10" t="e">
        <f t="shared" si="14"/>
        <v>#DIV/0!</v>
      </c>
      <c r="O23" s="11">
        <f>ROUND(( SUM(Table3231589[[#This Row],[I1]:[I3]]))*1000000, 0)</f>
        <v>48</v>
      </c>
      <c r="P23" s="26" t="s">
        <v>21</v>
      </c>
      <c r="Q23" s="11"/>
      <c r="R23" s="6">
        <v>6</v>
      </c>
      <c r="S23" s="6" t="str">
        <f t="shared" si="15"/>
        <v>1</v>
      </c>
      <c r="T23" s="6" t="str">
        <f t="shared" si="16"/>
        <v>1</v>
      </c>
      <c r="U23" s="6" t="str">
        <f t="shared" si="17"/>
        <v>0</v>
      </c>
      <c r="V23" s="10">
        <f t="shared" si="18"/>
        <v>3.0571428571428572E-5</v>
      </c>
      <c r="W23" s="10">
        <f t="shared" si="19"/>
        <v>3.9999999999999998E-6</v>
      </c>
      <c r="X23" s="10">
        <f t="shared" si="20"/>
        <v>3.9999999999999998E-6</v>
      </c>
      <c r="Y23" s="10" t="e">
        <f t="shared" si="21"/>
        <v>#DIV/0!</v>
      </c>
      <c r="Z23" s="10" t="e">
        <f t="shared" si="22"/>
        <v>#DIV/0!</v>
      </c>
      <c r="AA23" s="10" t="e">
        <f t="shared" si="23"/>
        <v>#DIV/0!</v>
      </c>
      <c r="AB23" s="10" t="e">
        <f t="shared" si="24"/>
        <v>#DIV/0!</v>
      </c>
      <c r="AC23" s="11">
        <f>ROUND((SUM(Table12[[#This Row],[II1]:[II3]]))*1000000, 0)</f>
        <v>39</v>
      </c>
      <c r="AD23" s="18" t="s">
        <v>17</v>
      </c>
      <c r="AE23" s="11">
        <v>39</v>
      </c>
      <c r="AF23" s="13">
        <f t="shared" si="25"/>
        <v>1</v>
      </c>
      <c r="AG23"/>
      <c r="AI23" s="11"/>
      <c r="AJ23" s="6">
        <v>3</v>
      </c>
      <c r="AK23" s="11" t="str">
        <f t="shared" si="26"/>
        <v/>
      </c>
      <c r="AN23" s="13" t="str">
        <f t="shared" si="27"/>
        <v/>
      </c>
      <c r="AO23"/>
      <c r="AP23"/>
      <c r="BC23">
        <v>7</v>
      </c>
      <c r="BD23">
        <v>7</v>
      </c>
      <c r="BE23">
        <v>20</v>
      </c>
      <c r="BF23">
        <v>150</v>
      </c>
      <c r="BG23">
        <v>150</v>
      </c>
      <c r="BH23">
        <v>150</v>
      </c>
    </row>
    <row r="24" spans="2:60" x14ac:dyDescent="0.35">
      <c r="B24" s="6">
        <v>4</v>
      </c>
      <c r="C24" s="2" t="s">
        <v>18</v>
      </c>
      <c r="D24" s="6" t="str">
        <f t="shared" si="5"/>
        <v>1</v>
      </c>
      <c r="E24" s="6" t="str">
        <f t="shared" si="6"/>
        <v>0</v>
      </c>
      <c r="F24" s="6" t="str">
        <f t="shared" si="7"/>
        <v>0</v>
      </c>
      <c r="G24" s="6"/>
      <c r="H24" s="10">
        <f t="shared" si="8"/>
        <v>2.8571428571428574E-5</v>
      </c>
      <c r="I24" s="10">
        <f t="shared" si="9"/>
        <v>2.8571428571428574E-5</v>
      </c>
      <c r="J24" s="10">
        <f t="shared" si="10"/>
        <v>2.8571428571428574E-5</v>
      </c>
      <c r="K24" s="10" t="e">
        <f t="shared" si="11"/>
        <v>#DIV/0!</v>
      </c>
      <c r="L24" s="10" t="e">
        <f t="shared" si="12"/>
        <v>#DIV/0!</v>
      </c>
      <c r="M24" s="10" t="e">
        <f t="shared" si="13"/>
        <v>#DIV/0!</v>
      </c>
      <c r="N24" s="10" t="e">
        <f t="shared" si="14"/>
        <v>#DIV/0!</v>
      </c>
      <c r="O24" s="11">
        <f>ROUND(( SUM(Table3231589[[#This Row],[I1]:[I3]]))*1000000, 0)</f>
        <v>86</v>
      </c>
      <c r="P24" s="2" t="s">
        <v>22</v>
      </c>
      <c r="Q24" s="11"/>
      <c r="R24" s="6">
        <v>1</v>
      </c>
      <c r="S24" s="6" t="str">
        <f t="shared" si="15"/>
        <v>0</v>
      </c>
      <c r="T24" s="6" t="str">
        <f t="shared" si="16"/>
        <v>0</v>
      </c>
      <c r="U24" s="6" t="str">
        <f t="shared" si="17"/>
        <v>1</v>
      </c>
      <c r="V24" s="10">
        <f t="shared" si="18"/>
        <v>2.8571428571428574E-5</v>
      </c>
      <c r="W24" s="10">
        <f t="shared" si="19"/>
        <v>2.8571428571428574E-5</v>
      </c>
      <c r="X24" s="10">
        <f t="shared" si="20"/>
        <v>1.9999999999999999E-6</v>
      </c>
      <c r="Y24" s="10" t="e">
        <f t="shared" si="21"/>
        <v>#DIV/0!</v>
      </c>
      <c r="Z24" s="10" t="e">
        <f t="shared" si="22"/>
        <v>#DIV/0!</v>
      </c>
      <c r="AA24" s="10" t="e">
        <f t="shared" si="23"/>
        <v>#DIV/0!</v>
      </c>
      <c r="AB24" s="10" t="e">
        <f t="shared" si="24"/>
        <v>#DIV/0!</v>
      </c>
      <c r="AC24" s="11">
        <f>ROUND((SUM(Table12[[#This Row],[II1]:[II3]]))*1000000, 0)</f>
        <v>59</v>
      </c>
      <c r="AD24" s="18" t="s">
        <v>16</v>
      </c>
      <c r="AE24" s="11">
        <v>59</v>
      </c>
      <c r="AF24" s="13">
        <f t="shared" si="25"/>
        <v>1</v>
      </c>
      <c r="AG24"/>
      <c r="AI24" s="11"/>
      <c r="AJ24" s="6">
        <v>4</v>
      </c>
      <c r="AK24" s="11" t="str">
        <f t="shared" si="26"/>
        <v/>
      </c>
      <c r="AN24" s="13" t="str">
        <f t="shared" si="27"/>
        <v/>
      </c>
      <c r="AO24"/>
      <c r="AP24"/>
      <c r="BC24">
        <v>7</v>
      </c>
      <c r="BD24">
        <v>20</v>
      </c>
      <c r="BE24">
        <v>20</v>
      </c>
      <c r="BF24">
        <v>150</v>
      </c>
      <c r="BG24">
        <v>150</v>
      </c>
      <c r="BH24">
        <v>150</v>
      </c>
    </row>
    <row r="25" spans="2:60" x14ac:dyDescent="0.35">
      <c r="B25" s="6">
        <v>5</v>
      </c>
      <c r="C25" s="2" t="s">
        <v>20</v>
      </c>
      <c r="D25" s="6" t="str">
        <f t="shared" si="5"/>
        <v>1</v>
      </c>
      <c r="E25" s="6" t="str">
        <f t="shared" si="6"/>
        <v>0</v>
      </c>
      <c r="F25" s="6" t="str">
        <f t="shared" si="7"/>
        <v>1</v>
      </c>
      <c r="G25" s="6"/>
      <c r="H25" s="10">
        <f t="shared" si="8"/>
        <v>3.5238095238095239E-5</v>
      </c>
      <c r="I25" s="10">
        <f t="shared" si="9"/>
        <v>3.0571428571428572E-5</v>
      </c>
      <c r="J25" s="10">
        <f t="shared" si="10"/>
        <v>3.0571428571428572E-5</v>
      </c>
      <c r="K25" s="10" t="e">
        <f t="shared" si="11"/>
        <v>#DIV/0!</v>
      </c>
      <c r="L25" s="10" t="e">
        <f t="shared" si="12"/>
        <v>#DIV/0!</v>
      </c>
      <c r="M25" s="10" t="e">
        <f t="shared" si="13"/>
        <v>#DIV/0!</v>
      </c>
      <c r="N25" s="10" t="e">
        <f t="shared" si="14"/>
        <v>#DIV/0!</v>
      </c>
      <c r="O25" s="11">
        <f>ROUND(( SUM(Table3231589[[#This Row],[I1]:[I3]]))*1000000, 0)</f>
        <v>96</v>
      </c>
      <c r="P25" s="2" t="s">
        <v>22</v>
      </c>
      <c r="Q25" s="11"/>
      <c r="R25" s="6">
        <v>5</v>
      </c>
      <c r="S25" s="6" t="str">
        <f t="shared" si="15"/>
        <v>1</v>
      </c>
      <c r="T25" s="6" t="str">
        <f t="shared" si="16"/>
        <v>0</v>
      </c>
      <c r="U25" s="6" t="str">
        <f t="shared" si="17"/>
        <v>1</v>
      </c>
      <c r="V25" s="10">
        <f t="shared" si="18"/>
        <v>3.0571428571428572E-5</v>
      </c>
      <c r="W25" s="10">
        <f t="shared" si="19"/>
        <v>3.0571428571428572E-5</v>
      </c>
      <c r="X25" s="10">
        <f t="shared" si="20"/>
        <v>3.9999999999999998E-6</v>
      </c>
      <c r="Y25" s="10" t="e">
        <f t="shared" si="21"/>
        <v>#DIV/0!</v>
      </c>
      <c r="Z25" s="10" t="e">
        <f t="shared" si="22"/>
        <v>#DIV/0!</v>
      </c>
      <c r="AA25" s="10" t="e">
        <f t="shared" si="23"/>
        <v>#DIV/0!</v>
      </c>
      <c r="AB25" s="10" t="e">
        <f t="shared" si="24"/>
        <v>#DIV/0!</v>
      </c>
      <c r="AC25" s="11">
        <f>ROUND((SUM(Table12[[#This Row],[II1]:[II3]]))*1000000, 0)</f>
        <v>65</v>
      </c>
      <c r="AD25" s="18" t="s">
        <v>20</v>
      </c>
      <c r="AE25" s="11">
        <v>65</v>
      </c>
      <c r="AF25" s="13">
        <f t="shared" si="25"/>
        <v>1</v>
      </c>
      <c r="AG25"/>
      <c r="AI25" s="11"/>
      <c r="AJ25" s="6">
        <v>5</v>
      </c>
      <c r="AK25" s="11" t="str">
        <f t="shared" si="26"/>
        <v/>
      </c>
      <c r="AN25" s="13" t="str">
        <f t="shared" si="27"/>
        <v/>
      </c>
      <c r="AO25"/>
      <c r="AP25"/>
      <c r="BC25">
        <v>20</v>
      </c>
      <c r="BD25">
        <v>20</v>
      </c>
      <c r="BE25">
        <v>150</v>
      </c>
      <c r="BF25">
        <v>150</v>
      </c>
      <c r="BG25">
        <v>150</v>
      </c>
      <c r="BH25">
        <v>150</v>
      </c>
    </row>
    <row r="26" spans="2:60" x14ac:dyDescent="0.35">
      <c r="B26" s="6">
        <v>6</v>
      </c>
      <c r="C26" s="2" t="s">
        <v>17</v>
      </c>
      <c r="D26" s="6" t="str">
        <f t="shared" si="5"/>
        <v>1</v>
      </c>
      <c r="E26" s="6" t="str">
        <f t="shared" si="6"/>
        <v>1</v>
      </c>
      <c r="F26" s="6" t="str">
        <f t="shared" si="7"/>
        <v>0</v>
      </c>
      <c r="G26" s="6"/>
      <c r="H26" s="10">
        <f t="shared" si="8"/>
        <v>5.7142857142857148E-5</v>
      </c>
      <c r="I26" s="10">
        <f t="shared" si="9"/>
        <v>3.5238095238095239E-5</v>
      </c>
      <c r="J26" s="10">
        <f t="shared" si="10"/>
        <v>3.0571428571428572E-5</v>
      </c>
      <c r="K26" s="10" t="e">
        <f t="shared" si="11"/>
        <v>#DIV/0!</v>
      </c>
      <c r="L26" s="10" t="e">
        <f t="shared" si="12"/>
        <v>#DIV/0!</v>
      </c>
      <c r="M26" s="10" t="e">
        <f t="shared" si="13"/>
        <v>#DIV/0!</v>
      </c>
      <c r="N26" s="10" t="e">
        <f t="shared" si="14"/>
        <v>#DIV/0!</v>
      </c>
      <c r="O26" s="11">
        <f>ROUND(( SUM(Table3231589[[#This Row],[I1]:[I3]]))*1000000, 0)</f>
        <v>123</v>
      </c>
      <c r="P26" s="2" t="s">
        <v>22</v>
      </c>
      <c r="Q26" s="11"/>
      <c r="R26" s="6">
        <v>3</v>
      </c>
      <c r="S26" s="6" t="str">
        <f t="shared" si="15"/>
        <v>0</v>
      </c>
      <c r="T26" s="6" t="str">
        <f t="shared" si="16"/>
        <v>1</v>
      </c>
      <c r="U26" s="6" t="str">
        <f t="shared" si="17"/>
        <v>1</v>
      </c>
      <c r="V26" s="10">
        <f t="shared" si="18"/>
        <v>5.7142857142857148E-5</v>
      </c>
      <c r="W26" s="10">
        <f t="shared" si="19"/>
        <v>3.0571428571428572E-5</v>
      </c>
      <c r="X26" s="10">
        <f t="shared" si="20"/>
        <v>3.9999999999999998E-6</v>
      </c>
      <c r="Y26" s="10" t="e">
        <f t="shared" si="21"/>
        <v>#DIV/0!</v>
      </c>
      <c r="Z26" s="10" t="e">
        <f t="shared" si="22"/>
        <v>#DIV/0!</v>
      </c>
      <c r="AA26" s="10" t="e">
        <f t="shared" si="23"/>
        <v>#DIV/0!</v>
      </c>
      <c r="AB26" s="10" t="e">
        <f t="shared" si="24"/>
        <v>#DIV/0!</v>
      </c>
      <c r="AC26" s="11">
        <f>ROUND((SUM(Table12[[#This Row],[II1]:[II3]]))*1000000, 0)</f>
        <v>92</v>
      </c>
      <c r="AD26" s="18" t="s">
        <v>16</v>
      </c>
      <c r="AE26" s="11">
        <v>92</v>
      </c>
      <c r="AF26" s="13">
        <f t="shared" si="25"/>
        <v>1</v>
      </c>
      <c r="AG26"/>
      <c r="AI26" s="11"/>
      <c r="AJ26" s="6">
        <v>6</v>
      </c>
      <c r="AK26" s="11" t="str">
        <f t="shared" si="26"/>
        <v/>
      </c>
      <c r="AN26" s="13" t="str">
        <f t="shared" si="27"/>
        <v/>
      </c>
      <c r="AO26"/>
      <c r="AP26"/>
      <c r="BC26">
        <v>150</v>
      </c>
      <c r="BD26">
        <v>150</v>
      </c>
      <c r="BE26">
        <v>150</v>
      </c>
      <c r="BF26">
        <v>150</v>
      </c>
      <c r="BG26">
        <v>150</v>
      </c>
      <c r="BH26">
        <v>150</v>
      </c>
    </row>
    <row r="27" spans="2:60" x14ac:dyDescent="0.35">
      <c r="B27" s="6">
        <v>7</v>
      </c>
      <c r="C27" s="2" t="s">
        <v>16</v>
      </c>
      <c r="D27" s="6" t="str">
        <f t="shared" si="5"/>
        <v>1</v>
      </c>
      <c r="E27" s="6" t="str">
        <f t="shared" si="6"/>
        <v>1</v>
      </c>
      <c r="F27" s="6" t="str">
        <f t="shared" si="7"/>
        <v>1</v>
      </c>
      <c r="G27" s="6"/>
      <c r="H27" s="10">
        <f t="shared" si="8"/>
        <v>6.3809523809523817E-5</v>
      </c>
      <c r="I27" s="10">
        <f t="shared" si="9"/>
        <v>3.723809523809524E-5</v>
      </c>
      <c r="J27" s="10">
        <f t="shared" si="10"/>
        <v>3.2571428571428573E-5</v>
      </c>
      <c r="K27" s="10" t="e">
        <f t="shared" si="11"/>
        <v>#DIV/0!</v>
      </c>
      <c r="L27" s="10" t="e">
        <f t="shared" si="12"/>
        <v>#DIV/0!</v>
      </c>
      <c r="M27" s="10" t="e">
        <f t="shared" si="13"/>
        <v>#DIV/0!</v>
      </c>
      <c r="N27" s="10" t="e">
        <f t="shared" si="14"/>
        <v>#DIV/0!</v>
      </c>
      <c r="O27" s="11">
        <f>ROUND(( SUM(Table3231589[[#This Row],[I1]:[I3]]))*1000000, 0)</f>
        <v>134</v>
      </c>
      <c r="P27" s="2" t="s">
        <v>22</v>
      </c>
      <c r="Q27" s="11"/>
      <c r="R27" s="6">
        <v>7</v>
      </c>
      <c r="S27" s="6" t="str">
        <f t="shared" si="15"/>
        <v>1</v>
      </c>
      <c r="T27" s="6" t="str">
        <f t="shared" si="16"/>
        <v>1</v>
      </c>
      <c r="U27" s="6" t="str">
        <f t="shared" si="17"/>
        <v>1</v>
      </c>
      <c r="V27" s="10">
        <f t="shared" si="18"/>
        <v>5.914285714285715E-5</v>
      </c>
      <c r="W27" s="10">
        <f t="shared" si="19"/>
        <v>3.2571428571428573E-5</v>
      </c>
      <c r="X27" s="10">
        <f t="shared" si="20"/>
        <v>6.0000000000000002E-6</v>
      </c>
      <c r="Y27" s="10" t="e">
        <f t="shared" si="21"/>
        <v>#DIV/0!</v>
      </c>
      <c r="Z27" s="10" t="e">
        <f t="shared" si="22"/>
        <v>#DIV/0!</v>
      </c>
      <c r="AA27" s="10" t="e">
        <f t="shared" si="23"/>
        <v>#DIV/0!</v>
      </c>
      <c r="AB27" s="10" t="e">
        <f t="shared" si="24"/>
        <v>#DIV/0!</v>
      </c>
      <c r="AC27" s="11">
        <f>ROUND((SUM(Table12[[#This Row],[II1]:[II3]]))*1000000, 0)</f>
        <v>98</v>
      </c>
      <c r="AD27" s="18" t="s">
        <v>16</v>
      </c>
      <c r="AE27" s="11">
        <v>98</v>
      </c>
      <c r="AF27" s="13">
        <f t="shared" si="25"/>
        <v>1</v>
      </c>
      <c r="AG27"/>
      <c r="AI27" s="11"/>
      <c r="AJ27" s="6">
        <v>7</v>
      </c>
      <c r="AK27" s="11" t="str">
        <f t="shared" si="26"/>
        <v/>
      </c>
      <c r="AN27" s="13" t="str">
        <f t="shared" si="27"/>
        <v/>
      </c>
      <c r="AO27"/>
      <c r="AP27"/>
    </row>
    <row r="28" spans="2:60" x14ac:dyDescent="0.35">
      <c r="B28" s="6">
        <v>8</v>
      </c>
      <c r="C28" s="2" t="s">
        <v>19</v>
      </c>
      <c r="D28" s="6" t="e">
        <f t="shared" si="5"/>
        <v>#NUM!</v>
      </c>
      <c r="E28" s="6" t="e">
        <f t="shared" si="6"/>
        <v>#NUM!</v>
      </c>
      <c r="F28" s="6" t="e">
        <f t="shared" si="7"/>
        <v>#NUM!</v>
      </c>
      <c r="G28" s="6"/>
      <c r="H28" s="10" t="e">
        <f t="shared" si="8"/>
        <v>#NUM!</v>
      </c>
      <c r="I28" s="10" t="e">
        <f t="shared" si="9"/>
        <v>#NUM!</v>
      </c>
      <c r="J28" s="10" t="e">
        <f t="shared" si="10"/>
        <v>#NUM!</v>
      </c>
      <c r="K28" s="10" t="e">
        <f t="shared" si="11"/>
        <v>#NUM!</v>
      </c>
      <c r="L28" s="10" t="e">
        <f t="shared" si="12"/>
        <v>#NUM!</v>
      </c>
      <c r="M28" s="10" t="e">
        <f t="shared" si="13"/>
        <v>#NUM!</v>
      </c>
      <c r="N28" s="10" t="e">
        <f t="shared" si="14"/>
        <v>#NUM!</v>
      </c>
      <c r="O28" s="11" t="e">
        <f>ROUND(( SUM(Table3231589[[#This Row],[I1]:[I3]]))*1000000, 0)</f>
        <v>#NUM!</v>
      </c>
      <c r="P28" s="2" t="s">
        <v>22</v>
      </c>
      <c r="Q28" s="11"/>
      <c r="R28" s="6">
        <v>8</v>
      </c>
      <c r="S28" s="6" t="e">
        <f t="shared" si="15"/>
        <v>#NUM!</v>
      </c>
      <c r="T28" s="6" t="e">
        <f t="shared" si="16"/>
        <v>#NUM!</v>
      </c>
      <c r="U28" s="6" t="e">
        <f t="shared" si="17"/>
        <v>#NUM!</v>
      </c>
      <c r="V28" s="10" t="e">
        <f t="shared" si="18"/>
        <v>#NUM!</v>
      </c>
      <c r="W28" s="10" t="e">
        <f t="shared" si="19"/>
        <v>#NUM!</v>
      </c>
      <c r="X28" s="10" t="e">
        <f t="shared" si="20"/>
        <v>#NUM!</v>
      </c>
      <c r="Y28" s="10" t="e">
        <f t="shared" si="21"/>
        <v>#NUM!</v>
      </c>
      <c r="Z28" s="10" t="e">
        <f t="shared" si="22"/>
        <v>#NUM!</v>
      </c>
      <c r="AA28" s="10" t="e">
        <f t="shared" si="23"/>
        <v>#NUM!</v>
      </c>
      <c r="AB28" s="10" t="e">
        <f t="shared" si="24"/>
        <v>#NUM!</v>
      </c>
      <c r="AC28" s="11" t="e">
        <f>ROUND((SUM(Table12[[#This Row],[II1]:[II3]]))*1000000, 0)</f>
        <v>#NUM!</v>
      </c>
      <c r="AD28" s="18"/>
      <c r="AE28" s="11" t="e">
        <v>#NUM!</v>
      </c>
      <c r="AF28" s="13">
        <f t="shared" si="25"/>
        <v>56</v>
      </c>
      <c r="AG28"/>
      <c r="AI28" s="11"/>
      <c r="AJ28" s="6">
        <v>8</v>
      </c>
      <c r="AK28" s="11" t="str">
        <f t="shared" si="26"/>
        <v/>
      </c>
      <c r="AN28" s="13" t="str">
        <f t="shared" si="27"/>
        <v/>
      </c>
      <c r="AO28"/>
      <c r="AP28"/>
    </row>
    <row r="29" spans="2:60" ht="15" customHeight="1" x14ac:dyDescent="0.35">
      <c r="B29" s="6">
        <v>9</v>
      </c>
      <c r="C29" s="2" t="s">
        <v>20</v>
      </c>
      <c r="D29" s="6" t="e">
        <f t="shared" si="5"/>
        <v>#NUM!</v>
      </c>
      <c r="E29" s="6" t="e">
        <f t="shared" si="6"/>
        <v>#NUM!</v>
      </c>
      <c r="F29" s="6" t="e">
        <f t="shared" si="7"/>
        <v>#NUM!</v>
      </c>
      <c r="G29" s="6"/>
      <c r="H29" s="10" t="e">
        <f t="shared" si="8"/>
        <v>#NUM!</v>
      </c>
      <c r="I29" s="10" t="e">
        <f t="shared" si="9"/>
        <v>#NUM!</v>
      </c>
      <c r="J29" s="10" t="e">
        <f t="shared" si="10"/>
        <v>#NUM!</v>
      </c>
      <c r="K29" s="10" t="e">
        <f t="shared" si="11"/>
        <v>#NUM!</v>
      </c>
      <c r="L29" s="10" t="e">
        <f t="shared" si="12"/>
        <v>#NUM!</v>
      </c>
      <c r="M29" s="10" t="e">
        <f t="shared" si="13"/>
        <v>#NUM!</v>
      </c>
      <c r="N29" s="10" t="e">
        <f t="shared" si="14"/>
        <v>#NUM!</v>
      </c>
      <c r="O29" s="11" t="e">
        <f>ROUND(( SUM(Table3231589[[#This Row],[I1]:[I3]]))*1000000, 0)</f>
        <v>#NUM!</v>
      </c>
      <c r="P29" s="2" t="s">
        <v>22</v>
      </c>
      <c r="Q29" s="11"/>
      <c r="R29" s="6">
        <v>9</v>
      </c>
      <c r="S29" s="6" t="e">
        <f t="shared" si="15"/>
        <v>#NUM!</v>
      </c>
      <c r="T29" s="6" t="e">
        <f t="shared" si="16"/>
        <v>#NUM!</v>
      </c>
      <c r="U29" s="6" t="e">
        <f t="shared" si="17"/>
        <v>#NUM!</v>
      </c>
      <c r="V29" s="10" t="e">
        <f t="shared" si="18"/>
        <v>#NUM!</v>
      </c>
      <c r="W29" s="10" t="e">
        <f t="shared" si="19"/>
        <v>#NUM!</v>
      </c>
      <c r="X29" s="10" t="e">
        <f t="shared" si="20"/>
        <v>#NUM!</v>
      </c>
      <c r="Y29" s="10" t="e">
        <f t="shared" si="21"/>
        <v>#NUM!</v>
      </c>
      <c r="Z29" s="10" t="e">
        <f t="shared" si="22"/>
        <v>#NUM!</v>
      </c>
      <c r="AA29" s="10" t="e">
        <f t="shared" si="23"/>
        <v>#NUM!</v>
      </c>
      <c r="AB29" s="10" t="e">
        <f t="shared" si="24"/>
        <v>#NUM!</v>
      </c>
      <c r="AC29" s="11" t="e">
        <f>ROUND((SUM(Table12[[#This Row],[II1]:[II3]]))*1000000, 0)</f>
        <v>#NUM!</v>
      </c>
      <c r="AD29" s="18"/>
      <c r="AE29" s="11"/>
      <c r="AF29" s="13" t="str">
        <f t="shared" si="25"/>
        <v/>
      </c>
      <c r="AG29"/>
      <c r="AI29" s="11"/>
      <c r="AJ29" s="6">
        <v>9</v>
      </c>
      <c r="AK29" s="11" t="str">
        <f t="shared" si="26"/>
        <v/>
      </c>
      <c r="AN29" s="13" t="str">
        <f t="shared" si="27"/>
        <v/>
      </c>
      <c r="AO29"/>
      <c r="AP29"/>
    </row>
    <row r="30" spans="2:60" ht="15" customHeight="1" x14ac:dyDescent="0.35">
      <c r="B30" s="6">
        <v>10</v>
      </c>
      <c r="C30" s="2" t="s">
        <v>20</v>
      </c>
      <c r="D30" s="6" t="e">
        <f t="shared" si="5"/>
        <v>#NUM!</v>
      </c>
      <c r="E30" s="6" t="e">
        <f t="shared" si="6"/>
        <v>#NUM!</v>
      </c>
      <c r="F30" s="6" t="e">
        <f t="shared" si="7"/>
        <v>#NUM!</v>
      </c>
      <c r="G30" s="6"/>
      <c r="H30" s="10" t="e">
        <f t="shared" si="8"/>
        <v>#NUM!</v>
      </c>
      <c r="I30" s="10" t="e">
        <f t="shared" si="9"/>
        <v>#NUM!</v>
      </c>
      <c r="J30" s="10" t="e">
        <f t="shared" si="10"/>
        <v>#NUM!</v>
      </c>
      <c r="K30" s="10" t="e">
        <f t="shared" si="11"/>
        <v>#NUM!</v>
      </c>
      <c r="L30" s="10" t="e">
        <f t="shared" si="12"/>
        <v>#NUM!</v>
      </c>
      <c r="M30" s="10" t="e">
        <f t="shared" si="13"/>
        <v>#NUM!</v>
      </c>
      <c r="N30" s="10" t="e">
        <f t="shared" si="14"/>
        <v>#NUM!</v>
      </c>
      <c r="O30" s="11" t="e">
        <f>ROUND(( SUM(Table3231589[[#This Row],[I1]:[I3]]))*1000000, 0)</f>
        <v>#NUM!</v>
      </c>
      <c r="P30" s="2" t="s">
        <v>22</v>
      </c>
      <c r="Q30" s="11"/>
      <c r="R30" s="6">
        <v>10</v>
      </c>
      <c r="S30" s="6" t="e">
        <f t="shared" si="15"/>
        <v>#NUM!</v>
      </c>
      <c r="T30" s="6" t="e">
        <f t="shared" si="16"/>
        <v>#NUM!</v>
      </c>
      <c r="U30" s="6" t="e">
        <f t="shared" si="17"/>
        <v>#NUM!</v>
      </c>
      <c r="V30" s="10" t="e">
        <f t="shared" si="18"/>
        <v>#NUM!</v>
      </c>
      <c r="W30" s="10" t="e">
        <f t="shared" si="19"/>
        <v>#NUM!</v>
      </c>
      <c r="X30" s="10" t="e">
        <f t="shared" si="20"/>
        <v>#NUM!</v>
      </c>
      <c r="Y30" s="10" t="e">
        <f t="shared" si="21"/>
        <v>#NUM!</v>
      </c>
      <c r="Z30" s="10" t="e">
        <f t="shared" si="22"/>
        <v>#NUM!</v>
      </c>
      <c r="AA30" s="10" t="e">
        <f t="shared" si="23"/>
        <v>#NUM!</v>
      </c>
      <c r="AB30" s="10" t="e">
        <f t="shared" si="24"/>
        <v>#NUM!</v>
      </c>
      <c r="AC30" s="11" t="e">
        <f>ROUND((SUM(Table12[[#This Row],[II1]:[II3]]))*1000000, 0)</f>
        <v>#NUM!</v>
      </c>
      <c r="AD30" s="18"/>
      <c r="AE30" s="11"/>
      <c r="AF30" s="13" t="str">
        <f t="shared" si="25"/>
        <v/>
      </c>
      <c r="AG30"/>
      <c r="AI30" s="11"/>
      <c r="AJ30" s="6">
        <v>10</v>
      </c>
      <c r="AK30" s="11" t="str">
        <f t="shared" si="26"/>
        <v/>
      </c>
      <c r="AN30" s="13" t="str">
        <f t="shared" si="27"/>
        <v/>
      </c>
      <c r="AO30"/>
      <c r="AP30"/>
      <c r="BG30">
        <v>150</v>
      </c>
    </row>
    <row r="31" spans="2:60" ht="15" customHeight="1" x14ac:dyDescent="0.35">
      <c r="B31" s="6">
        <v>11</v>
      </c>
      <c r="C31" s="2" t="s">
        <v>20</v>
      </c>
      <c r="D31" s="6" t="e">
        <f t="shared" si="5"/>
        <v>#NUM!</v>
      </c>
      <c r="E31" s="6" t="e">
        <f t="shared" si="6"/>
        <v>#NUM!</v>
      </c>
      <c r="F31" s="6" t="e">
        <f t="shared" si="7"/>
        <v>#NUM!</v>
      </c>
      <c r="G31" s="6"/>
      <c r="H31" s="10" t="e">
        <f t="shared" si="8"/>
        <v>#NUM!</v>
      </c>
      <c r="I31" s="10" t="e">
        <f t="shared" si="9"/>
        <v>#NUM!</v>
      </c>
      <c r="J31" s="10" t="e">
        <f t="shared" si="10"/>
        <v>#NUM!</v>
      </c>
      <c r="K31" s="10" t="e">
        <f t="shared" si="11"/>
        <v>#NUM!</v>
      </c>
      <c r="L31" s="10" t="e">
        <f t="shared" si="12"/>
        <v>#NUM!</v>
      </c>
      <c r="M31" s="10" t="e">
        <f t="shared" si="13"/>
        <v>#NUM!</v>
      </c>
      <c r="N31" s="10" t="e">
        <f t="shared" si="14"/>
        <v>#NUM!</v>
      </c>
      <c r="O31" s="11" t="e">
        <f>ROUND(( SUM(Table3231589[[#This Row],[I1]:[I3]]))*1000000, 0)</f>
        <v>#NUM!</v>
      </c>
      <c r="P31" s="2" t="s">
        <v>22</v>
      </c>
      <c r="Q31" s="11"/>
      <c r="R31" s="6">
        <v>11</v>
      </c>
      <c r="S31" s="6" t="e">
        <f t="shared" si="15"/>
        <v>#NUM!</v>
      </c>
      <c r="T31" s="6" t="e">
        <f t="shared" si="16"/>
        <v>#NUM!</v>
      </c>
      <c r="U31" s="6" t="e">
        <f t="shared" si="17"/>
        <v>#NUM!</v>
      </c>
      <c r="V31" s="10" t="e">
        <f t="shared" si="18"/>
        <v>#NUM!</v>
      </c>
      <c r="W31" s="10" t="e">
        <f t="shared" si="19"/>
        <v>#NUM!</v>
      </c>
      <c r="X31" s="10" t="e">
        <f t="shared" si="20"/>
        <v>#NUM!</v>
      </c>
      <c r="Y31" s="10" t="e">
        <f t="shared" si="21"/>
        <v>#NUM!</v>
      </c>
      <c r="Z31" s="10" t="e">
        <f t="shared" si="22"/>
        <v>#NUM!</v>
      </c>
      <c r="AA31" s="10" t="e">
        <f t="shared" si="23"/>
        <v>#NUM!</v>
      </c>
      <c r="AB31" s="10" t="e">
        <f t="shared" si="24"/>
        <v>#NUM!</v>
      </c>
      <c r="AC31" s="11" t="e">
        <f>ROUND((SUM(Table12[[#This Row],[II1]:[II3]]))*1000000, 0)</f>
        <v>#NUM!</v>
      </c>
      <c r="AD31" s="18"/>
      <c r="AE31" s="11"/>
      <c r="AF31" s="13" t="str">
        <f t="shared" si="25"/>
        <v/>
      </c>
      <c r="AG31"/>
      <c r="AI31" s="11"/>
      <c r="AJ31" s="6">
        <v>11</v>
      </c>
      <c r="AK31" s="11" t="str">
        <f t="shared" si="26"/>
        <v/>
      </c>
      <c r="AN31" s="13" t="str">
        <f t="shared" si="27"/>
        <v/>
      </c>
      <c r="AO31"/>
      <c r="AP31"/>
    </row>
    <row r="32" spans="2:60" x14ac:dyDescent="0.35">
      <c r="B32" s="6">
        <v>12</v>
      </c>
      <c r="C32" s="2" t="s">
        <v>19</v>
      </c>
      <c r="D32" s="6" t="e">
        <f t="shared" si="5"/>
        <v>#NUM!</v>
      </c>
      <c r="E32" s="6" t="e">
        <f t="shared" si="6"/>
        <v>#NUM!</v>
      </c>
      <c r="F32" s="6" t="e">
        <f t="shared" si="7"/>
        <v>#NUM!</v>
      </c>
      <c r="G32" s="6"/>
      <c r="H32" s="10" t="e">
        <f t="shared" si="8"/>
        <v>#NUM!</v>
      </c>
      <c r="I32" s="10" t="e">
        <f t="shared" si="9"/>
        <v>#NUM!</v>
      </c>
      <c r="J32" s="10" t="e">
        <f t="shared" si="10"/>
        <v>#NUM!</v>
      </c>
      <c r="K32" s="10" t="e">
        <f t="shared" si="11"/>
        <v>#NUM!</v>
      </c>
      <c r="L32" s="10" t="e">
        <f t="shared" si="12"/>
        <v>#NUM!</v>
      </c>
      <c r="M32" s="10" t="e">
        <f t="shared" si="13"/>
        <v>#NUM!</v>
      </c>
      <c r="N32" s="10" t="e">
        <f t="shared" si="14"/>
        <v>#NUM!</v>
      </c>
      <c r="O32" s="11" t="e">
        <f>ROUND(( SUM(Table3231589[[#This Row],[I1]:[I3]]))*1000000, 0)</f>
        <v>#NUM!</v>
      </c>
      <c r="P32" s="2" t="s">
        <v>22</v>
      </c>
      <c r="Q32" s="11"/>
      <c r="R32" s="6">
        <v>12</v>
      </c>
      <c r="S32" s="6" t="e">
        <f t="shared" si="15"/>
        <v>#NUM!</v>
      </c>
      <c r="T32" s="6" t="e">
        <f t="shared" si="16"/>
        <v>#NUM!</v>
      </c>
      <c r="U32" s="6" t="e">
        <f t="shared" si="17"/>
        <v>#NUM!</v>
      </c>
      <c r="V32" s="10" t="e">
        <f t="shared" si="18"/>
        <v>#NUM!</v>
      </c>
      <c r="W32" s="10" t="e">
        <f t="shared" si="19"/>
        <v>#NUM!</v>
      </c>
      <c r="X32" s="10" t="e">
        <f t="shared" si="20"/>
        <v>#NUM!</v>
      </c>
      <c r="Y32" s="10" t="e">
        <f t="shared" si="21"/>
        <v>#NUM!</v>
      </c>
      <c r="Z32" s="10" t="e">
        <f t="shared" si="22"/>
        <v>#NUM!</v>
      </c>
      <c r="AA32" s="10" t="e">
        <f t="shared" si="23"/>
        <v>#NUM!</v>
      </c>
      <c r="AB32" s="10" t="e">
        <f t="shared" si="24"/>
        <v>#NUM!</v>
      </c>
      <c r="AC32" s="11" t="e">
        <f>ROUND((SUM(Table12[[#This Row],[II1]:[II3]]))*1000000, 0)</f>
        <v>#NUM!</v>
      </c>
      <c r="AD32" s="18"/>
      <c r="AE32" s="11"/>
      <c r="AF32" s="13" t="str">
        <f t="shared" si="25"/>
        <v/>
      </c>
      <c r="AG32"/>
      <c r="AI32" s="11"/>
      <c r="AJ32" s="6">
        <v>12</v>
      </c>
      <c r="AK32" s="11" t="str">
        <f t="shared" si="26"/>
        <v/>
      </c>
      <c r="AN32" s="13" t="str">
        <f t="shared" si="27"/>
        <v/>
      </c>
      <c r="AO32"/>
      <c r="AP32"/>
    </row>
    <row r="33" spans="2:42" s="25" customFormat="1" ht="15" customHeight="1" x14ac:dyDescent="0.35">
      <c r="B33" s="6">
        <v>13</v>
      </c>
      <c r="C33" s="2" t="s">
        <v>20</v>
      </c>
      <c r="D33" s="6" t="e">
        <f t="shared" si="5"/>
        <v>#NUM!</v>
      </c>
      <c r="E33" s="6" t="e">
        <f t="shared" si="6"/>
        <v>#NUM!</v>
      </c>
      <c r="F33" s="6" t="e">
        <f t="shared" si="7"/>
        <v>#NUM!</v>
      </c>
      <c r="G33" s="6"/>
      <c r="H33" s="10" t="e">
        <f t="shared" si="8"/>
        <v>#NUM!</v>
      </c>
      <c r="I33" s="10" t="e">
        <f t="shared" si="9"/>
        <v>#NUM!</v>
      </c>
      <c r="J33" s="10" t="e">
        <f t="shared" si="10"/>
        <v>#NUM!</v>
      </c>
      <c r="K33" s="10" t="e">
        <f t="shared" si="11"/>
        <v>#NUM!</v>
      </c>
      <c r="L33" s="10" t="e">
        <f t="shared" si="12"/>
        <v>#NUM!</v>
      </c>
      <c r="M33" s="10" t="e">
        <f t="shared" si="13"/>
        <v>#NUM!</v>
      </c>
      <c r="N33" s="10" t="e">
        <f t="shared" si="14"/>
        <v>#NUM!</v>
      </c>
      <c r="O33" s="11" t="e">
        <f>ROUND(( SUM(Table3231589[[#This Row],[I1]:[I3]]))*1000000, 0)</f>
        <v>#NUM!</v>
      </c>
      <c r="P33" s="2" t="s">
        <v>22</v>
      </c>
      <c r="R33" s="6">
        <v>13</v>
      </c>
      <c r="S33" s="6" t="e">
        <f t="shared" si="15"/>
        <v>#NUM!</v>
      </c>
      <c r="T33" s="6" t="e">
        <f t="shared" si="16"/>
        <v>#NUM!</v>
      </c>
      <c r="U33" s="6" t="e">
        <f t="shared" si="17"/>
        <v>#NUM!</v>
      </c>
      <c r="V33" s="10" t="e">
        <f t="shared" si="18"/>
        <v>#NUM!</v>
      </c>
      <c r="W33" s="10" t="e">
        <f t="shared" si="19"/>
        <v>#NUM!</v>
      </c>
      <c r="X33" s="10" t="e">
        <f t="shared" si="20"/>
        <v>#NUM!</v>
      </c>
      <c r="Y33" s="10" t="e">
        <f t="shared" si="21"/>
        <v>#NUM!</v>
      </c>
      <c r="Z33" s="10" t="e">
        <f t="shared" si="22"/>
        <v>#NUM!</v>
      </c>
      <c r="AA33" s="10" t="e">
        <f t="shared" si="23"/>
        <v>#NUM!</v>
      </c>
      <c r="AB33" s="10" t="e">
        <f t="shared" si="24"/>
        <v>#NUM!</v>
      </c>
      <c r="AC33" s="11" t="e">
        <f>ROUND((SUM(Table12[[#This Row],[II1]:[II3]]))*1000000, 0)</f>
        <v>#NUM!</v>
      </c>
      <c r="AD33" s="18"/>
      <c r="AE33" s="22"/>
      <c r="AF33" s="24" t="str">
        <f t="shared" si="25"/>
        <v/>
      </c>
      <c r="AH33" s="22"/>
      <c r="AI33" s="22"/>
      <c r="AJ33" s="19">
        <v>13</v>
      </c>
      <c r="AK33" s="22" t="str">
        <f t="shared" si="26"/>
        <v/>
      </c>
      <c r="AL33" s="22"/>
      <c r="AM33" s="22"/>
      <c r="AN33" s="24" t="str">
        <f t="shared" si="27"/>
        <v/>
      </c>
    </row>
    <row r="34" spans="2:42" x14ac:dyDescent="0.35">
      <c r="B34" s="6">
        <v>14</v>
      </c>
      <c r="C34" s="2" t="s">
        <v>20</v>
      </c>
      <c r="D34" s="6" t="e">
        <f t="shared" si="5"/>
        <v>#NUM!</v>
      </c>
      <c r="E34" s="6" t="e">
        <f t="shared" si="6"/>
        <v>#NUM!</v>
      </c>
      <c r="F34" s="6" t="e">
        <f t="shared" si="7"/>
        <v>#NUM!</v>
      </c>
      <c r="G34" s="6"/>
      <c r="H34" s="10" t="e">
        <f t="shared" si="8"/>
        <v>#NUM!</v>
      </c>
      <c r="I34" s="10" t="e">
        <f t="shared" si="9"/>
        <v>#NUM!</v>
      </c>
      <c r="J34" s="10" t="e">
        <f t="shared" si="10"/>
        <v>#NUM!</v>
      </c>
      <c r="K34" s="10" t="e">
        <f t="shared" si="11"/>
        <v>#NUM!</v>
      </c>
      <c r="L34" s="10" t="e">
        <f t="shared" si="12"/>
        <v>#NUM!</v>
      </c>
      <c r="M34" s="10" t="e">
        <f t="shared" si="13"/>
        <v>#NUM!</v>
      </c>
      <c r="N34" s="10" t="e">
        <f t="shared" si="14"/>
        <v>#NUM!</v>
      </c>
      <c r="O34" s="11" t="e">
        <f>ROUND(( SUM(Table3231589[[#This Row],[I1]:[I3]]))*1000000, 0)</f>
        <v>#NUM!</v>
      </c>
      <c r="P34" s="2" t="s">
        <v>22</v>
      </c>
      <c r="Q34" s="11"/>
      <c r="R34" s="6">
        <v>14</v>
      </c>
      <c r="S34" s="6" t="e">
        <f t="shared" si="15"/>
        <v>#NUM!</v>
      </c>
      <c r="T34" s="6" t="e">
        <f t="shared" si="16"/>
        <v>#NUM!</v>
      </c>
      <c r="U34" s="6" t="e">
        <f t="shared" si="17"/>
        <v>#NUM!</v>
      </c>
      <c r="V34" s="10" t="e">
        <f t="shared" si="18"/>
        <v>#NUM!</v>
      </c>
      <c r="W34" s="10" t="e">
        <f t="shared" si="19"/>
        <v>#NUM!</v>
      </c>
      <c r="X34" s="10" t="e">
        <f t="shared" si="20"/>
        <v>#NUM!</v>
      </c>
      <c r="Y34" s="10" t="e">
        <f t="shared" si="21"/>
        <v>#NUM!</v>
      </c>
      <c r="Z34" s="10" t="e">
        <f t="shared" si="22"/>
        <v>#NUM!</v>
      </c>
      <c r="AA34" s="10" t="e">
        <f t="shared" si="23"/>
        <v>#NUM!</v>
      </c>
      <c r="AB34" s="10" t="e">
        <f t="shared" si="24"/>
        <v>#NUM!</v>
      </c>
      <c r="AC34" s="11" t="e">
        <f>ROUND((SUM(Table12[[#This Row],[II1]:[II3]]))*1000000, 0)</f>
        <v>#NUM!</v>
      </c>
      <c r="AD34" s="18"/>
      <c r="AE34" s="11"/>
      <c r="AF34" s="13" t="str">
        <f t="shared" si="25"/>
        <v/>
      </c>
      <c r="AG34"/>
      <c r="AI34" s="11"/>
      <c r="AJ34" s="6">
        <v>14</v>
      </c>
      <c r="AK34" s="11" t="str">
        <f t="shared" si="26"/>
        <v/>
      </c>
      <c r="AN34" s="13" t="str">
        <f t="shared" si="27"/>
        <v/>
      </c>
      <c r="AO34"/>
      <c r="AP34"/>
    </row>
    <row r="35" spans="2:42" s="25" customFormat="1" x14ac:dyDescent="0.35">
      <c r="B35" s="6">
        <v>15</v>
      </c>
      <c r="C35" s="2" t="s">
        <v>20</v>
      </c>
      <c r="D35" s="6" t="e">
        <f t="shared" si="5"/>
        <v>#NUM!</v>
      </c>
      <c r="E35" s="6" t="e">
        <f t="shared" si="6"/>
        <v>#NUM!</v>
      </c>
      <c r="F35" s="6" t="e">
        <f t="shared" si="7"/>
        <v>#NUM!</v>
      </c>
      <c r="G35" s="6"/>
      <c r="H35" s="10" t="e">
        <f t="shared" si="8"/>
        <v>#NUM!</v>
      </c>
      <c r="I35" s="10" t="e">
        <f t="shared" si="9"/>
        <v>#NUM!</v>
      </c>
      <c r="J35" s="10" t="e">
        <f t="shared" si="10"/>
        <v>#NUM!</v>
      </c>
      <c r="K35" s="10" t="e">
        <f t="shared" si="11"/>
        <v>#NUM!</v>
      </c>
      <c r="L35" s="10" t="e">
        <f t="shared" si="12"/>
        <v>#NUM!</v>
      </c>
      <c r="M35" s="10" t="e">
        <f t="shared" si="13"/>
        <v>#NUM!</v>
      </c>
      <c r="N35" s="10" t="e">
        <f t="shared" si="14"/>
        <v>#NUM!</v>
      </c>
      <c r="O35" s="11" t="e">
        <f>ROUND(( SUM(Table3231589[[#This Row],[I1]:[I3]]))*1000000, 0)</f>
        <v>#NUM!</v>
      </c>
      <c r="P35" s="2" t="s">
        <v>22</v>
      </c>
      <c r="R35" s="6">
        <v>15</v>
      </c>
      <c r="S35" s="6" t="e">
        <f t="shared" si="15"/>
        <v>#NUM!</v>
      </c>
      <c r="T35" s="6" t="e">
        <f t="shared" si="16"/>
        <v>#NUM!</v>
      </c>
      <c r="U35" s="6" t="e">
        <f t="shared" si="17"/>
        <v>#NUM!</v>
      </c>
      <c r="V35" s="10" t="e">
        <f t="shared" si="18"/>
        <v>#NUM!</v>
      </c>
      <c r="W35" s="10" t="e">
        <f t="shared" si="19"/>
        <v>#NUM!</v>
      </c>
      <c r="X35" s="10" t="e">
        <f t="shared" si="20"/>
        <v>#NUM!</v>
      </c>
      <c r="Y35" s="10" t="e">
        <f t="shared" si="21"/>
        <v>#NUM!</v>
      </c>
      <c r="Z35" s="10" t="e">
        <f t="shared" si="22"/>
        <v>#NUM!</v>
      </c>
      <c r="AA35" s="10" t="e">
        <f t="shared" si="23"/>
        <v>#NUM!</v>
      </c>
      <c r="AB35" s="10" t="e">
        <f t="shared" si="24"/>
        <v>#NUM!</v>
      </c>
      <c r="AC35" s="11" t="e">
        <f>ROUND((SUM(Table12[[#This Row],[II1]:[II3]]))*1000000, 0)</f>
        <v>#NUM!</v>
      </c>
      <c r="AD35" s="18"/>
      <c r="AE35" s="22"/>
      <c r="AF35" s="24" t="str">
        <f t="shared" si="25"/>
        <v/>
      </c>
      <c r="AH35" s="22"/>
      <c r="AI35" s="22"/>
      <c r="AJ35" s="19">
        <v>15</v>
      </c>
      <c r="AK35" s="22" t="str">
        <f t="shared" si="26"/>
        <v/>
      </c>
      <c r="AL35" s="22"/>
      <c r="AM35" s="22"/>
      <c r="AN35" s="24" t="str">
        <f t="shared" si="27"/>
        <v/>
      </c>
    </row>
    <row r="36" spans="2:42" x14ac:dyDescent="0.35">
      <c r="B36" s="6">
        <v>16</v>
      </c>
      <c r="C36" s="2" t="s">
        <v>21</v>
      </c>
      <c r="D36" s="6" t="e">
        <f t="shared" si="5"/>
        <v>#NUM!</v>
      </c>
      <c r="E36" s="6" t="e">
        <f t="shared" si="6"/>
        <v>#NUM!</v>
      </c>
      <c r="F36" s="6" t="e">
        <f t="shared" si="7"/>
        <v>#NUM!</v>
      </c>
      <c r="G36" s="6" t="e">
        <f t="shared" ref="G36:G83" si="28">LEFT(RIGHT(DEC2BIN($B36,4),1),1)</f>
        <v>#NUM!</v>
      </c>
      <c r="H36" s="10" t="e">
        <f t="shared" si="8"/>
        <v>#NUM!</v>
      </c>
      <c r="I36" s="10" t="e">
        <f t="shared" si="9"/>
        <v>#NUM!</v>
      </c>
      <c r="J36" s="10" t="e">
        <f t="shared" si="10"/>
        <v>#NUM!</v>
      </c>
      <c r="K36" s="10" t="e">
        <f t="shared" si="11"/>
        <v>#NUM!</v>
      </c>
      <c r="L36" s="10" t="e">
        <f t="shared" si="12"/>
        <v>#NUM!</v>
      </c>
      <c r="M36" s="10" t="e">
        <f t="shared" si="13"/>
        <v>#NUM!</v>
      </c>
      <c r="N36" s="10" t="e">
        <f t="shared" si="14"/>
        <v>#NUM!</v>
      </c>
      <c r="O36" s="11" t="e">
        <f>ROUND(( SUM(Table3231589[[#This Row],[I1]:[I3]]))*1000000, 0)</f>
        <v>#NUM!</v>
      </c>
      <c r="P36" s="11"/>
      <c r="Q36" s="11"/>
      <c r="R36" s="6">
        <v>16</v>
      </c>
      <c r="S36" s="6" t="e">
        <f t="shared" si="15"/>
        <v>#NUM!</v>
      </c>
      <c r="T36" s="6" t="e">
        <f t="shared" si="16"/>
        <v>#NUM!</v>
      </c>
      <c r="U36" s="6" t="e">
        <f t="shared" si="17"/>
        <v>#NUM!</v>
      </c>
      <c r="V36" s="10" t="e">
        <f t="shared" si="18"/>
        <v>#NUM!</v>
      </c>
      <c r="W36" s="10" t="e">
        <f t="shared" si="19"/>
        <v>#NUM!</v>
      </c>
      <c r="X36" s="10" t="e">
        <f t="shared" si="20"/>
        <v>#NUM!</v>
      </c>
      <c r="Y36" s="10" t="e">
        <f t="shared" si="21"/>
        <v>#NUM!</v>
      </c>
      <c r="Z36" s="10" t="e">
        <f t="shared" si="22"/>
        <v>#NUM!</v>
      </c>
      <c r="AA36" s="10" t="e">
        <f t="shared" si="23"/>
        <v>#NUM!</v>
      </c>
      <c r="AB36" s="10" t="e">
        <f t="shared" si="24"/>
        <v>#NUM!</v>
      </c>
      <c r="AC36" s="11" t="e">
        <f>ROUND((SUM(Table12[[#This Row],[II1]:[II3]]))*1000000, 0)</f>
        <v>#NUM!</v>
      </c>
      <c r="AD36" s="18"/>
      <c r="AE36" s="11"/>
      <c r="AF36" s="13" t="str">
        <f t="shared" si="25"/>
        <v/>
      </c>
      <c r="AG36"/>
      <c r="AI36" s="11"/>
      <c r="AJ36" s="6">
        <v>16</v>
      </c>
      <c r="AK36" s="11" t="str">
        <f t="shared" si="26"/>
        <v/>
      </c>
      <c r="AN36" s="13" t="str">
        <f t="shared" si="27"/>
        <v/>
      </c>
      <c r="AO36"/>
      <c r="AP36"/>
    </row>
    <row r="37" spans="2:42" ht="15" customHeight="1" x14ac:dyDescent="0.35">
      <c r="B37" s="6">
        <v>17</v>
      </c>
      <c r="C37" s="2" t="s">
        <v>20</v>
      </c>
      <c r="D37" s="6" t="e">
        <f t="shared" si="5"/>
        <v>#NUM!</v>
      </c>
      <c r="E37" s="6" t="e">
        <f t="shared" si="6"/>
        <v>#NUM!</v>
      </c>
      <c r="F37" s="6" t="e">
        <f t="shared" si="7"/>
        <v>#NUM!</v>
      </c>
      <c r="G37" s="6" t="e">
        <f t="shared" si="28"/>
        <v>#NUM!</v>
      </c>
      <c r="H37" s="10" t="e">
        <f t="shared" si="8"/>
        <v>#NUM!</v>
      </c>
      <c r="I37" s="10" t="e">
        <f t="shared" si="9"/>
        <v>#NUM!</v>
      </c>
      <c r="J37" s="10" t="e">
        <f t="shared" si="10"/>
        <v>#NUM!</v>
      </c>
      <c r="K37" s="10" t="e">
        <f t="shared" si="11"/>
        <v>#NUM!</v>
      </c>
      <c r="L37" s="10" t="e">
        <f t="shared" si="12"/>
        <v>#NUM!</v>
      </c>
      <c r="M37" s="10" t="e">
        <f t="shared" si="13"/>
        <v>#NUM!</v>
      </c>
      <c r="N37" s="10" t="e">
        <f t="shared" si="14"/>
        <v>#NUM!</v>
      </c>
      <c r="O37" s="11" t="e">
        <f>ROUND(( SUM(Table3231589[[#This Row],[I1]:[I3]]))*1000000, 0)</f>
        <v>#NUM!</v>
      </c>
      <c r="P37" s="11"/>
      <c r="Q37" s="11"/>
      <c r="R37" s="6">
        <v>17</v>
      </c>
      <c r="S37" s="6" t="e">
        <f t="shared" si="15"/>
        <v>#NUM!</v>
      </c>
      <c r="T37" s="6" t="e">
        <f t="shared" si="16"/>
        <v>#NUM!</v>
      </c>
      <c r="U37" s="6" t="e">
        <f t="shared" si="17"/>
        <v>#NUM!</v>
      </c>
      <c r="V37" s="10" t="e">
        <f t="shared" si="18"/>
        <v>#NUM!</v>
      </c>
      <c r="W37" s="10" t="e">
        <f t="shared" si="19"/>
        <v>#NUM!</v>
      </c>
      <c r="X37" s="10" t="e">
        <f t="shared" si="20"/>
        <v>#NUM!</v>
      </c>
      <c r="Y37" s="10" t="e">
        <f t="shared" si="21"/>
        <v>#NUM!</v>
      </c>
      <c r="Z37" s="10" t="e">
        <f t="shared" si="22"/>
        <v>#NUM!</v>
      </c>
      <c r="AA37" s="10" t="e">
        <f t="shared" si="23"/>
        <v>#NUM!</v>
      </c>
      <c r="AB37" s="10" t="e">
        <f t="shared" si="24"/>
        <v>#NUM!</v>
      </c>
      <c r="AC37" s="11" t="e">
        <f>ROUND((SUM(Table12[[#This Row],[II1]:[II3]]))*1000000, 0)</f>
        <v>#NUM!</v>
      </c>
      <c r="AD37" s="18"/>
      <c r="AE37" s="11"/>
      <c r="AF37" s="13" t="str">
        <f t="shared" si="25"/>
        <v/>
      </c>
      <c r="AG37"/>
      <c r="AI37" s="11"/>
      <c r="AJ37" s="6">
        <v>17</v>
      </c>
      <c r="AK37" s="11" t="str">
        <f t="shared" si="26"/>
        <v/>
      </c>
      <c r="AN37" s="13" t="str">
        <f t="shared" si="27"/>
        <v/>
      </c>
      <c r="AO37"/>
      <c r="AP37"/>
    </row>
    <row r="38" spans="2:42" ht="15" customHeight="1" x14ac:dyDescent="0.35">
      <c r="B38" s="6">
        <v>18</v>
      </c>
      <c r="C38" s="2" t="s">
        <v>20</v>
      </c>
      <c r="D38" s="6" t="e">
        <f t="shared" si="5"/>
        <v>#NUM!</v>
      </c>
      <c r="E38" s="6" t="e">
        <f t="shared" si="6"/>
        <v>#NUM!</v>
      </c>
      <c r="F38" s="6" t="e">
        <f t="shared" si="7"/>
        <v>#NUM!</v>
      </c>
      <c r="G38" s="6" t="e">
        <f t="shared" si="28"/>
        <v>#NUM!</v>
      </c>
      <c r="H38" s="10" t="e">
        <f t="shared" si="8"/>
        <v>#NUM!</v>
      </c>
      <c r="I38" s="10" t="e">
        <f t="shared" si="9"/>
        <v>#NUM!</v>
      </c>
      <c r="J38" s="10" t="e">
        <f t="shared" si="10"/>
        <v>#NUM!</v>
      </c>
      <c r="K38" s="10" t="e">
        <f t="shared" si="11"/>
        <v>#NUM!</v>
      </c>
      <c r="L38" s="10" t="e">
        <f t="shared" si="12"/>
        <v>#NUM!</v>
      </c>
      <c r="M38" s="10" t="e">
        <f t="shared" si="13"/>
        <v>#NUM!</v>
      </c>
      <c r="N38" s="10" t="e">
        <f t="shared" si="14"/>
        <v>#NUM!</v>
      </c>
      <c r="O38" s="11" t="e">
        <f>ROUND(( SUM(Table3231589[[#This Row],[I1]:[I3]]))*1000000, 0)</f>
        <v>#NUM!</v>
      </c>
      <c r="P38" s="11"/>
      <c r="Q38" s="11"/>
      <c r="R38" s="6">
        <v>18</v>
      </c>
      <c r="S38" s="6" t="e">
        <f t="shared" si="15"/>
        <v>#NUM!</v>
      </c>
      <c r="T38" s="6" t="e">
        <f t="shared" si="16"/>
        <v>#NUM!</v>
      </c>
      <c r="U38" s="6" t="e">
        <f t="shared" si="17"/>
        <v>#NUM!</v>
      </c>
      <c r="V38" s="10" t="e">
        <f t="shared" si="18"/>
        <v>#NUM!</v>
      </c>
      <c r="W38" s="10" t="e">
        <f t="shared" si="19"/>
        <v>#NUM!</v>
      </c>
      <c r="X38" s="10" t="e">
        <f t="shared" si="20"/>
        <v>#NUM!</v>
      </c>
      <c r="Y38" s="10" t="e">
        <f t="shared" si="21"/>
        <v>#NUM!</v>
      </c>
      <c r="Z38" s="10" t="e">
        <f t="shared" si="22"/>
        <v>#NUM!</v>
      </c>
      <c r="AA38" s="10" t="e">
        <f t="shared" si="23"/>
        <v>#NUM!</v>
      </c>
      <c r="AB38" s="10" t="e">
        <f t="shared" si="24"/>
        <v>#NUM!</v>
      </c>
      <c r="AC38" s="11" t="e">
        <f>ROUND((SUM(Table12[[#This Row],[II1]:[II3]]))*1000000, 0)</f>
        <v>#NUM!</v>
      </c>
      <c r="AD38" s="18"/>
      <c r="AE38" s="11"/>
      <c r="AF38" s="13" t="str">
        <f t="shared" si="25"/>
        <v/>
      </c>
      <c r="AG38"/>
      <c r="AI38" s="11"/>
      <c r="AJ38" s="6">
        <v>18</v>
      </c>
      <c r="AK38" s="11" t="str">
        <f t="shared" si="26"/>
        <v/>
      </c>
      <c r="AN38" s="13" t="str">
        <f t="shared" si="27"/>
        <v/>
      </c>
      <c r="AO38"/>
      <c r="AP38"/>
    </row>
    <row r="39" spans="2:42" ht="15" customHeight="1" x14ac:dyDescent="0.35">
      <c r="B39" s="6">
        <v>19</v>
      </c>
      <c r="C39" s="2" t="s">
        <v>20</v>
      </c>
      <c r="D39" s="6" t="e">
        <f t="shared" si="5"/>
        <v>#NUM!</v>
      </c>
      <c r="E39" s="6" t="e">
        <f t="shared" si="6"/>
        <v>#NUM!</v>
      </c>
      <c r="F39" s="6" t="e">
        <f t="shared" si="7"/>
        <v>#NUM!</v>
      </c>
      <c r="G39" s="6" t="e">
        <f t="shared" si="28"/>
        <v>#NUM!</v>
      </c>
      <c r="H39" s="10" t="e">
        <f t="shared" si="8"/>
        <v>#NUM!</v>
      </c>
      <c r="I39" s="10" t="e">
        <f t="shared" si="9"/>
        <v>#NUM!</v>
      </c>
      <c r="J39" s="10" t="e">
        <f t="shared" si="10"/>
        <v>#NUM!</v>
      </c>
      <c r="K39" s="10" t="e">
        <f t="shared" si="11"/>
        <v>#NUM!</v>
      </c>
      <c r="L39" s="10" t="e">
        <f t="shared" si="12"/>
        <v>#NUM!</v>
      </c>
      <c r="M39" s="10" t="e">
        <f t="shared" si="13"/>
        <v>#NUM!</v>
      </c>
      <c r="N39" s="10" t="e">
        <f t="shared" si="14"/>
        <v>#NUM!</v>
      </c>
      <c r="O39" s="11" t="e">
        <f>ROUND(( SUM(Table3231589[[#This Row],[I1]:[I3]]))*1000000, 0)</f>
        <v>#NUM!</v>
      </c>
      <c r="P39" s="11"/>
      <c r="Q39" s="11"/>
      <c r="R39" s="6">
        <v>19</v>
      </c>
      <c r="S39" s="6" t="e">
        <f t="shared" si="15"/>
        <v>#NUM!</v>
      </c>
      <c r="T39" s="6" t="e">
        <f t="shared" si="16"/>
        <v>#NUM!</v>
      </c>
      <c r="U39" s="6" t="e">
        <f t="shared" si="17"/>
        <v>#NUM!</v>
      </c>
      <c r="V39" s="10" t="e">
        <f t="shared" si="18"/>
        <v>#NUM!</v>
      </c>
      <c r="W39" s="10" t="e">
        <f t="shared" si="19"/>
        <v>#NUM!</v>
      </c>
      <c r="X39" s="10" t="e">
        <f t="shared" si="20"/>
        <v>#NUM!</v>
      </c>
      <c r="Y39" s="10" t="e">
        <f t="shared" si="21"/>
        <v>#NUM!</v>
      </c>
      <c r="Z39" s="10" t="e">
        <f t="shared" si="22"/>
        <v>#NUM!</v>
      </c>
      <c r="AA39" s="10" t="e">
        <f t="shared" si="23"/>
        <v>#NUM!</v>
      </c>
      <c r="AB39" s="10" t="e">
        <f t="shared" si="24"/>
        <v>#NUM!</v>
      </c>
      <c r="AC39" s="11" t="e">
        <f>ROUND((SUM(Table12[[#This Row],[II1]:[II3]]))*1000000, 0)</f>
        <v>#NUM!</v>
      </c>
      <c r="AD39" s="18"/>
      <c r="AE39" s="11"/>
      <c r="AF39" s="13" t="str">
        <f t="shared" si="25"/>
        <v/>
      </c>
      <c r="AG39"/>
      <c r="AI39" s="11"/>
      <c r="AJ39" s="6">
        <v>19</v>
      </c>
      <c r="AK39" s="11" t="str">
        <f t="shared" si="26"/>
        <v/>
      </c>
      <c r="AN39" s="13" t="str">
        <f t="shared" si="27"/>
        <v/>
      </c>
      <c r="AO39"/>
      <c r="AP39"/>
    </row>
    <row r="40" spans="2:42" ht="15" customHeight="1" x14ac:dyDescent="0.35">
      <c r="B40" s="6">
        <v>20</v>
      </c>
      <c r="C40" s="2" t="s">
        <v>20</v>
      </c>
      <c r="D40" s="6" t="e">
        <f t="shared" si="5"/>
        <v>#NUM!</v>
      </c>
      <c r="E40" s="6" t="e">
        <f t="shared" si="6"/>
        <v>#NUM!</v>
      </c>
      <c r="F40" s="6" t="e">
        <f t="shared" si="7"/>
        <v>#NUM!</v>
      </c>
      <c r="G40" s="6" t="e">
        <f t="shared" si="28"/>
        <v>#NUM!</v>
      </c>
      <c r="H40" s="10" t="e">
        <f t="shared" si="8"/>
        <v>#NUM!</v>
      </c>
      <c r="I40" s="10" t="e">
        <f t="shared" si="9"/>
        <v>#NUM!</v>
      </c>
      <c r="J40" s="10" t="e">
        <f t="shared" si="10"/>
        <v>#NUM!</v>
      </c>
      <c r="K40" s="10" t="e">
        <f t="shared" si="11"/>
        <v>#NUM!</v>
      </c>
      <c r="L40" s="10" t="e">
        <f t="shared" si="12"/>
        <v>#NUM!</v>
      </c>
      <c r="M40" s="10" t="e">
        <f t="shared" si="13"/>
        <v>#NUM!</v>
      </c>
      <c r="N40" s="10" t="e">
        <f t="shared" si="14"/>
        <v>#NUM!</v>
      </c>
      <c r="O40" s="11" t="e">
        <f>ROUND(( SUM(Table3231589[[#This Row],[I1]:[I3]]))*1000000, 0)</f>
        <v>#NUM!</v>
      </c>
      <c r="P40" s="11"/>
      <c r="Q40" s="11"/>
      <c r="R40" s="6">
        <v>20</v>
      </c>
      <c r="S40" s="6" t="e">
        <f t="shared" si="15"/>
        <v>#NUM!</v>
      </c>
      <c r="T40" s="6" t="e">
        <f t="shared" si="16"/>
        <v>#NUM!</v>
      </c>
      <c r="U40" s="6" t="e">
        <f t="shared" si="17"/>
        <v>#NUM!</v>
      </c>
      <c r="V40" s="10" t="e">
        <f t="shared" si="18"/>
        <v>#NUM!</v>
      </c>
      <c r="W40" s="10" t="e">
        <f t="shared" si="19"/>
        <v>#NUM!</v>
      </c>
      <c r="X40" s="10" t="e">
        <f t="shared" si="20"/>
        <v>#NUM!</v>
      </c>
      <c r="Y40" s="10" t="e">
        <f t="shared" si="21"/>
        <v>#NUM!</v>
      </c>
      <c r="Z40" s="10" t="e">
        <f t="shared" si="22"/>
        <v>#NUM!</v>
      </c>
      <c r="AA40" s="10" t="e">
        <f t="shared" si="23"/>
        <v>#NUM!</v>
      </c>
      <c r="AB40" s="10" t="e">
        <f t="shared" si="24"/>
        <v>#NUM!</v>
      </c>
      <c r="AC40" s="11" t="e">
        <f>ROUND((SUM(Table12[[#This Row],[II1]:[II3]]))*1000000, 0)</f>
        <v>#NUM!</v>
      </c>
      <c r="AD40" s="18"/>
      <c r="AE40" s="11"/>
      <c r="AF40" s="13" t="str">
        <f t="shared" si="25"/>
        <v/>
      </c>
      <c r="AG40"/>
      <c r="AI40" s="11"/>
      <c r="AJ40" s="6">
        <v>20</v>
      </c>
      <c r="AK40" s="11" t="str">
        <f t="shared" si="26"/>
        <v/>
      </c>
      <c r="AN40" s="13" t="str">
        <f t="shared" si="27"/>
        <v/>
      </c>
      <c r="AO40"/>
      <c r="AP40"/>
    </row>
    <row r="41" spans="2:42" ht="15" customHeight="1" x14ac:dyDescent="0.35">
      <c r="B41" s="6">
        <v>21</v>
      </c>
      <c r="C41" s="2" t="s">
        <v>20</v>
      </c>
      <c r="D41" s="6" t="e">
        <f t="shared" si="5"/>
        <v>#NUM!</v>
      </c>
      <c r="E41" s="6" t="e">
        <f t="shared" si="6"/>
        <v>#NUM!</v>
      </c>
      <c r="F41" s="6" t="e">
        <f t="shared" si="7"/>
        <v>#NUM!</v>
      </c>
      <c r="G41" s="6" t="e">
        <f t="shared" si="28"/>
        <v>#NUM!</v>
      </c>
      <c r="H41" s="10" t="e">
        <f t="shared" si="8"/>
        <v>#NUM!</v>
      </c>
      <c r="I41" s="10" t="e">
        <f t="shared" si="9"/>
        <v>#NUM!</v>
      </c>
      <c r="J41" s="10" t="e">
        <f t="shared" si="10"/>
        <v>#NUM!</v>
      </c>
      <c r="K41" s="10" t="e">
        <f t="shared" si="11"/>
        <v>#NUM!</v>
      </c>
      <c r="L41" s="10" t="e">
        <f t="shared" si="12"/>
        <v>#NUM!</v>
      </c>
      <c r="M41" s="10" t="e">
        <f t="shared" si="13"/>
        <v>#NUM!</v>
      </c>
      <c r="N41" s="10" t="e">
        <f t="shared" si="14"/>
        <v>#NUM!</v>
      </c>
      <c r="O41" s="11" t="e">
        <f>ROUND(( SUM(Table3231589[[#This Row],[I1]:[I3]]))*1000000, 0)</f>
        <v>#NUM!</v>
      </c>
      <c r="P41" s="11"/>
      <c r="Q41" s="11"/>
      <c r="R41" s="6">
        <v>21</v>
      </c>
      <c r="S41" s="6" t="e">
        <f t="shared" si="15"/>
        <v>#NUM!</v>
      </c>
      <c r="T41" s="6" t="e">
        <f t="shared" si="16"/>
        <v>#NUM!</v>
      </c>
      <c r="U41" s="6" t="e">
        <f t="shared" si="17"/>
        <v>#NUM!</v>
      </c>
      <c r="V41" s="10" t="e">
        <f t="shared" si="18"/>
        <v>#NUM!</v>
      </c>
      <c r="W41" s="10" t="e">
        <f t="shared" si="19"/>
        <v>#NUM!</v>
      </c>
      <c r="X41" s="10" t="e">
        <f t="shared" si="20"/>
        <v>#NUM!</v>
      </c>
      <c r="Y41" s="10" t="e">
        <f t="shared" si="21"/>
        <v>#NUM!</v>
      </c>
      <c r="Z41" s="10" t="e">
        <f t="shared" si="22"/>
        <v>#NUM!</v>
      </c>
      <c r="AA41" s="10" t="e">
        <f t="shared" si="23"/>
        <v>#NUM!</v>
      </c>
      <c r="AB41" s="10" t="e">
        <f t="shared" si="24"/>
        <v>#NUM!</v>
      </c>
      <c r="AC41" s="11" t="e">
        <f>ROUND((SUM(Table12[[#This Row],[II1]:[II3]]))*1000000, 0)</f>
        <v>#NUM!</v>
      </c>
      <c r="AD41" s="18"/>
      <c r="AE41" s="11"/>
      <c r="AF41" s="13" t="str">
        <f t="shared" si="25"/>
        <v/>
      </c>
      <c r="AG41"/>
      <c r="AI41" s="11"/>
      <c r="AJ41" s="6">
        <v>21</v>
      </c>
      <c r="AK41" s="11" t="str">
        <f t="shared" si="26"/>
        <v/>
      </c>
      <c r="AN41" s="13" t="str">
        <f t="shared" si="27"/>
        <v/>
      </c>
      <c r="AO41"/>
      <c r="AP41"/>
    </row>
    <row r="42" spans="2:42" ht="15" customHeight="1" x14ac:dyDescent="0.35">
      <c r="B42" s="6">
        <v>22</v>
      </c>
      <c r="C42" s="2" t="s">
        <v>20</v>
      </c>
      <c r="D42" s="6" t="e">
        <f t="shared" si="5"/>
        <v>#NUM!</v>
      </c>
      <c r="E42" s="6" t="e">
        <f t="shared" si="6"/>
        <v>#NUM!</v>
      </c>
      <c r="F42" s="6" t="e">
        <f t="shared" si="7"/>
        <v>#NUM!</v>
      </c>
      <c r="G42" s="6" t="e">
        <f t="shared" si="28"/>
        <v>#NUM!</v>
      </c>
      <c r="H42" s="10" t="e">
        <f t="shared" si="8"/>
        <v>#NUM!</v>
      </c>
      <c r="I42" s="10" t="e">
        <f t="shared" si="9"/>
        <v>#NUM!</v>
      </c>
      <c r="J42" s="10" t="e">
        <f t="shared" si="10"/>
        <v>#NUM!</v>
      </c>
      <c r="K42" s="10" t="e">
        <f t="shared" si="11"/>
        <v>#NUM!</v>
      </c>
      <c r="L42" s="10" t="e">
        <f t="shared" si="12"/>
        <v>#NUM!</v>
      </c>
      <c r="M42" s="10" t="e">
        <f t="shared" si="13"/>
        <v>#NUM!</v>
      </c>
      <c r="N42" s="10" t="e">
        <f t="shared" si="14"/>
        <v>#NUM!</v>
      </c>
      <c r="O42" s="11" t="e">
        <f>ROUND(( SUM(Table3231589[[#This Row],[I1]:[I3]]))*1000000, 0)</f>
        <v>#NUM!</v>
      </c>
      <c r="P42" s="11"/>
      <c r="Q42" s="11"/>
      <c r="R42" s="6">
        <v>22</v>
      </c>
      <c r="S42" s="6" t="e">
        <f t="shared" si="15"/>
        <v>#NUM!</v>
      </c>
      <c r="T42" s="6" t="e">
        <f t="shared" si="16"/>
        <v>#NUM!</v>
      </c>
      <c r="U42" s="6" t="e">
        <f t="shared" si="17"/>
        <v>#NUM!</v>
      </c>
      <c r="V42" s="10" t="e">
        <f t="shared" si="18"/>
        <v>#NUM!</v>
      </c>
      <c r="W42" s="10" t="e">
        <f t="shared" si="19"/>
        <v>#NUM!</v>
      </c>
      <c r="X42" s="10" t="e">
        <f t="shared" si="20"/>
        <v>#NUM!</v>
      </c>
      <c r="Y42" s="10" t="e">
        <f t="shared" si="21"/>
        <v>#NUM!</v>
      </c>
      <c r="Z42" s="10" t="e">
        <f t="shared" si="22"/>
        <v>#NUM!</v>
      </c>
      <c r="AA42" s="10" t="e">
        <f t="shared" si="23"/>
        <v>#NUM!</v>
      </c>
      <c r="AB42" s="10" t="e">
        <f t="shared" si="24"/>
        <v>#NUM!</v>
      </c>
      <c r="AC42" s="11" t="e">
        <f>ROUND((SUM(Table12[[#This Row],[II1]:[II3]]))*1000000, 0)</f>
        <v>#NUM!</v>
      </c>
      <c r="AD42" s="18"/>
      <c r="AE42" s="11"/>
      <c r="AF42" s="13" t="str">
        <f t="shared" ref="AF42:AF78" si="29">IF(ISBLANK(AE42), "", COUNTIF($J$20:$J$83,AE42))</f>
        <v/>
      </c>
      <c r="AG42"/>
      <c r="AI42" s="11"/>
      <c r="AJ42" s="6">
        <v>22</v>
      </c>
      <c r="AK42" s="11" t="str">
        <f t="shared" si="26"/>
        <v/>
      </c>
      <c r="AN42" s="13" t="str">
        <f t="shared" si="27"/>
        <v/>
      </c>
      <c r="AO42"/>
      <c r="AP42"/>
    </row>
    <row r="43" spans="2:42" ht="15" customHeight="1" x14ac:dyDescent="0.35">
      <c r="B43" s="6">
        <v>23</v>
      </c>
      <c r="C43" s="2" t="s">
        <v>20</v>
      </c>
      <c r="D43" s="6" t="e">
        <f t="shared" si="5"/>
        <v>#NUM!</v>
      </c>
      <c r="E43" s="6" t="e">
        <f t="shared" si="6"/>
        <v>#NUM!</v>
      </c>
      <c r="F43" s="6" t="e">
        <f t="shared" si="7"/>
        <v>#NUM!</v>
      </c>
      <c r="G43" s="6" t="e">
        <f t="shared" si="28"/>
        <v>#NUM!</v>
      </c>
      <c r="H43" s="10" t="e">
        <f t="shared" si="8"/>
        <v>#NUM!</v>
      </c>
      <c r="I43" s="10" t="e">
        <f t="shared" si="9"/>
        <v>#NUM!</v>
      </c>
      <c r="J43" s="10" t="e">
        <f t="shared" si="10"/>
        <v>#NUM!</v>
      </c>
      <c r="K43" s="10" t="e">
        <f t="shared" si="11"/>
        <v>#NUM!</v>
      </c>
      <c r="L43" s="10" t="e">
        <f t="shared" si="12"/>
        <v>#NUM!</v>
      </c>
      <c r="M43" s="10" t="e">
        <f t="shared" si="13"/>
        <v>#NUM!</v>
      </c>
      <c r="N43" s="10" t="e">
        <f t="shared" si="14"/>
        <v>#NUM!</v>
      </c>
      <c r="O43" s="11" t="e">
        <f>ROUND(( SUM(Table3231589[[#This Row],[I1]:[I3]]))*1000000, 0)</f>
        <v>#NUM!</v>
      </c>
      <c r="P43" s="11"/>
      <c r="Q43" s="11"/>
      <c r="R43" s="6">
        <v>23</v>
      </c>
      <c r="S43" s="6" t="e">
        <f t="shared" si="15"/>
        <v>#NUM!</v>
      </c>
      <c r="T43" s="6" t="e">
        <f t="shared" si="16"/>
        <v>#NUM!</v>
      </c>
      <c r="U43" s="6" t="e">
        <f t="shared" si="17"/>
        <v>#NUM!</v>
      </c>
      <c r="V43" s="10" t="e">
        <f t="shared" si="18"/>
        <v>#NUM!</v>
      </c>
      <c r="W43" s="10" t="e">
        <f t="shared" si="19"/>
        <v>#NUM!</v>
      </c>
      <c r="X43" s="10" t="e">
        <f t="shared" si="20"/>
        <v>#NUM!</v>
      </c>
      <c r="Y43" s="10" t="e">
        <f t="shared" si="21"/>
        <v>#NUM!</v>
      </c>
      <c r="Z43" s="10" t="e">
        <f t="shared" si="22"/>
        <v>#NUM!</v>
      </c>
      <c r="AA43" s="10" t="e">
        <f t="shared" si="23"/>
        <v>#NUM!</v>
      </c>
      <c r="AB43" s="10" t="e">
        <f t="shared" si="24"/>
        <v>#NUM!</v>
      </c>
      <c r="AC43" s="11" t="e">
        <f>ROUND((SUM(Table12[[#This Row],[II1]:[II3]]))*1000000, 0)</f>
        <v>#NUM!</v>
      </c>
      <c r="AD43" s="18"/>
      <c r="AE43" s="11"/>
      <c r="AF43" s="13" t="str">
        <f t="shared" si="29"/>
        <v/>
      </c>
      <c r="AG43"/>
      <c r="AI43" s="11"/>
      <c r="AJ43" s="6">
        <v>23</v>
      </c>
      <c r="AK43" s="11" t="str">
        <f t="shared" si="26"/>
        <v/>
      </c>
      <c r="AN43" s="13" t="str">
        <f t="shared" si="27"/>
        <v/>
      </c>
      <c r="AO43"/>
      <c r="AP43"/>
    </row>
    <row r="44" spans="2:42" x14ac:dyDescent="0.35">
      <c r="B44" s="19">
        <v>24</v>
      </c>
      <c r="C44" s="20" t="s">
        <v>21</v>
      </c>
      <c r="D44" s="6" t="e">
        <f t="shared" si="5"/>
        <v>#NUM!</v>
      </c>
      <c r="E44" s="6" t="e">
        <f t="shared" si="6"/>
        <v>#NUM!</v>
      </c>
      <c r="F44" s="6" t="e">
        <f t="shared" si="7"/>
        <v>#NUM!</v>
      </c>
      <c r="G44" s="19" t="e">
        <f t="shared" si="28"/>
        <v>#NUM!</v>
      </c>
      <c r="H44" s="10" t="e">
        <f t="shared" si="8"/>
        <v>#NUM!</v>
      </c>
      <c r="I44" s="10" t="e">
        <f t="shared" si="9"/>
        <v>#NUM!</v>
      </c>
      <c r="J44" s="10" t="e">
        <f t="shared" si="10"/>
        <v>#NUM!</v>
      </c>
      <c r="K44" s="10" t="e">
        <f t="shared" si="11"/>
        <v>#NUM!</v>
      </c>
      <c r="L44" s="10" t="e">
        <f t="shared" si="12"/>
        <v>#NUM!</v>
      </c>
      <c r="M44" s="10" t="e">
        <f t="shared" si="13"/>
        <v>#NUM!</v>
      </c>
      <c r="N44" s="10" t="e">
        <f t="shared" si="14"/>
        <v>#NUM!</v>
      </c>
      <c r="O44" s="22" t="e">
        <f>ROUND(( SUM(Table3231589[[#This Row],[I1]:[I3]]))*1000000, 0)</f>
        <v>#NUM!</v>
      </c>
      <c r="P44" s="22"/>
      <c r="Q44" s="11"/>
      <c r="R44" s="6">
        <v>24</v>
      </c>
      <c r="S44" s="6" t="e">
        <f t="shared" si="15"/>
        <v>#NUM!</v>
      </c>
      <c r="T44" s="6" t="e">
        <f t="shared" si="16"/>
        <v>#NUM!</v>
      </c>
      <c r="U44" s="6" t="e">
        <f t="shared" si="17"/>
        <v>#NUM!</v>
      </c>
      <c r="V44" s="21" t="e">
        <f t="shared" si="18"/>
        <v>#NUM!</v>
      </c>
      <c r="W44" s="10" t="e">
        <f t="shared" si="19"/>
        <v>#NUM!</v>
      </c>
      <c r="X44" s="21" t="e">
        <f t="shared" si="20"/>
        <v>#NUM!</v>
      </c>
      <c r="Y44" s="21" t="e">
        <f t="shared" si="21"/>
        <v>#NUM!</v>
      </c>
      <c r="Z44" s="21" t="e">
        <f t="shared" si="22"/>
        <v>#NUM!</v>
      </c>
      <c r="AA44" s="21" t="e">
        <f t="shared" si="23"/>
        <v>#NUM!</v>
      </c>
      <c r="AB44" s="21" t="e">
        <f t="shared" si="24"/>
        <v>#NUM!</v>
      </c>
      <c r="AC44" s="22" t="e">
        <f>ROUND((SUM(Table12[[#This Row],[II1]:[II3]]))*1000000, 0)</f>
        <v>#NUM!</v>
      </c>
      <c r="AD44" s="23"/>
      <c r="AE44" s="11"/>
      <c r="AF44" s="13" t="str">
        <f t="shared" si="29"/>
        <v/>
      </c>
      <c r="AG44"/>
      <c r="AI44" s="11"/>
      <c r="AJ44" s="6">
        <v>24</v>
      </c>
      <c r="AK44" s="11" t="str">
        <f t="shared" si="26"/>
        <v/>
      </c>
      <c r="AN44" s="13" t="str">
        <f t="shared" si="27"/>
        <v/>
      </c>
      <c r="AO44"/>
      <c r="AP44"/>
    </row>
    <row r="45" spans="2:42" ht="15" customHeight="1" x14ac:dyDescent="0.35">
      <c r="B45" s="6">
        <v>25</v>
      </c>
      <c r="C45" s="2" t="s">
        <v>20</v>
      </c>
      <c r="D45" s="6" t="e">
        <f t="shared" si="5"/>
        <v>#NUM!</v>
      </c>
      <c r="E45" s="6" t="e">
        <f t="shared" si="6"/>
        <v>#NUM!</v>
      </c>
      <c r="F45" s="6" t="e">
        <f t="shared" si="7"/>
        <v>#NUM!</v>
      </c>
      <c r="G45" s="6" t="e">
        <f t="shared" si="28"/>
        <v>#NUM!</v>
      </c>
      <c r="H45" s="10" t="e">
        <f t="shared" si="8"/>
        <v>#NUM!</v>
      </c>
      <c r="I45" s="10" t="e">
        <f t="shared" si="9"/>
        <v>#NUM!</v>
      </c>
      <c r="J45" s="10" t="e">
        <f t="shared" si="10"/>
        <v>#NUM!</v>
      </c>
      <c r="K45" s="10" t="e">
        <f t="shared" si="11"/>
        <v>#NUM!</v>
      </c>
      <c r="L45" s="10" t="e">
        <f t="shared" si="12"/>
        <v>#NUM!</v>
      </c>
      <c r="M45" s="10" t="e">
        <f t="shared" si="13"/>
        <v>#NUM!</v>
      </c>
      <c r="N45" s="10" t="e">
        <f t="shared" si="14"/>
        <v>#NUM!</v>
      </c>
      <c r="O45" s="11" t="e">
        <f>ROUND(( SUM(Table3231589[[#This Row],[I1]:[I3]]))*1000000, 0)</f>
        <v>#NUM!</v>
      </c>
      <c r="P45" s="11"/>
      <c r="Q45" s="11"/>
      <c r="R45" s="6">
        <v>25</v>
      </c>
      <c r="S45" s="6" t="e">
        <f t="shared" si="15"/>
        <v>#NUM!</v>
      </c>
      <c r="T45" s="6" t="e">
        <f t="shared" si="16"/>
        <v>#NUM!</v>
      </c>
      <c r="U45" s="6" t="e">
        <f t="shared" si="17"/>
        <v>#NUM!</v>
      </c>
      <c r="V45" s="10" t="e">
        <f t="shared" si="18"/>
        <v>#NUM!</v>
      </c>
      <c r="W45" s="10" t="e">
        <f t="shared" si="19"/>
        <v>#NUM!</v>
      </c>
      <c r="X45" s="10" t="e">
        <f t="shared" si="20"/>
        <v>#NUM!</v>
      </c>
      <c r="Y45" s="10" t="e">
        <f t="shared" si="21"/>
        <v>#NUM!</v>
      </c>
      <c r="Z45" s="10" t="e">
        <f t="shared" si="22"/>
        <v>#NUM!</v>
      </c>
      <c r="AA45" s="10" t="e">
        <f t="shared" si="23"/>
        <v>#NUM!</v>
      </c>
      <c r="AB45" s="10" t="e">
        <f t="shared" si="24"/>
        <v>#NUM!</v>
      </c>
      <c r="AC45" s="11" t="e">
        <f>ROUND((SUM(Table12[[#This Row],[II1]:[II3]]))*1000000, 0)</f>
        <v>#NUM!</v>
      </c>
      <c r="AD45" s="18"/>
      <c r="AE45" s="11"/>
      <c r="AF45" s="13" t="str">
        <f t="shared" si="29"/>
        <v/>
      </c>
      <c r="AG45"/>
      <c r="AI45" s="11"/>
      <c r="AJ45" s="6">
        <v>25</v>
      </c>
      <c r="AK45" s="11" t="str">
        <f t="shared" si="26"/>
        <v/>
      </c>
      <c r="AN45" s="13" t="str">
        <f t="shared" si="27"/>
        <v/>
      </c>
      <c r="AO45"/>
      <c r="AP45"/>
    </row>
    <row r="46" spans="2:42" ht="15" customHeight="1" x14ac:dyDescent="0.35">
      <c r="B46" s="6">
        <v>26</v>
      </c>
      <c r="C46" s="2" t="s">
        <v>20</v>
      </c>
      <c r="D46" s="6" t="e">
        <f t="shared" si="5"/>
        <v>#NUM!</v>
      </c>
      <c r="E46" s="6" t="e">
        <f t="shared" si="6"/>
        <v>#NUM!</v>
      </c>
      <c r="F46" s="6" t="e">
        <f t="shared" si="7"/>
        <v>#NUM!</v>
      </c>
      <c r="G46" s="6" t="e">
        <f t="shared" si="28"/>
        <v>#NUM!</v>
      </c>
      <c r="H46" s="10" t="e">
        <f t="shared" si="8"/>
        <v>#NUM!</v>
      </c>
      <c r="I46" s="10" t="e">
        <f t="shared" si="9"/>
        <v>#NUM!</v>
      </c>
      <c r="J46" s="10" t="e">
        <f t="shared" si="10"/>
        <v>#NUM!</v>
      </c>
      <c r="K46" s="10" t="e">
        <f t="shared" si="11"/>
        <v>#NUM!</v>
      </c>
      <c r="L46" s="10" t="e">
        <f t="shared" si="12"/>
        <v>#NUM!</v>
      </c>
      <c r="M46" s="10" t="e">
        <f t="shared" si="13"/>
        <v>#NUM!</v>
      </c>
      <c r="N46" s="10" t="e">
        <f t="shared" si="14"/>
        <v>#NUM!</v>
      </c>
      <c r="O46" s="11" t="e">
        <f>ROUND(( SUM(Table3231589[[#This Row],[I1]:[I3]]))*1000000, 0)</f>
        <v>#NUM!</v>
      </c>
      <c r="P46" s="11"/>
      <c r="Q46" s="11"/>
      <c r="R46" s="6">
        <v>26</v>
      </c>
      <c r="S46" s="6" t="e">
        <f t="shared" si="15"/>
        <v>#NUM!</v>
      </c>
      <c r="T46" s="6" t="e">
        <f t="shared" si="16"/>
        <v>#NUM!</v>
      </c>
      <c r="U46" s="6" t="e">
        <f t="shared" si="17"/>
        <v>#NUM!</v>
      </c>
      <c r="V46" s="10" t="e">
        <f t="shared" si="18"/>
        <v>#NUM!</v>
      </c>
      <c r="W46" s="10" t="e">
        <f t="shared" si="19"/>
        <v>#NUM!</v>
      </c>
      <c r="X46" s="10" t="e">
        <f t="shared" si="20"/>
        <v>#NUM!</v>
      </c>
      <c r="Y46" s="10" t="e">
        <f t="shared" si="21"/>
        <v>#NUM!</v>
      </c>
      <c r="Z46" s="10" t="e">
        <f t="shared" si="22"/>
        <v>#NUM!</v>
      </c>
      <c r="AA46" s="10" t="e">
        <f t="shared" si="23"/>
        <v>#NUM!</v>
      </c>
      <c r="AB46" s="10" t="e">
        <f t="shared" si="24"/>
        <v>#NUM!</v>
      </c>
      <c r="AC46" s="11" t="e">
        <f>ROUND((SUM(Table12[[#This Row],[II1]:[II3]]))*1000000, 0)</f>
        <v>#NUM!</v>
      </c>
      <c r="AD46" s="18"/>
      <c r="AE46" s="11"/>
      <c r="AF46" s="13" t="str">
        <f t="shared" si="29"/>
        <v/>
      </c>
      <c r="AG46"/>
      <c r="AI46" s="11"/>
      <c r="AJ46" s="6">
        <v>26</v>
      </c>
      <c r="AK46" s="11" t="str">
        <f t="shared" si="26"/>
        <v/>
      </c>
      <c r="AN46" s="13" t="str">
        <f t="shared" si="27"/>
        <v/>
      </c>
      <c r="AO46"/>
      <c r="AP46"/>
    </row>
    <row r="47" spans="2:42" ht="15" customHeight="1" x14ac:dyDescent="0.35">
      <c r="B47" s="6">
        <v>27</v>
      </c>
      <c r="C47" s="2" t="s">
        <v>20</v>
      </c>
      <c r="D47" s="6" t="e">
        <f t="shared" si="5"/>
        <v>#NUM!</v>
      </c>
      <c r="E47" s="6" t="e">
        <f t="shared" si="6"/>
        <v>#NUM!</v>
      </c>
      <c r="F47" s="6" t="e">
        <f t="shared" si="7"/>
        <v>#NUM!</v>
      </c>
      <c r="G47" s="6" t="e">
        <f t="shared" si="28"/>
        <v>#NUM!</v>
      </c>
      <c r="H47" s="10" t="e">
        <f t="shared" si="8"/>
        <v>#NUM!</v>
      </c>
      <c r="I47" s="10" t="e">
        <f t="shared" si="9"/>
        <v>#NUM!</v>
      </c>
      <c r="J47" s="10" t="e">
        <f t="shared" si="10"/>
        <v>#NUM!</v>
      </c>
      <c r="K47" s="10" t="e">
        <f t="shared" si="11"/>
        <v>#NUM!</v>
      </c>
      <c r="L47" s="10" t="e">
        <f t="shared" si="12"/>
        <v>#NUM!</v>
      </c>
      <c r="M47" s="10" t="e">
        <f t="shared" si="13"/>
        <v>#NUM!</v>
      </c>
      <c r="N47" s="10" t="e">
        <f t="shared" si="14"/>
        <v>#NUM!</v>
      </c>
      <c r="O47" s="11" t="e">
        <f>ROUND(( SUM(Table3231589[[#This Row],[I1]:[I3]]))*1000000, 0)</f>
        <v>#NUM!</v>
      </c>
      <c r="P47" s="11"/>
      <c r="Q47" s="11"/>
      <c r="R47" s="6">
        <v>27</v>
      </c>
      <c r="S47" s="6" t="e">
        <f t="shared" si="15"/>
        <v>#NUM!</v>
      </c>
      <c r="T47" s="6" t="e">
        <f t="shared" si="16"/>
        <v>#NUM!</v>
      </c>
      <c r="U47" s="6" t="e">
        <f t="shared" si="17"/>
        <v>#NUM!</v>
      </c>
      <c r="V47" s="10" t="e">
        <f t="shared" si="18"/>
        <v>#NUM!</v>
      </c>
      <c r="W47" s="10" t="e">
        <f t="shared" si="19"/>
        <v>#NUM!</v>
      </c>
      <c r="X47" s="10" t="e">
        <f t="shared" si="20"/>
        <v>#NUM!</v>
      </c>
      <c r="Y47" s="10" t="e">
        <f t="shared" si="21"/>
        <v>#NUM!</v>
      </c>
      <c r="Z47" s="10" t="e">
        <f t="shared" si="22"/>
        <v>#NUM!</v>
      </c>
      <c r="AA47" s="10" t="e">
        <f t="shared" si="23"/>
        <v>#NUM!</v>
      </c>
      <c r="AB47" s="10" t="e">
        <f t="shared" si="24"/>
        <v>#NUM!</v>
      </c>
      <c r="AC47" s="11" t="e">
        <f>ROUND((SUM(Table12[[#This Row],[II1]:[II3]]))*1000000, 0)</f>
        <v>#NUM!</v>
      </c>
      <c r="AD47" s="18"/>
      <c r="AE47" s="11"/>
      <c r="AF47" s="13" t="str">
        <f t="shared" si="29"/>
        <v/>
      </c>
      <c r="AG47"/>
      <c r="AI47" s="11"/>
      <c r="AJ47" s="6">
        <v>27</v>
      </c>
      <c r="AK47" s="11" t="str">
        <f t="shared" si="26"/>
        <v/>
      </c>
      <c r="AN47" s="13" t="str">
        <f t="shared" si="27"/>
        <v/>
      </c>
      <c r="AO47"/>
      <c r="AP47"/>
    </row>
    <row r="48" spans="2:42" x14ac:dyDescent="0.35">
      <c r="B48" s="19">
        <v>28</v>
      </c>
      <c r="C48" s="20" t="s">
        <v>21</v>
      </c>
      <c r="D48" s="6" t="e">
        <f t="shared" si="5"/>
        <v>#NUM!</v>
      </c>
      <c r="E48" s="6" t="e">
        <f t="shared" si="6"/>
        <v>#NUM!</v>
      </c>
      <c r="F48" s="6" t="e">
        <f t="shared" si="7"/>
        <v>#NUM!</v>
      </c>
      <c r="G48" s="19" t="e">
        <f t="shared" si="28"/>
        <v>#NUM!</v>
      </c>
      <c r="H48" s="10" t="e">
        <f t="shared" si="8"/>
        <v>#NUM!</v>
      </c>
      <c r="I48" s="10" t="e">
        <f t="shared" si="9"/>
        <v>#NUM!</v>
      </c>
      <c r="J48" s="10" t="e">
        <f t="shared" si="10"/>
        <v>#NUM!</v>
      </c>
      <c r="K48" s="10" t="e">
        <f t="shared" si="11"/>
        <v>#NUM!</v>
      </c>
      <c r="L48" s="10" t="e">
        <f t="shared" si="12"/>
        <v>#NUM!</v>
      </c>
      <c r="M48" s="10" t="e">
        <f t="shared" si="13"/>
        <v>#NUM!</v>
      </c>
      <c r="N48" s="10" t="e">
        <f t="shared" si="14"/>
        <v>#NUM!</v>
      </c>
      <c r="O48" s="22" t="e">
        <f>ROUND(( SUM(Table3231589[[#This Row],[I1]:[I3]]))*1000000, 0)</f>
        <v>#NUM!</v>
      </c>
      <c r="P48" s="22"/>
      <c r="Q48" s="11"/>
      <c r="R48" s="6">
        <v>28</v>
      </c>
      <c r="S48" s="6" t="e">
        <f t="shared" si="15"/>
        <v>#NUM!</v>
      </c>
      <c r="T48" s="6" t="e">
        <f t="shared" si="16"/>
        <v>#NUM!</v>
      </c>
      <c r="U48" s="6" t="e">
        <f t="shared" si="17"/>
        <v>#NUM!</v>
      </c>
      <c r="V48" s="21" t="e">
        <f t="shared" si="18"/>
        <v>#NUM!</v>
      </c>
      <c r="W48" s="10" t="e">
        <f t="shared" si="19"/>
        <v>#NUM!</v>
      </c>
      <c r="X48" s="21" t="e">
        <f t="shared" si="20"/>
        <v>#NUM!</v>
      </c>
      <c r="Y48" s="21" t="e">
        <f t="shared" si="21"/>
        <v>#NUM!</v>
      </c>
      <c r="Z48" s="21" t="e">
        <f t="shared" si="22"/>
        <v>#NUM!</v>
      </c>
      <c r="AA48" s="21" t="e">
        <f t="shared" si="23"/>
        <v>#NUM!</v>
      </c>
      <c r="AB48" s="21" t="e">
        <f t="shared" si="24"/>
        <v>#NUM!</v>
      </c>
      <c r="AC48" s="22" t="e">
        <f>ROUND((SUM(Table12[[#This Row],[II1]:[II3]]))*1000000, 0)</f>
        <v>#NUM!</v>
      </c>
      <c r="AD48" s="23"/>
      <c r="AE48" s="11"/>
      <c r="AF48" s="13" t="str">
        <f t="shared" si="29"/>
        <v/>
      </c>
      <c r="AG48"/>
      <c r="AI48" s="11"/>
      <c r="AJ48" s="6">
        <v>28</v>
      </c>
      <c r="AK48" s="11" t="str">
        <f t="shared" si="26"/>
        <v/>
      </c>
      <c r="AN48" s="13" t="str">
        <f t="shared" si="27"/>
        <v/>
      </c>
      <c r="AO48"/>
      <c r="AP48"/>
    </row>
    <row r="49" spans="2:42" ht="15" customHeight="1" x14ac:dyDescent="0.35">
      <c r="B49" s="6">
        <v>29</v>
      </c>
      <c r="C49" s="2" t="s">
        <v>20</v>
      </c>
      <c r="D49" s="6" t="e">
        <f t="shared" si="5"/>
        <v>#NUM!</v>
      </c>
      <c r="E49" s="6" t="e">
        <f t="shared" si="6"/>
        <v>#NUM!</v>
      </c>
      <c r="F49" s="6" t="e">
        <f t="shared" si="7"/>
        <v>#NUM!</v>
      </c>
      <c r="G49" s="6" t="e">
        <f t="shared" si="28"/>
        <v>#NUM!</v>
      </c>
      <c r="H49" s="10" t="e">
        <f t="shared" si="8"/>
        <v>#NUM!</v>
      </c>
      <c r="I49" s="10" t="e">
        <f t="shared" si="9"/>
        <v>#NUM!</v>
      </c>
      <c r="J49" s="10" t="e">
        <f t="shared" si="10"/>
        <v>#NUM!</v>
      </c>
      <c r="K49" s="10" t="e">
        <f t="shared" si="11"/>
        <v>#NUM!</v>
      </c>
      <c r="L49" s="10" t="e">
        <f t="shared" si="12"/>
        <v>#NUM!</v>
      </c>
      <c r="M49" s="10" t="e">
        <f t="shared" si="13"/>
        <v>#NUM!</v>
      </c>
      <c r="N49" s="10" t="e">
        <f t="shared" si="14"/>
        <v>#NUM!</v>
      </c>
      <c r="O49" s="11" t="e">
        <f>ROUND(( SUM(Table3231589[[#This Row],[I1]:[I3]]))*1000000, 0)</f>
        <v>#NUM!</v>
      </c>
      <c r="P49" s="11"/>
      <c r="Q49" s="11"/>
      <c r="R49" s="6">
        <v>29</v>
      </c>
      <c r="S49" s="6" t="e">
        <f t="shared" si="15"/>
        <v>#NUM!</v>
      </c>
      <c r="T49" s="6" t="e">
        <f t="shared" si="16"/>
        <v>#NUM!</v>
      </c>
      <c r="U49" s="6" t="e">
        <f t="shared" si="17"/>
        <v>#NUM!</v>
      </c>
      <c r="V49" s="10" t="e">
        <f t="shared" si="18"/>
        <v>#NUM!</v>
      </c>
      <c r="W49" s="10" t="e">
        <f t="shared" si="19"/>
        <v>#NUM!</v>
      </c>
      <c r="X49" s="10" t="e">
        <f t="shared" si="20"/>
        <v>#NUM!</v>
      </c>
      <c r="Y49" s="10" t="e">
        <f t="shared" si="21"/>
        <v>#NUM!</v>
      </c>
      <c r="Z49" s="10" t="e">
        <f t="shared" si="22"/>
        <v>#NUM!</v>
      </c>
      <c r="AA49" s="10" t="e">
        <f t="shared" si="23"/>
        <v>#NUM!</v>
      </c>
      <c r="AB49" s="10" t="e">
        <f t="shared" si="24"/>
        <v>#NUM!</v>
      </c>
      <c r="AC49" s="11" t="e">
        <f>ROUND((SUM(Table12[[#This Row],[II1]:[II3]]))*1000000, 0)</f>
        <v>#NUM!</v>
      </c>
      <c r="AD49" s="18"/>
      <c r="AE49" s="11"/>
      <c r="AF49" s="13" t="str">
        <f t="shared" si="29"/>
        <v/>
      </c>
      <c r="AG49"/>
      <c r="AI49" s="11"/>
      <c r="AJ49" s="6">
        <v>29</v>
      </c>
      <c r="AK49" s="11" t="str">
        <f t="shared" si="26"/>
        <v/>
      </c>
      <c r="AN49" s="13" t="str">
        <f t="shared" si="27"/>
        <v/>
      </c>
      <c r="AO49"/>
      <c r="AP49"/>
    </row>
    <row r="50" spans="2:42" ht="15" customHeight="1" x14ac:dyDescent="0.35">
      <c r="B50" s="6">
        <v>30</v>
      </c>
      <c r="C50" s="2" t="s">
        <v>20</v>
      </c>
      <c r="D50" s="6" t="e">
        <f t="shared" si="5"/>
        <v>#NUM!</v>
      </c>
      <c r="E50" s="6" t="e">
        <f t="shared" si="6"/>
        <v>#NUM!</v>
      </c>
      <c r="F50" s="6" t="e">
        <f t="shared" si="7"/>
        <v>#NUM!</v>
      </c>
      <c r="G50" s="6" t="e">
        <f t="shared" si="28"/>
        <v>#NUM!</v>
      </c>
      <c r="H50" s="10" t="e">
        <f t="shared" si="8"/>
        <v>#NUM!</v>
      </c>
      <c r="I50" s="10" t="e">
        <f t="shared" si="9"/>
        <v>#NUM!</v>
      </c>
      <c r="J50" s="10" t="e">
        <f t="shared" si="10"/>
        <v>#NUM!</v>
      </c>
      <c r="K50" s="10" t="e">
        <f t="shared" si="11"/>
        <v>#NUM!</v>
      </c>
      <c r="L50" s="10" t="e">
        <f t="shared" si="12"/>
        <v>#NUM!</v>
      </c>
      <c r="M50" s="10" t="e">
        <f t="shared" si="13"/>
        <v>#NUM!</v>
      </c>
      <c r="N50" s="10" t="e">
        <f t="shared" si="14"/>
        <v>#NUM!</v>
      </c>
      <c r="O50" s="11" t="e">
        <f>ROUND(( SUM(Table3231589[[#This Row],[I1]:[I3]]))*1000000, 0)</f>
        <v>#NUM!</v>
      </c>
      <c r="P50" s="11"/>
      <c r="Q50" s="11"/>
      <c r="R50" s="6">
        <v>30</v>
      </c>
      <c r="S50" s="6" t="e">
        <f t="shared" si="15"/>
        <v>#NUM!</v>
      </c>
      <c r="T50" s="6" t="e">
        <f t="shared" si="16"/>
        <v>#NUM!</v>
      </c>
      <c r="U50" s="6" t="e">
        <f t="shared" si="17"/>
        <v>#NUM!</v>
      </c>
      <c r="V50" s="10" t="e">
        <f t="shared" si="18"/>
        <v>#NUM!</v>
      </c>
      <c r="W50" s="10" t="e">
        <f t="shared" si="19"/>
        <v>#NUM!</v>
      </c>
      <c r="X50" s="10" t="e">
        <f t="shared" si="20"/>
        <v>#NUM!</v>
      </c>
      <c r="Y50" s="10" t="e">
        <f t="shared" si="21"/>
        <v>#NUM!</v>
      </c>
      <c r="Z50" s="10" t="e">
        <f t="shared" si="22"/>
        <v>#NUM!</v>
      </c>
      <c r="AA50" s="10" t="e">
        <f t="shared" si="23"/>
        <v>#NUM!</v>
      </c>
      <c r="AB50" s="10" t="e">
        <f t="shared" si="24"/>
        <v>#NUM!</v>
      </c>
      <c r="AC50" s="11" t="e">
        <f>ROUND((SUM(Table12[[#This Row],[II1]:[II3]]))*1000000, 0)</f>
        <v>#NUM!</v>
      </c>
      <c r="AD50" s="18"/>
      <c r="AE50" s="11"/>
      <c r="AF50" s="13" t="str">
        <f t="shared" si="29"/>
        <v/>
      </c>
      <c r="AG50"/>
      <c r="AI50" s="11"/>
      <c r="AJ50" s="6">
        <v>30</v>
      </c>
      <c r="AK50" s="11" t="str">
        <f t="shared" si="26"/>
        <v/>
      </c>
      <c r="AN50" s="13" t="str">
        <f t="shared" si="27"/>
        <v/>
      </c>
      <c r="AO50"/>
      <c r="AP50"/>
    </row>
    <row r="51" spans="2:42" x14ac:dyDescent="0.35">
      <c r="B51" s="6">
        <v>31</v>
      </c>
      <c r="C51" s="2" t="s">
        <v>20</v>
      </c>
      <c r="D51" s="6" t="e">
        <f t="shared" si="5"/>
        <v>#NUM!</v>
      </c>
      <c r="E51" s="6" t="e">
        <f t="shared" si="6"/>
        <v>#NUM!</v>
      </c>
      <c r="F51" s="6" t="e">
        <f t="shared" si="7"/>
        <v>#NUM!</v>
      </c>
      <c r="G51" s="6" t="e">
        <f t="shared" si="28"/>
        <v>#NUM!</v>
      </c>
      <c r="H51" s="10" t="e">
        <f t="shared" si="8"/>
        <v>#NUM!</v>
      </c>
      <c r="I51" s="10" t="e">
        <f t="shared" si="9"/>
        <v>#NUM!</v>
      </c>
      <c r="J51" s="10" t="e">
        <f t="shared" si="10"/>
        <v>#NUM!</v>
      </c>
      <c r="K51" s="10" t="e">
        <f t="shared" si="11"/>
        <v>#NUM!</v>
      </c>
      <c r="L51" s="10" t="e">
        <f t="shared" si="12"/>
        <v>#NUM!</v>
      </c>
      <c r="M51" s="10" t="e">
        <f t="shared" si="13"/>
        <v>#NUM!</v>
      </c>
      <c r="N51" s="10" t="e">
        <f t="shared" si="14"/>
        <v>#NUM!</v>
      </c>
      <c r="O51" s="11" t="e">
        <f>ROUND(( SUM(Table3231589[[#This Row],[I1]:[I3]]))*1000000, 0)</f>
        <v>#NUM!</v>
      </c>
      <c r="P51" s="11"/>
      <c r="Q51" s="11"/>
      <c r="R51" s="6">
        <v>31</v>
      </c>
      <c r="S51" s="6" t="e">
        <f t="shared" si="15"/>
        <v>#NUM!</v>
      </c>
      <c r="T51" s="6" t="e">
        <f t="shared" si="16"/>
        <v>#NUM!</v>
      </c>
      <c r="U51" s="6" t="e">
        <f t="shared" si="17"/>
        <v>#NUM!</v>
      </c>
      <c r="V51" s="10" t="e">
        <f t="shared" si="18"/>
        <v>#NUM!</v>
      </c>
      <c r="W51" s="10" t="e">
        <f t="shared" si="19"/>
        <v>#NUM!</v>
      </c>
      <c r="X51" s="10" t="e">
        <f t="shared" si="20"/>
        <v>#NUM!</v>
      </c>
      <c r="Y51" s="10" t="e">
        <f t="shared" si="21"/>
        <v>#NUM!</v>
      </c>
      <c r="Z51" s="10" t="e">
        <f t="shared" si="22"/>
        <v>#NUM!</v>
      </c>
      <c r="AA51" s="10" t="e">
        <f t="shared" si="23"/>
        <v>#NUM!</v>
      </c>
      <c r="AB51" s="10" t="e">
        <f t="shared" si="24"/>
        <v>#NUM!</v>
      </c>
      <c r="AC51" s="11" t="e">
        <f>ROUND((SUM(Table12[[#This Row],[II1]:[II3]]))*1000000, 0)</f>
        <v>#NUM!</v>
      </c>
      <c r="AD51" s="18"/>
      <c r="AE51" s="11"/>
      <c r="AF51" s="13" t="str">
        <f t="shared" si="29"/>
        <v/>
      </c>
      <c r="AG51"/>
      <c r="AI51" s="11"/>
      <c r="AJ51" s="6">
        <v>31</v>
      </c>
      <c r="AK51" s="11" t="str">
        <f t="shared" si="26"/>
        <v/>
      </c>
      <c r="AN51" s="13" t="str">
        <f t="shared" si="27"/>
        <v/>
      </c>
      <c r="AO51"/>
      <c r="AP51"/>
    </row>
    <row r="52" spans="2:42" x14ac:dyDescent="0.35">
      <c r="B52" s="6">
        <v>32</v>
      </c>
      <c r="C52" s="2" t="s">
        <v>38</v>
      </c>
      <c r="D52" s="6" t="e">
        <f t="shared" si="5"/>
        <v>#NUM!</v>
      </c>
      <c r="E52" s="6" t="e">
        <f t="shared" si="6"/>
        <v>#NUM!</v>
      </c>
      <c r="F52" s="6" t="e">
        <f t="shared" si="7"/>
        <v>#NUM!</v>
      </c>
      <c r="G52" s="6" t="e">
        <f t="shared" si="28"/>
        <v>#NUM!</v>
      </c>
      <c r="H52" s="10" t="e">
        <f t="shared" si="8"/>
        <v>#NUM!</v>
      </c>
      <c r="I52" s="10" t="e">
        <f t="shared" si="9"/>
        <v>#NUM!</v>
      </c>
      <c r="J52" s="10" t="e">
        <f t="shared" si="10"/>
        <v>#NUM!</v>
      </c>
      <c r="K52" s="10" t="e">
        <f t="shared" si="11"/>
        <v>#NUM!</v>
      </c>
      <c r="L52" s="10" t="e">
        <f t="shared" si="12"/>
        <v>#NUM!</v>
      </c>
      <c r="M52" s="10" t="e">
        <f t="shared" si="13"/>
        <v>#NUM!</v>
      </c>
      <c r="N52" s="10" t="e">
        <f t="shared" si="14"/>
        <v>#NUM!</v>
      </c>
      <c r="O52" s="11" t="e">
        <f>ROUND(( SUM(Table3231589[[#This Row],[I1]:[I3]]))*1000000, 0)</f>
        <v>#NUM!</v>
      </c>
      <c r="P52" s="11"/>
      <c r="Q52" s="11"/>
      <c r="R52" s="6">
        <v>32</v>
      </c>
      <c r="S52" s="6" t="e">
        <f t="shared" ref="S52:S83" si="30">LEFT(RIGHT(DEC2BIN($R52,3),3),1)</f>
        <v>#NUM!</v>
      </c>
      <c r="T52" s="6" t="e">
        <f t="shared" ref="T52:T83" si="31">LEFT(RIGHT(DEC2BIN($R52,3),2),1)</f>
        <v>#NUM!</v>
      </c>
      <c r="U52" s="6" t="e">
        <f t="shared" ref="U52:U83" si="32">LEFT(RIGHT(DEC2BIN($R52,3),1),1)</f>
        <v>#NUM!</v>
      </c>
      <c r="V52" s="10" t="e">
        <f t="shared" ref="V52:V83" si="33">(($S52*$D$14)+($T52*$D$15)+($U52*$D$16))</f>
        <v>#NUM!</v>
      </c>
      <c r="W52" s="10" t="e">
        <f t="shared" ref="W52:W83" si="34">(($S52*$E$14)+($T52*$E$15)+($U52*$E$16))</f>
        <v>#NUM!</v>
      </c>
      <c r="X52" s="10" t="e">
        <f t="shared" ref="X52:X83" si="35">(($S52*$F$14)+($T52*$F$15)+($U52*$F$16))</f>
        <v>#NUM!</v>
      </c>
      <c r="Y52" s="10" t="e">
        <f t="shared" ref="Y52:Y83" si="36">(($S52*$G$14)+($T52*$G$15)+($U52*$G$16))</f>
        <v>#NUM!</v>
      </c>
      <c r="Z52" s="10" t="e">
        <f t="shared" ref="Z52:Z83" si="37">(($S52*$H$14)+($T52*$H$15)+($U52*$H$16))</f>
        <v>#NUM!</v>
      </c>
      <c r="AA52" s="10" t="e">
        <f t="shared" ref="AA52:AA83" si="38">(($S52*$I$14)+($T52*$I$15)+($U52*$I$16))</f>
        <v>#NUM!</v>
      </c>
      <c r="AB52" s="10" t="e">
        <f t="shared" ref="AB52:AB83" si="39">(($S52*$J$14)+($T52*$J$15)+($U52*$J$16))</f>
        <v>#NUM!</v>
      </c>
      <c r="AC52" s="11" t="e">
        <f>ROUND((SUM(Table12[[#This Row],[II1]:[II3]]))*1000000, 0)</f>
        <v>#NUM!</v>
      </c>
      <c r="AD52" s="18"/>
      <c r="AE52" s="11"/>
      <c r="AF52" s="13" t="str">
        <f t="shared" si="29"/>
        <v/>
      </c>
      <c r="AG52"/>
      <c r="AI52" s="11"/>
      <c r="AJ52" s="6">
        <v>32</v>
      </c>
      <c r="AK52" s="11" t="str">
        <f t="shared" ref="AK52:AK82" si="40">IF(ISBLANK(AH53),"",AH53-AH52)</f>
        <v/>
      </c>
      <c r="AN52" s="13" t="str">
        <f t="shared" ref="AN52:AN83" si="41">IF(OR(ISBLANK(AM52), AM52 = ""),"",COUNTIF($AK$20:$AK$83,AM52))</f>
        <v/>
      </c>
      <c r="AO52"/>
      <c r="AP52"/>
    </row>
    <row r="53" spans="2:42" x14ac:dyDescent="0.35">
      <c r="B53" s="6">
        <v>33</v>
      </c>
      <c r="C53" s="2" t="s">
        <v>22</v>
      </c>
      <c r="D53" s="6" t="e">
        <f t="shared" si="5"/>
        <v>#NUM!</v>
      </c>
      <c r="E53" s="6" t="e">
        <f t="shared" si="6"/>
        <v>#NUM!</v>
      </c>
      <c r="F53" s="6" t="e">
        <f t="shared" si="7"/>
        <v>#NUM!</v>
      </c>
      <c r="G53" s="6" t="e">
        <f t="shared" si="28"/>
        <v>#NUM!</v>
      </c>
      <c r="H53" s="10" t="e">
        <f t="shared" si="8"/>
        <v>#NUM!</v>
      </c>
      <c r="I53" s="10" t="e">
        <f t="shared" si="9"/>
        <v>#NUM!</v>
      </c>
      <c r="J53" s="10" t="e">
        <f t="shared" si="10"/>
        <v>#NUM!</v>
      </c>
      <c r="K53" s="10" t="e">
        <f t="shared" si="11"/>
        <v>#NUM!</v>
      </c>
      <c r="L53" s="10" t="e">
        <f t="shared" si="12"/>
        <v>#NUM!</v>
      </c>
      <c r="M53" s="10" t="e">
        <f t="shared" si="13"/>
        <v>#NUM!</v>
      </c>
      <c r="N53" s="10" t="e">
        <f t="shared" si="14"/>
        <v>#NUM!</v>
      </c>
      <c r="O53" s="11" t="e">
        <f>ROUND(( SUM(Table3231589[[#This Row],[I1]:[I3]]))*1000000, 0)</f>
        <v>#NUM!</v>
      </c>
      <c r="P53" s="11"/>
      <c r="Q53" s="11"/>
      <c r="R53" s="6">
        <v>33</v>
      </c>
      <c r="S53" s="6" t="e">
        <f t="shared" si="30"/>
        <v>#NUM!</v>
      </c>
      <c r="T53" s="6" t="e">
        <f t="shared" si="31"/>
        <v>#NUM!</v>
      </c>
      <c r="U53" s="6" t="e">
        <f t="shared" si="32"/>
        <v>#NUM!</v>
      </c>
      <c r="V53" s="10" t="e">
        <f t="shared" si="33"/>
        <v>#NUM!</v>
      </c>
      <c r="W53" s="10" t="e">
        <f t="shared" si="34"/>
        <v>#NUM!</v>
      </c>
      <c r="X53" s="10" t="e">
        <f t="shared" si="35"/>
        <v>#NUM!</v>
      </c>
      <c r="Y53" s="10" t="e">
        <f t="shared" si="36"/>
        <v>#NUM!</v>
      </c>
      <c r="Z53" s="10" t="e">
        <f t="shared" si="37"/>
        <v>#NUM!</v>
      </c>
      <c r="AA53" s="10" t="e">
        <f t="shared" si="38"/>
        <v>#NUM!</v>
      </c>
      <c r="AB53" s="10" t="e">
        <f t="shared" si="39"/>
        <v>#NUM!</v>
      </c>
      <c r="AC53" s="11" t="e">
        <f>ROUND((SUM(Table12[[#This Row],[II1]:[II3]]))*1000000, 0)</f>
        <v>#NUM!</v>
      </c>
      <c r="AD53" s="18"/>
      <c r="AE53" s="11"/>
      <c r="AF53" s="13" t="str">
        <f t="shared" si="29"/>
        <v/>
      </c>
      <c r="AG53"/>
      <c r="AI53" s="11"/>
      <c r="AJ53" s="6">
        <v>33</v>
      </c>
      <c r="AK53" s="11" t="str">
        <f t="shared" si="40"/>
        <v/>
      </c>
      <c r="AN53" s="13" t="str">
        <f t="shared" si="41"/>
        <v/>
      </c>
      <c r="AO53"/>
      <c r="AP53"/>
    </row>
    <row r="54" spans="2:42" x14ac:dyDescent="0.35">
      <c r="B54" s="6">
        <v>34</v>
      </c>
      <c r="C54" s="2" t="s">
        <v>22</v>
      </c>
      <c r="D54" s="6" t="e">
        <f t="shared" si="5"/>
        <v>#NUM!</v>
      </c>
      <c r="E54" s="6" t="e">
        <f t="shared" si="6"/>
        <v>#NUM!</v>
      </c>
      <c r="F54" s="6" t="e">
        <f t="shared" si="7"/>
        <v>#NUM!</v>
      </c>
      <c r="G54" s="6" t="e">
        <f t="shared" si="28"/>
        <v>#NUM!</v>
      </c>
      <c r="H54" s="10" t="e">
        <f t="shared" si="8"/>
        <v>#NUM!</v>
      </c>
      <c r="I54" s="10" t="e">
        <f t="shared" si="9"/>
        <v>#NUM!</v>
      </c>
      <c r="J54" s="10" t="e">
        <f t="shared" si="10"/>
        <v>#NUM!</v>
      </c>
      <c r="K54" s="10" t="e">
        <f t="shared" si="11"/>
        <v>#NUM!</v>
      </c>
      <c r="L54" s="10" t="e">
        <f t="shared" si="12"/>
        <v>#NUM!</v>
      </c>
      <c r="M54" s="10" t="e">
        <f t="shared" si="13"/>
        <v>#NUM!</v>
      </c>
      <c r="N54" s="10" t="e">
        <f t="shared" si="14"/>
        <v>#NUM!</v>
      </c>
      <c r="O54" s="11" t="e">
        <f>ROUND(( SUM(Table3231589[[#This Row],[I1]:[I3]]))*1000000, 0)</f>
        <v>#NUM!</v>
      </c>
      <c r="P54" s="11"/>
      <c r="Q54" s="11"/>
      <c r="R54" s="6">
        <v>34</v>
      </c>
      <c r="S54" s="6" t="e">
        <f t="shared" si="30"/>
        <v>#NUM!</v>
      </c>
      <c r="T54" s="6" t="e">
        <f t="shared" si="31"/>
        <v>#NUM!</v>
      </c>
      <c r="U54" s="6" t="e">
        <f t="shared" si="32"/>
        <v>#NUM!</v>
      </c>
      <c r="V54" s="10" t="e">
        <f t="shared" si="33"/>
        <v>#NUM!</v>
      </c>
      <c r="W54" s="10" t="e">
        <f t="shared" si="34"/>
        <v>#NUM!</v>
      </c>
      <c r="X54" s="10" t="e">
        <f t="shared" si="35"/>
        <v>#NUM!</v>
      </c>
      <c r="Y54" s="10" t="e">
        <f t="shared" si="36"/>
        <v>#NUM!</v>
      </c>
      <c r="Z54" s="10" t="e">
        <f t="shared" si="37"/>
        <v>#NUM!</v>
      </c>
      <c r="AA54" s="10" t="e">
        <f t="shared" si="38"/>
        <v>#NUM!</v>
      </c>
      <c r="AB54" s="10" t="e">
        <f t="shared" si="39"/>
        <v>#NUM!</v>
      </c>
      <c r="AC54" s="11" t="e">
        <f>ROUND((SUM(Table12[[#This Row],[II1]:[II3]]))*1000000, 0)</f>
        <v>#NUM!</v>
      </c>
      <c r="AD54" s="18"/>
      <c r="AE54" s="11"/>
      <c r="AF54" s="13" t="str">
        <f t="shared" si="29"/>
        <v/>
      </c>
      <c r="AG54"/>
      <c r="AI54" s="11"/>
      <c r="AJ54" s="6">
        <v>34</v>
      </c>
      <c r="AK54" s="11" t="str">
        <f t="shared" si="40"/>
        <v/>
      </c>
      <c r="AN54" s="13" t="str">
        <f t="shared" si="41"/>
        <v/>
      </c>
      <c r="AO54"/>
      <c r="AP54"/>
    </row>
    <row r="55" spans="2:42" x14ac:dyDescent="0.35">
      <c r="B55" s="6">
        <v>35</v>
      </c>
      <c r="C55" s="2" t="s">
        <v>22</v>
      </c>
      <c r="D55" s="6" t="e">
        <f t="shared" si="5"/>
        <v>#NUM!</v>
      </c>
      <c r="E55" s="6" t="e">
        <f t="shared" si="6"/>
        <v>#NUM!</v>
      </c>
      <c r="F55" s="6" t="e">
        <f t="shared" si="7"/>
        <v>#NUM!</v>
      </c>
      <c r="G55" s="6" t="e">
        <f t="shared" si="28"/>
        <v>#NUM!</v>
      </c>
      <c r="H55" s="10" t="e">
        <f t="shared" si="8"/>
        <v>#NUM!</v>
      </c>
      <c r="I55" s="10" t="e">
        <f t="shared" si="9"/>
        <v>#NUM!</v>
      </c>
      <c r="J55" s="10" t="e">
        <f t="shared" si="10"/>
        <v>#NUM!</v>
      </c>
      <c r="K55" s="10" t="e">
        <f t="shared" si="11"/>
        <v>#NUM!</v>
      </c>
      <c r="L55" s="10" t="e">
        <f t="shared" si="12"/>
        <v>#NUM!</v>
      </c>
      <c r="M55" s="10" t="e">
        <f t="shared" si="13"/>
        <v>#NUM!</v>
      </c>
      <c r="N55" s="10" t="e">
        <f t="shared" si="14"/>
        <v>#NUM!</v>
      </c>
      <c r="O55" s="11" t="e">
        <f>ROUND(( SUM(Table3231589[[#This Row],[I1]:[I3]]))*1000000, 0)</f>
        <v>#NUM!</v>
      </c>
      <c r="P55" s="11"/>
      <c r="Q55" s="11"/>
      <c r="R55" s="6">
        <v>35</v>
      </c>
      <c r="S55" s="6" t="e">
        <f t="shared" si="30"/>
        <v>#NUM!</v>
      </c>
      <c r="T55" s="6" t="e">
        <f t="shared" si="31"/>
        <v>#NUM!</v>
      </c>
      <c r="U55" s="6" t="e">
        <f t="shared" si="32"/>
        <v>#NUM!</v>
      </c>
      <c r="V55" s="10" t="e">
        <f t="shared" si="33"/>
        <v>#NUM!</v>
      </c>
      <c r="W55" s="10" t="e">
        <f t="shared" si="34"/>
        <v>#NUM!</v>
      </c>
      <c r="X55" s="10" t="e">
        <f t="shared" si="35"/>
        <v>#NUM!</v>
      </c>
      <c r="Y55" s="10" t="e">
        <f t="shared" si="36"/>
        <v>#NUM!</v>
      </c>
      <c r="Z55" s="10" t="e">
        <f t="shared" si="37"/>
        <v>#NUM!</v>
      </c>
      <c r="AA55" s="10" t="e">
        <f t="shared" si="38"/>
        <v>#NUM!</v>
      </c>
      <c r="AB55" s="10" t="e">
        <f t="shared" si="39"/>
        <v>#NUM!</v>
      </c>
      <c r="AC55" s="11" t="e">
        <f>ROUND((SUM(Table12[[#This Row],[II1]:[II3]]))*1000000, 0)</f>
        <v>#NUM!</v>
      </c>
      <c r="AD55" s="18"/>
      <c r="AE55" s="11"/>
      <c r="AF55" s="13" t="str">
        <f t="shared" si="29"/>
        <v/>
      </c>
      <c r="AG55"/>
      <c r="AI55" s="11"/>
      <c r="AJ55" s="6">
        <v>35</v>
      </c>
      <c r="AK55" s="11" t="str">
        <f t="shared" si="40"/>
        <v/>
      </c>
      <c r="AN55" s="13" t="str">
        <f t="shared" si="41"/>
        <v/>
      </c>
      <c r="AO55"/>
      <c r="AP55"/>
    </row>
    <row r="56" spans="2:42" x14ac:dyDescent="0.35">
      <c r="B56" s="6">
        <v>36</v>
      </c>
      <c r="C56" s="2" t="s">
        <v>22</v>
      </c>
      <c r="D56" s="6" t="e">
        <f t="shared" si="5"/>
        <v>#NUM!</v>
      </c>
      <c r="E56" s="6" t="e">
        <f t="shared" si="6"/>
        <v>#NUM!</v>
      </c>
      <c r="F56" s="6" t="e">
        <f t="shared" si="7"/>
        <v>#NUM!</v>
      </c>
      <c r="G56" s="6" t="e">
        <f t="shared" si="28"/>
        <v>#NUM!</v>
      </c>
      <c r="H56" s="10" t="e">
        <f t="shared" si="8"/>
        <v>#NUM!</v>
      </c>
      <c r="I56" s="10" t="e">
        <f t="shared" si="9"/>
        <v>#NUM!</v>
      </c>
      <c r="J56" s="10" t="e">
        <f t="shared" si="10"/>
        <v>#NUM!</v>
      </c>
      <c r="K56" s="10" t="e">
        <f t="shared" si="11"/>
        <v>#NUM!</v>
      </c>
      <c r="L56" s="10" t="e">
        <f t="shared" si="12"/>
        <v>#NUM!</v>
      </c>
      <c r="M56" s="10" t="e">
        <f t="shared" si="13"/>
        <v>#NUM!</v>
      </c>
      <c r="N56" s="10" t="e">
        <f t="shared" si="14"/>
        <v>#NUM!</v>
      </c>
      <c r="O56" s="11" t="e">
        <f>ROUND(( SUM(Table3231589[[#This Row],[I1]:[I3]]))*1000000, 0)</f>
        <v>#NUM!</v>
      </c>
      <c r="P56" s="11"/>
      <c r="Q56" s="11"/>
      <c r="R56" s="6">
        <v>36</v>
      </c>
      <c r="S56" s="6" t="e">
        <f t="shared" si="30"/>
        <v>#NUM!</v>
      </c>
      <c r="T56" s="6" t="e">
        <f t="shared" si="31"/>
        <v>#NUM!</v>
      </c>
      <c r="U56" s="6" t="e">
        <f t="shared" si="32"/>
        <v>#NUM!</v>
      </c>
      <c r="V56" s="10" t="e">
        <f t="shared" si="33"/>
        <v>#NUM!</v>
      </c>
      <c r="W56" s="10" t="e">
        <f t="shared" si="34"/>
        <v>#NUM!</v>
      </c>
      <c r="X56" s="10" t="e">
        <f t="shared" si="35"/>
        <v>#NUM!</v>
      </c>
      <c r="Y56" s="10" t="e">
        <f t="shared" si="36"/>
        <v>#NUM!</v>
      </c>
      <c r="Z56" s="10" t="e">
        <f t="shared" si="37"/>
        <v>#NUM!</v>
      </c>
      <c r="AA56" s="10" t="e">
        <f t="shared" si="38"/>
        <v>#NUM!</v>
      </c>
      <c r="AB56" s="10" t="e">
        <f t="shared" si="39"/>
        <v>#NUM!</v>
      </c>
      <c r="AC56" s="11" t="e">
        <f>ROUND((SUM(Table12[[#This Row],[II1]:[II3]]))*1000000, 0)</f>
        <v>#NUM!</v>
      </c>
      <c r="AD56" s="18"/>
      <c r="AE56" s="11"/>
      <c r="AF56" s="13" t="str">
        <f t="shared" si="29"/>
        <v/>
      </c>
      <c r="AG56"/>
      <c r="AI56" s="11"/>
      <c r="AJ56" s="6">
        <v>36</v>
      </c>
      <c r="AK56" s="11" t="str">
        <f t="shared" si="40"/>
        <v/>
      </c>
      <c r="AN56" s="13" t="str">
        <f t="shared" si="41"/>
        <v/>
      </c>
      <c r="AO56"/>
      <c r="AP56"/>
    </row>
    <row r="57" spans="2:42" x14ac:dyDescent="0.35">
      <c r="B57" s="6">
        <v>37</v>
      </c>
      <c r="C57" s="2" t="s">
        <v>22</v>
      </c>
      <c r="D57" s="6" t="e">
        <f t="shared" si="5"/>
        <v>#NUM!</v>
      </c>
      <c r="E57" s="6" t="e">
        <f t="shared" si="6"/>
        <v>#NUM!</v>
      </c>
      <c r="F57" s="6" t="e">
        <f t="shared" si="7"/>
        <v>#NUM!</v>
      </c>
      <c r="G57" s="6" t="e">
        <f t="shared" si="28"/>
        <v>#NUM!</v>
      </c>
      <c r="H57" s="10" t="e">
        <f t="shared" si="8"/>
        <v>#NUM!</v>
      </c>
      <c r="I57" s="10" t="e">
        <f t="shared" si="9"/>
        <v>#NUM!</v>
      </c>
      <c r="J57" s="10" t="e">
        <f t="shared" si="10"/>
        <v>#NUM!</v>
      </c>
      <c r="K57" s="10" t="e">
        <f t="shared" si="11"/>
        <v>#NUM!</v>
      </c>
      <c r="L57" s="10" t="e">
        <f t="shared" si="12"/>
        <v>#NUM!</v>
      </c>
      <c r="M57" s="10" t="e">
        <f t="shared" si="13"/>
        <v>#NUM!</v>
      </c>
      <c r="N57" s="10" t="e">
        <f t="shared" si="14"/>
        <v>#NUM!</v>
      </c>
      <c r="O57" s="11" t="e">
        <f>ROUND(( SUM(Table3231589[[#This Row],[I1]:[I3]]))*1000000, 0)</f>
        <v>#NUM!</v>
      </c>
      <c r="P57" s="11"/>
      <c r="Q57" s="11"/>
      <c r="R57" s="6">
        <v>37</v>
      </c>
      <c r="S57" s="6" t="e">
        <f t="shared" si="30"/>
        <v>#NUM!</v>
      </c>
      <c r="T57" s="6" t="e">
        <f t="shared" si="31"/>
        <v>#NUM!</v>
      </c>
      <c r="U57" s="6" t="e">
        <f t="shared" si="32"/>
        <v>#NUM!</v>
      </c>
      <c r="V57" s="10" t="e">
        <f t="shared" si="33"/>
        <v>#NUM!</v>
      </c>
      <c r="W57" s="10" t="e">
        <f t="shared" si="34"/>
        <v>#NUM!</v>
      </c>
      <c r="X57" s="10" t="e">
        <f t="shared" si="35"/>
        <v>#NUM!</v>
      </c>
      <c r="Y57" s="10" t="e">
        <f t="shared" si="36"/>
        <v>#NUM!</v>
      </c>
      <c r="Z57" s="10" t="e">
        <f t="shared" si="37"/>
        <v>#NUM!</v>
      </c>
      <c r="AA57" s="10" t="e">
        <f t="shared" si="38"/>
        <v>#NUM!</v>
      </c>
      <c r="AB57" s="10" t="e">
        <f t="shared" si="39"/>
        <v>#NUM!</v>
      </c>
      <c r="AC57" s="11" t="e">
        <f>ROUND((SUM(Table12[[#This Row],[II1]:[II3]]))*1000000, 0)</f>
        <v>#NUM!</v>
      </c>
      <c r="AD57" s="18"/>
      <c r="AE57" s="11"/>
      <c r="AF57" s="13" t="str">
        <f t="shared" si="29"/>
        <v/>
      </c>
      <c r="AG57"/>
      <c r="AI57" s="11"/>
      <c r="AJ57" s="6">
        <v>37</v>
      </c>
      <c r="AK57" s="11" t="str">
        <f t="shared" si="40"/>
        <v/>
      </c>
      <c r="AN57" s="13" t="str">
        <f t="shared" si="41"/>
        <v/>
      </c>
      <c r="AO57"/>
      <c r="AP57"/>
    </row>
    <row r="58" spans="2:42" x14ac:dyDescent="0.35">
      <c r="B58" s="6">
        <v>38</v>
      </c>
      <c r="C58" s="2" t="s">
        <v>22</v>
      </c>
      <c r="D58" s="6" t="e">
        <f t="shared" si="5"/>
        <v>#NUM!</v>
      </c>
      <c r="E58" s="6" t="e">
        <f t="shared" si="6"/>
        <v>#NUM!</v>
      </c>
      <c r="F58" s="6" t="e">
        <f t="shared" si="7"/>
        <v>#NUM!</v>
      </c>
      <c r="G58" s="6" t="e">
        <f t="shared" si="28"/>
        <v>#NUM!</v>
      </c>
      <c r="H58" s="10" t="e">
        <f t="shared" si="8"/>
        <v>#NUM!</v>
      </c>
      <c r="I58" s="10" t="e">
        <f t="shared" si="9"/>
        <v>#NUM!</v>
      </c>
      <c r="J58" s="10" t="e">
        <f t="shared" si="10"/>
        <v>#NUM!</v>
      </c>
      <c r="K58" s="10" t="e">
        <f t="shared" si="11"/>
        <v>#NUM!</v>
      </c>
      <c r="L58" s="10" t="e">
        <f t="shared" si="12"/>
        <v>#NUM!</v>
      </c>
      <c r="M58" s="10" t="e">
        <f t="shared" si="13"/>
        <v>#NUM!</v>
      </c>
      <c r="N58" s="10" t="e">
        <f t="shared" si="14"/>
        <v>#NUM!</v>
      </c>
      <c r="O58" s="11" t="e">
        <f>ROUND(( SUM(Table3231589[[#This Row],[I1]:[I3]]))*1000000, 0)</f>
        <v>#NUM!</v>
      </c>
      <c r="P58" s="11"/>
      <c r="Q58" s="11"/>
      <c r="R58" s="6">
        <v>38</v>
      </c>
      <c r="S58" s="6" t="e">
        <f t="shared" si="30"/>
        <v>#NUM!</v>
      </c>
      <c r="T58" s="6" t="e">
        <f t="shared" si="31"/>
        <v>#NUM!</v>
      </c>
      <c r="U58" s="6" t="e">
        <f t="shared" si="32"/>
        <v>#NUM!</v>
      </c>
      <c r="V58" s="10" t="e">
        <f t="shared" si="33"/>
        <v>#NUM!</v>
      </c>
      <c r="W58" s="10" t="e">
        <f t="shared" si="34"/>
        <v>#NUM!</v>
      </c>
      <c r="X58" s="10" t="e">
        <f t="shared" si="35"/>
        <v>#NUM!</v>
      </c>
      <c r="Y58" s="10" t="e">
        <f t="shared" si="36"/>
        <v>#NUM!</v>
      </c>
      <c r="Z58" s="10" t="e">
        <f t="shared" si="37"/>
        <v>#NUM!</v>
      </c>
      <c r="AA58" s="10" t="e">
        <f t="shared" si="38"/>
        <v>#NUM!</v>
      </c>
      <c r="AB58" s="10" t="e">
        <f t="shared" si="39"/>
        <v>#NUM!</v>
      </c>
      <c r="AC58" s="11" t="e">
        <f>ROUND((SUM(Table12[[#This Row],[II1]:[II3]]))*1000000, 0)</f>
        <v>#NUM!</v>
      </c>
      <c r="AD58" s="18"/>
      <c r="AE58" s="11"/>
      <c r="AF58" s="13" t="str">
        <f t="shared" si="29"/>
        <v/>
      </c>
      <c r="AG58"/>
      <c r="AI58" s="11"/>
      <c r="AJ58" s="6">
        <v>38</v>
      </c>
      <c r="AK58" s="11" t="str">
        <f t="shared" si="40"/>
        <v/>
      </c>
      <c r="AN58" s="13" t="str">
        <f t="shared" si="41"/>
        <v/>
      </c>
      <c r="AO58"/>
      <c r="AP58"/>
    </row>
    <row r="59" spans="2:42" x14ac:dyDescent="0.35">
      <c r="B59" s="6">
        <v>39</v>
      </c>
      <c r="C59" s="2" t="s">
        <v>22</v>
      </c>
      <c r="D59" s="6" t="e">
        <f t="shared" si="5"/>
        <v>#NUM!</v>
      </c>
      <c r="E59" s="6" t="e">
        <f t="shared" si="6"/>
        <v>#NUM!</v>
      </c>
      <c r="F59" s="6" t="e">
        <f t="shared" si="7"/>
        <v>#NUM!</v>
      </c>
      <c r="G59" s="6" t="e">
        <f t="shared" si="28"/>
        <v>#NUM!</v>
      </c>
      <c r="H59" s="10" t="e">
        <f t="shared" si="8"/>
        <v>#NUM!</v>
      </c>
      <c r="I59" s="10" t="e">
        <f t="shared" si="9"/>
        <v>#NUM!</v>
      </c>
      <c r="J59" s="10" t="e">
        <f t="shared" si="10"/>
        <v>#NUM!</v>
      </c>
      <c r="K59" s="10" t="e">
        <f t="shared" si="11"/>
        <v>#NUM!</v>
      </c>
      <c r="L59" s="10" t="e">
        <f t="shared" si="12"/>
        <v>#NUM!</v>
      </c>
      <c r="M59" s="10" t="e">
        <f t="shared" si="13"/>
        <v>#NUM!</v>
      </c>
      <c r="N59" s="10" t="e">
        <f t="shared" si="14"/>
        <v>#NUM!</v>
      </c>
      <c r="O59" s="11" t="e">
        <f>ROUND(( SUM(Table3231589[[#This Row],[I1]:[I3]]))*1000000, 0)</f>
        <v>#NUM!</v>
      </c>
      <c r="P59" s="11"/>
      <c r="Q59" s="11"/>
      <c r="R59" s="6">
        <v>39</v>
      </c>
      <c r="S59" s="6" t="e">
        <f t="shared" si="30"/>
        <v>#NUM!</v>
      </c>
      <c r="T59" s="6" t="e">
        <f t="shared" si="31"/>
        <v>#NUM!</v>
      </c>
      <c r="U59" s="6" t="e">
        <f t="shared" si="32"/>
        <v>#NUM!</v>
      </c>
      <c r="V59" s="10" t="e">
        <f t="shared" si="33"/>
        <v>#NUM!</v>
      </c>
      <c r="W59" s="10" t="e">
        <f t="shared" si="34"/>
        <v>#NUM!</v>
      </c>
      <c r="X59" s="10" t="e">
        <f t="shared" si="35"/>
        <v>#NUM!</v>
      </c>
      <c r="Y59" s="10" t="e">
        <f t="shared" si="36"/>
        <v>#NUM!</v>
      </c>
      <c r="Z59" s="10" t="e">
        <f t="shared" si="37"/>
        <v>#NUM!</v>
      </c>
      <c r="AA59" s="10" t="e">
        <f t="shared" si="38"/>
        <v>#NUM!</v>
      </c>
      <c r="AB59" s="10" t="e">
        <f t="shared" si="39"/>
        <v>#NUM!</v>
      </c>
      <c r="AC59" s="11" t="e">
        <f>ROUND((SUM(Table12[[#This Row],[II1]:[II3]]))*1000000, 0)</f>
        <v>#NUM!</v>
      </c>
      <c r="AD59" s="18"/>
      <c r="AE59" s="11"/>
      <c r="AF59" s="13" t="str">
        <f t="shared" si="29"/>
        <v/>
      </c>
      <c r="AG59"/>
      <c r="AI59" s="11"/>
      <c r="AJ59" s="6">
        <v>39</v>
      </c>
      <c r="AK59" s="11" t="str">
        <f t="shared" si="40"/>
        <v/>
      </c>
      <c r="AN59" s="13" t="str">
        <f t="shared" si="41"/>
        <v/>
      </c>
      <c r="AO59"/>
      <c r="AP59"/>
    </row>
    <row r="60" spans="2:42" x14ac:dyDescent="0.35">
      <c r="B60" s="6">
        <v>40</v>
      </c>
      <c r="C60" s="2" t="s">
        <v>22</v>
      </c>
      <c r="D60" s="6" t="e">
        <f t="shared" si="5"/>
        <v>#NUM!</v>
      </c>
      <c r="E60" s="6" t="e">
        <f t="shared" si="6"/>
        <v>#NUM!</v>
      </c>
      <c r="F60" s="6" t="e">
        <f t="shared" si="7"/>
        <v>#NUM!</v>
      </c>
      <c r="G60" s="6" t="e">
        <f t="shared" si="28"/>
        <v>#NUM!</v>
      </c>
      <c r="H60" s="10" t="e">
        <f t="shared" si="8"/>
        <v>#NUM!</v>
      </c>
      <c r="I60" s="10" t="e">
        <f t="shared" si="9"/>
        <v>#NUM!</v>
      </c>
      <c r="J60" s="10" t="e">
        <f t="shared" si="10"/>
        <v>#NUM!</v>
      </c>
      <c r="K60" s="10" t="e">
        <f t="shared" si="11"/>
        <v>#NUM!</v>
      </c>
      <c r="L60" s="10" t="e">
        <f t="shared" si="12"/>
        <v>#NUM!</v>
      </c>
      <c r="M60" s="10" t="e">
        <f t="shared" si="13"/>
        <v>#NUM!</v>
      </c>
      <c r="N60" s="10" t="e">
        <f t="shared" si="14"/>
        <v>#NUM!</v>
      </c>
      <c r="O60" s="11" t="e">
        <f>ROUND(( SUM(Table3231589[[#This Row],[I1]:[I3]]))*1000000, 0)</f>
        <v>#NUM!</v>
      </c>
      <c r="P60" s="11"/>
      <c r="Q60" s="11"/>
      <c r="R60" s="6">
        <v>40</v>
      </c>
      <c r="S60" s="6" t="e">
        <f t="shared" si="30"/>
        <v>#NUM!</v>
      </c>
      <c r="T60" s="6" t="e">
        <f t="shared" si="31"/>
        <v>#NUM!</v>
      </c>
      <c r="U60" s="6" t="e">
        <f t="shared" si="32"/>
        <v>#NUM!</v>
      </c>
      <c r="V60" s="10" t="e">
        <f t="shared" si="33"/>
        <v>#NUM!</v>
      </c>
      <c r="W60" s="10" t="e">
        <f t="shared" si="34"/>
        <v>#NUM!</v>
      </c>
      <c r="X60" s="10" t="e">
        <f t="shared" si="35"/>
        <v>#NUM!</v>
      </c>
      <c r="Y60" s="10" t="e">
        <f t="shared" si="36"/>
        <v>#NUM!</v>
      </c>
      <c r="Z60" s="10" t="e">
        <f t="shared" si="37"/>
        <v>#NUM!</v>
      </c>
      <c r="AA60" s="10" t="e">
        <f t="shared" si="38"/>
        <v>#NUM!</v>
      </c>
      <c r="AB60" s="10" t="e">
        <f t="shared" si="39"/>
        <v>#NUM!</v>
      </c>
      <c r="AC60" s="11" t="e">
        <f>ROUND((SUM(Table12[[#This Row],[II1]:[II3]]))*1000000, 0)</f>
        <v>#NUM!</v>
      </c>
      <c r="AD60" s="18"/>
      <c r="AE60" s="11"/>
      <c r="AF60" s="13" t="str">
        <f t="shared" si="29"/>
        <v/>
      </c>
      <c r="AG60"/>
      <c r="AI60" s="11"/>
      <c r="AJ60" s="6">
        <v>40</v>
      </c>
      <c r="AK60" s="11" t="str">
        <f t="shared" si="40"/>
        <v/>
      </c>
      <c r="AN60" s="13" t="str">
        <f t="shared" si="41"/>
        <v/>
      </c>
      <c r="AO60"/>
      <c r="AP60"/>
    </row>
    <row r="61" spans="2:42" x14ac:dyDescent="0.35">
      <c r="B61" s="6">
        <v>41</v>
      </c>
      <c r="C61" s="2" t="s">
        <v>22</v>
      </c>
      <c r="D61" s="6" t="e">
        <f t="shared" si="5"/>
        <v>#NUM!</v>
      </c>
      <c r="E61" s="6" t="e">
        <f t="shared" si="6"/>
        <v>#NUM!</v>
      </c>
      <c r="F61" s="6" t="e">
        <f t="shared" si="7"/>
        <v>#NUM!</v>
      </c>
      <c r="G61" s="6" t="e">
        <f t="shared" si="28"/>
        <v>#NUM!</v>
      </c>
      <c r="H61" s="10" t="e">
        <f t="shared" si="8"/>
        <v>#NUM!</v>
      </c>
      <c r="I61" s="10" t="e">
        <f t="shared" si="9"/>
        <v>#NUM!</v>
      </c>
      <c r="J61" s="10" t="e">
        <f t="shared" si="10"/>
        <v>#NUM!</v>
      </c>
      <c r="K61" s="10" t="e">
        <f t="shared" si="11"/>
        <v>#NUM!</v>
      </c>
      <c r="L61" s="10" t="e">
        <f t="shared" si="12"/>
        <v>#NUM!</v>
      </c>
      <c r="M61" s="10" t="e">
        <f t="shared" si="13"/>
        <v>#NUM!</v>
      </c>
      <c r="N61" s="10" t="e">
        <f t="shared" si="14"/>
        <v>#NUM!</v>
      </c>
      <c r="O61" s="11" t="e">
        <f>ROUND(( SUM(Table3231589[[#This Row],[I1]:[I3]]))*1000000, 0)</f>
        <v>#NUM!</v>
      </c>
      <c r="P61" s="11"/>
      <c r="Q61" s="11"/>
      <c r="R61" s="6">
        <v>41</v>
      </c>
      <c r="S61" s="6" t="e">
        <f t="shared" si="30"/>
        <v>#NUM!</v>
      </c>
      <c r="T61" s="6" t="e">
        <f t="shared" si="31"/>
        <v>#NUM!</v>
      </c>
      <c r="U61" s="6" t="e">
        <f t="shared" si="32"/>
        <v>#NUM!</v>
      </c>
      <c r="V61" s="10" t="e">
        <f t="shared" si="33"/>
        <v>#NUM!</v>
      </c>
      <c r="W61" s="10" t="e">
        <f t="shared" si="34"/>
        <v>#NUM!</v>
      </c>
      <c r="X61" s="10" t="e">
        <f t="shared" si="35"/>
        <v>#NUM!</v>
      </c>
      <c r="Y61" s="10" t="e">
        <f t="shared" si="36"/>
        <v>#NUM!</v>
      </c>
      <c r="Z61" s="10" t="e">
        <f t="shared" si="37"/>
        <v>#NUM!</v>
      </c>
      <c r="AA61" s="10" t="e">
        <f t="shared" si="38"/>
        <v>#NUM!</v>
      </c>
      <c r="AB61" s="10" t="e">
        <f t="shared" si="39"/>
        <v>#NUM!</v>
      </c>
      <c r="AC61" s="11" t="e">
        <f>ROUND((SUM(Table12[[#This Row],[II1]:[II3]]))*1000000, 0)</f>
        <v>#NUM!</v>
      </c>
      <c r="AD61" s="18"/>
      <c r="AE61" s="11"/>
      <c r="AF61" s="13" t="str">
        <f t="shared" si="29"/>
        <v/>
      </c>
      <c r="AG61"/>
      <c r="AI61" s="11"/>
      <c r="AJ61" s="6">
        <v>41</v>
      </c>
      <c r="AK61" s="11" t="str">
        <f t="shared" si="40"/>
        <v/>
      </c>
      <c r="AN61" s="13" t="str">
        <f t="shared" si="41"/>
        <v/>
      </c>
      <c r="AO61"/>
      <c r="AP61"/>
    </row>
    <row r="62" spans="2:42" x14ac:dyDescent="0.35">
      <c r="B62" s="6">
        <v>42</v>
      </c>
      <c r="C62" s="2" t="s">
        <v>22</v>
      </c>
      <c r="D62" s="6" t="e">
        <f t="shared" si="5"/>
        <v>#NUM!</v>
      </c>
      <c r="E62" s="6" t="e">
        <f t="shared" si="6"/>
        <v>#NUM!</v>
      </c>
      <c r="F62" s="6" t="e">
        <f t="shared" si="7"/>
        <v>#NUM!</v>
      </c>
      <c r="G62" s="6" t="e">
        <f t="shared" si="28"/>
        <v>#NUM!</v>
      </c>
      <c r="H62" s="10" t="e">
        <f t="shared" si="8"/>
        <v>#NUM!</v>
      </c>
      <c r="I62" s="10" t="e">
        <f t="shared" si="9"/>
        <v>#NUM!</v>
      </c>
      <c r="J62" s="10" t="e">
        <f t="shared" si="10"/>
        <v>#NUM!</v>
      </c>
      <c r="K62" s="10" t="e">
        <f t="shared" si="11"/>
        <v>#NUM!</v>
      </c>
      <c r="L62" s="10" t="e">
        <f t="shared" si="12"/>
        <v>#NUM!</v>
      </c>
      <c r="M62" s="10" t="e">
        <f t="shared" si="13"/>
        <v>#NUM!</v>
      </c>
      <c r="N62" s="10" t="e">
        <f t="shared" si="14"/>
        <v>#NUM!</v>
      </c>
      <c r="O62" s="11" t="e">
        <f>ROUND(( SUM(Table3231589[[#This Row],[I1]:[I3]]))*1000000, 0)</f>
        <v>#NUM!</v>
      </c>
      <c r="P62" s="11"/>
      <c r="Q62" s="11"/>
      <c r="R62" s="6">
        <v>42</v>
      </c>
      <c r="S62" s="6" t="e">
        <f t="shared" si="30"/>
        <v>#NUM!</v>
      </c>
      <c r="T62" s="6" t="e">
        <f t="shared" si="31"/>
        <v>#NUM!</v>
      </c>
      <c r="U62" s="6" t="e">
        <f t="shared" si="32"/>
        <v>#NUM!</v>
      </c>
      <c r="V62" s="10" t="e">
        <f t="shared" si="33"/>
        <v>#NUM!</v>
      </c>
      <c r="W62" s="10" t="e">
        <f t="shared" si="34"/>
        <v>#NUM!</v>
      </c>
      <c r="X62" s="10" t="e">
        <f t="shared" si="35"/>
        <v>#NUM!</v>
      </c>
      <c r="Y62" s="10" t="e">
        <f t="shared" si="36"/>
        <v>#NUM!</v>
      </c>
      <c r="Z62" s="10" t="e">
        <f t="shared" si="37"/>
        <v>#NUM!</v>
      </c>
      <c r="AA62" s="10" t="e">
        <f t="shared" si="38"/>
        <v>#NUM!</v>
      </c>
      <c r="AB62" s="10" t="e">
        <f t="shared" si="39"/>
        <v>#NUM!</v>
      </c>
      <c r="AC62" s="11" t="e">
        <f>ROUND((SUM(Table12[[#This Row],[II1]:[II3]]))*1000000, 0)</f>
        <v>#NUM!</v>
      </c>
      <c r="AD62" s="18"/>
      <c r="AE62" s="11"/>
      <c r="AF62" s="13" t="str">
        <f t="shared" si="29"/>
        <v/>
      </c>
      <c r="AG62"/>
      <c r="AI62" s="11"/>
      <c r="AJ62" s="6">
        <v>42</v>
      </c>
      <c r="AK62" s="11" t="str">
        <f t="shared" si="40"/>
        <v/>
      </c>
      <c r="AN62" s="13" t="str">
        <f t="shared" si="41"/>
        <v/>
      </c>
      <c r="AO62"/>
      <c r="AP62"/>
    </row>
    <row r="63" spans="2:42" x14ac:dyDescent="0.35">
      <c r="B63" s="6">
        <v>43</v>
      </c>
      <c r="C63" s="2" t="s">
        <v>22</v>
      </c>
      <c r="D63" s="6" t="e">
        <f t="shared" si="5"/>
        <v>#NUM!</v>
      </c>
      <c r="E63" s="6" t="e">
        <f t="shared" si="6"/>
        <v>#NUM!</v>
      </c>
      <c r="F63" s="6" t="e">
        <f t="shared" si="7"/>
        <v>#NUM!</v>
      </c>
      <c r="G63" s="6" t="e">
        <f t="shared" si="28"/>
        <v>#NUM!</v>
      </c>
      <c r="H63" s="10" t="e">
        <f t="shared" si="8"/>
        <v>#NUM!</v>
      </c>
      <c r="I63" s="10" t="e">
        <f t="shared" si="9"/>
        <v>#NUM!</v>
      </c>
      <c r="J63" s="10" t="e">
        <f t="shared" si="10"/>
        <v>#NUM!</v>
      </c>
      <c r="K63" s="10" t="e">
        <f t="shared" si="11"/>
        <v>#NUM!</v>
      </c>
      <c r="L63" s="10" t="e">
        <f t="shared" si="12"/>
        <v>#NUM!</v>
      </c>
      <c r="M63" s="10" t="e">
        <f t="shared" si="13"/>
        <v>#NUM!</v>
      </c>
      <c r="N63" s="10" t="e">
        <f t="shared" si="14"/>
        <v>#NUM!</v>
      </c>
      <c r="O63" s="11" t="e">
        <f>ROUND(( SUM(Table3231589[[#This Row],[I1]:[I3]]))*1000000, 0)</f>
        <v>#NUM!</v>
      </c>
      <c r="P63" s="11"/>
      <c r="Q63" s="11"/>
      <c r="R63" s="6">
        <v>43</v>
      </c>
      <c r="S63" s="6" t="e">
        <f t="shared" si="30"/>
        <v>#NUM!</v>
      </c>
      <c r="T63" s="6" t="e">
        <f t="shared" si="31"/>
        <v>#NUM!</v>
      </c>
      <c r="U63" s="6" t="e">
        <f t="shared" si="32"/>
        <v>#NUM!</v>
      </c>
      <c r="V63" s="10" t="e">
        <f t="shared" si="33"/>
        <v>#NUM!</v>
      </c>
      <c r="W63" s="10" t="e">
        <f t="shared" si="34"/>
        <v>#NUM!</v>
      </c>
      <c r="X63" s="10" t="e">
        <f t="shared" si="35"/>
        <v>#NUM!</v>
      </c>
      <c r="Y63" s="10" t="e">
        <f t="shared" si="36"/>
        <v>#NUM!</v>
      </c>
      <c r="Z63" s="10" t="e">
        <f t="shared" si="37"/>
        <v>#NUM!</v>
      </c>
      <c r="AA63" s="10" t="e">
        <f t="shared" si="38"/>
        <v>#NUM!</v>
      </c>
      <c r="AB63" s="10" t="e">
        <f t="shared" si="39"/>
        <v>#NUM!</v>
      </c>
      <c r="AC63" s="11" t="e">
        <f>ROUND((SUM(Table12[[#This Row],[II1]:[II3]]))*1000000, 0)</f>
        <v>#NUM!</v>
      </c>
      <c r="AD63" s="18"/>
      <c r="AE63" s="11"/>
      <c r="AF63" s="13" t="str">
        <f t="shared" si="29"/>
        <v/>
      </c>
      <c r="AG63"/>
      <c r="AI63" s="11"/>
      <c r="AJ63" s="6">
        <v>43</v>
      </c>
      <c r="AK63" s="11" t="str">
        <f t="shared" si="40"/>
        <v/>
      </c>
      <c r="AN63" s="13" t="str">
        <f t="shared" si="41"/>
        <v/>
      </c>
      <c r="AO63"/>
      <c r="AP63"/>
    </row>
    <row r="64" spans="2:42" x14ac:dyDescent="0.35">
      <c r="B64" s="6">
        <v>44</v>
      </c>
      <c r="C64" s="2" t="s">
        <v>22</v>
      </c>
      <c r="D64" s="6" t="e">
        <f t="shared" si="5"/>
        <v>#NUM!</v>
      </c>
      <c r="E64" s="6" t="e">
        <f t="shared" si="6"/>
        <v>#NUM!</v>
      </c>
      <c r="F64" s="6" t="e">
        <f t="shared" si="7"/>
        <v>#NUM!</v>
      </c>
      <c r="G64" s="6" t="e">
        <f t="shared" si="28"/>
        <v>#NUM!</v>
      </c>
      <c r="H64" s="10" t="e">
        <f t="shared" si="8"/>
        <v>#NUM!</v>
      </c>
      <c r="I64" s="10" t="e">
        <f t="shared" si="9"/>
        <v>#NUM!</v>
      </c>
      <c r="J64" s="10" t="e">
        <f t="shared" si="10"/>
        <v>#NUM!</v>
      </c>
      <c r="K64" s="10" t="e">
        <f t="shared" si="11"/>
        <v>#NUM!</v>
      </c>
      <c r="L64" s="10" t="e">
        <f t="shared" si="12"/>
        <v>#NUM!</v>
      </c>
      <c r="M64" s="10" t="e">
        <f t="shared" si="13"/>
        <v>#NUM!</v>
      </c>
      <c r="N64" s="10" t="e">
        <f t="shared" si="14"/>
        <v>#NUM!</v>
      </c>
      <c r="O64" s="11" t="e">
        <f>ROUND(( SUM(Table3231589[[#This Row],[I1]:[I3]]))*1000000, 0)</f>
        <v>#NUM!</v>
      </c>
      <c r="P64" s="11"/>
      <c r="Q64" s="11"/>
      <c r="R64" s="6">
        <v>44</v>
      </c>
      <c r="S64" s="6" t="e">
        <f t="shared" si="30"/>
        <v>#NUM!</v>
      </c>
      <c r="T64" s="6" t="e">
        <f t="shared" si="31"/>
        <v>#NUM!</v>
      </c>
      <c r="U64" s="6" t="e">
        <f t="shared" si="32"/>
        <v>#NUM!</v>
      </c>
      <c r="V64" s="10" t="e">
        <f t="shared" si="33"/>
        <v>#NUM!</v>
      </c>
      <c r="W64" s="10" t="e">
        <f t="shared" si="34"/>
        <v>#NUM!</v>
      </c>
      <c r="X64" s="10" t="e">
        <f t="shared" si="35"/>
        <v>#NUM!</v>
      </c>
      <c r="Y64" s="10" t="e">
        <f t="shared" si="36"/>
        <v>#NUM!</v>
      </c>
      <c r="Z64" s="10" t="e">
        <f t="shared" si="37"/>
        <v>#NUM!</v>
      </c>
      <c r="AA64" s="10" t="e">
        <f t="shared" si="38"/>
        <v>#NUM!</v>
      </c>
      <c r="AB64" s="10" t="e">
        <f t="shared" si="39"/>
        <v>#NUM!</v>
      </c>
      <c r="AC64" s="11" t="e">
        <f>ROUND((SUM(Table12[[#This Row],[II1]:[II3]]))*1000000, 0)</f>
        <v>#NUM!</v>
      </c>
      <c r="AD64" s="18"/>
      <c r="AE64" s="11"/>
      <c r="AF64" s="13" t="str">
        <f t="shared" si="29"/>
        <v/>
      </c>
      <c r="AG64"/>
      <c r="AI64" s="11"/>
      <c r="AJ64" s="6">
        <v>44</v>
      </c>
      <c r="AK64" s="11" t="str">
        <f t="shared" si="40"/>
        <v/>
      </c>
      <c r="AN64" s="13" t="str">
        <f t="shared" si="41"/>
        <v/>
      </c>
      <c r="AO64"/>
      <c r="AP64"/>
    </row>
    <row r="65" spans="2:42" x14ac:dyDescent="0.35">
      <c r="B65" s="6">
        <v>45</v>
      </c>
      <c r="C65" s="2" t="s">
        <v>22</v>
      </c>
      <c r="D65" s="6" t="e">
        <f t="shared" si="5"/>
        <v>#NUM!</v>
      </c>
      <c r="E65" s="6" t="e">
        <f t="shared" si="6"/>
        <v>#NUM!</v>
      </c>
      <c r="F65" s="6" t="e">
        <f t="shared" si="7"/>
        <v>#NUM!</v>
      </c>
      <c r="G65" s="6" t="e">
        <f t="shared" si="28"/>
        <v>#NUM!</v>
      </c>
      <c r="H65" s="10" t="e">
        <f t="shared" si="8"/>
        <v>#NUM!</v>
      </c>
      <c r="I65" s="10" t="e">
        <f t="shared" si="9"/>
        <v>#NUM!</v>
      </c>
      <c r="J65" s="10" t="e">
        <f t="shared" si="10"/>
        <v>#NUM!</v>
      </c>
      <c r="K65" s="10" t="e">
        <f t="shared" si="11"/>
        <v>#NUM!</v>
      </c>
      <c r="L65" s="10" t="e">
        <f t="shared" si="12"/>
        <v>#NUM!</v>
      </c>
      <c r="M65" s="10" t="e">
        <f t="shared" si="13"/>
        <v>#NUM!</v>
      </c>
      <c r="N65" s="10" t="e">
        <f t="shared" si="14"/>
        <v>#NUM!</v>
      </c>
      <c r="O65" s="11" t="e">
        <f>ROUND(( SUM(Table3231589[[#This Row],[I1]:[I3]]))*1000000, 0)</f>
        <v>#NUM!</v>
      </c>
      <c r="P65" s="11"/>
      <c r="Q65" s="11"/>
      <c r="R65" s="6">
        <v>45</v>
      </c>
      <c r="S65" s="6" t="e">
        <f t="shared" si="30"/>
        <v>#NUM!</v>
      </c>
      <c r="T65" s="6" t="e">
        <f t="shared" si="31"/>
        <v>#NUM!</v>
      </c>
      <c r="U65" s="6" t="e">
        <f t="shared" si="32"/>
        <v>#NUM!</v>
      </c>
      <c r="V65" s="10" t="e">
        <f t="shared" si="33"/>
        <v>#NUM!</v>
      </c>
      <c r="W65" s="10" t="e">
        <f t="shared" si="34"/>
        <v>#NUM!</v>
      </c>
      <c r="X65" s="10" t="e">
        <f t="shared" si="35"/>
        <v>#NUM!</v>
      </c>
      <c r="Y65" s="10" t="e">
        <f t="shared" si="36"/>
        <v>#NUM!</v>
      </c>
      <c r="Z65" s="10" t="e">
        <f t="shared" si="37"/>
        <v>#NUM!</v>
      </c>
      <c r="AA65" s="10" t="e">
        <f t="shared" si="38"/>
        <v>#NUM!</v>
      </c>
      <c r="AB65" s="10" t="e">
        <f t="shared" si="39"/>
        <v>#NUM!</v>
      </c>
      <c r="AC65" s="11" t="e">
        <f>ROUND((SUM(Table12[[#This Row],[II1]:[II3]]))*1000000, 0)</f>
        <v>#NUM!</v>
      </c>
      <c r="AD65" s="18"/>
      <c r="AE65" s="11"/>
      <c r="AF65" s="13" t="str">
        <f t="shared" si="29"/>
        <v/>
      </c>
      <c r="AG65"/>
      <c r="AI65" s="11"/>
      <c r="AJ65" s="6">
        <v>45</v>
      </c>
      <c r="AK65" s="11" t="str">
        <f t="shared" si="40"/>
        <v/>
      </c>
      <c r="AN65" s="13" t="str">
        <f t="shared" si="41"/>
        <v/>
      </c>
      <c r="AO65"/>
      <c r="AP65"/>
    </row>
    <row r="66" spans="2:42" x14ac:dyDescent="0.35">
      <c r="B66" s="6">
        <v>46</v>
      </c>
      <c r="C66" s="2" t="s">
        <v>22</v>
      </c>
      <c r="D66" s="6" t="e">
        <f t="shared" si="5"/>
        <v>#NUM!</v>
      </c>
      <c r="E66" s="6" t="e">
        <f t="shared" si="6"/>
        <v>#NUM!</v>
      </c>
      <c r="F66" s="6" t="e">
        <f t="shared" si="7"/>
        <v>#NUM!</v>
      </c>
      <c r="G66" s="6" t="e">
        <f t="shared" si="28"/>
        <v>#NUM!</v>
      </c>
      <c r="H66" s="10" t="e">
        <f t="shared" si="8"/>
        <v>#NUM!</v>
      </c>
      <c r="I66" s="10" t="e">
        <f t="shared" si="9"/>
        <v>#NUM!</v>
      </c>
      <c r="J66" s="10" t="e">
        <f t="shared" si="10"/>
        <v>#NUM!</v>
      </c>
      <c r="K66" s="10" t="e">
        <f t="shared" si="11"/>
        <v>#NUM!</v>
      </c>
      <c r="L66" s="10" t="e">
        <f t="shared" si="12"/>
        <v>#NUM!</v>
      </c>
      <c r="M66" s="10" t="e">
        <f t="shared" si="13"/>
        <v>#NUM!</v>
      </c>
      <c r="N66" s="10" t="e">
        <f t="shared" si="14"/>
        <v>#NUM!</v>
      </c>
      <c r="O66" s="11" t="e">
        <f>ROUND(( SUM(Table3231589[[#This Row],[I1]:[I3]]))*1000000, 0)</f>
        <v>#NUM!</v>
      </c>
      <c r="P66" s="11"/>
      <c r="Q66" s="11"/>
      <c r="R66" s="6">
        <v>46</v>
      </c>
      <c r="S66" s="6" t="e">
        <f t="shared" si="30"/>
        <v>#NUM!</v>
      </c>
      <c r="T66" s="6" t="e">
        <f t="shared" si="31"/>
        <v>#NUM!</v>
      </c>
      <c r="U66" s="6" t="e">
        <f t="shared" si="32"/>
        <v>#NUM!</v>
      </c>
      <c r="V66" s="10" t="e">
        <f t="shared" si="33"/>
        <v>#NUM!</v>
      </c>
      <c r="W66" s="10" t="e">
        <f t="shared" si="34"/>
        <v>#NUM!</v>
      </c>
      <c r="X66" s="10" t="e">
        <f t="shared" si="35"/>
        <v>#NUM!</v>
      </c>
      <c r="Y66" s="10" t="e">
        <f t="shared" si="36"/>
        <v>#NUM!</v>
      </c>
      <c r="Z66" s="10" t="e">
        <f t="shared" si="37"/>
        <v>#NUM!</v>
      </c>
      <c r="AA66" s="10" t="e">
        <f t="shared" si="38"/>
        <v>#NUM!</v>
      </c>
      <c r="AB66" s="10" t="e">
        <f t="shared" si="39"/>
        <v>#NUM!</v>
      </c>
      <c r="AC66" s="11" t="e">
        <f>ROUND((SUM(Table12[[#This Row],[II1]:[II3]]))*1000000, 0)</f>
        <v>#NUM!</v>
      </c>
      <c r="AD66" s="18"/>
      <c r="AE66" s="11"/>
      <c r="AF66" s="13" t="str">
        <f t="shared" si="29"/>
        <v/>
      </c>
      <c r="AG66"/>
      <c r="AI66" s="11"/>
      <c r="AJ66" s="6">
        <v>46</v>
      </c>
      <c r="AK66" s="11" t="str">
        <f t="shared" si="40"/>
        <v/>
      </c>
      <c r="AN66" s="13" t="str">
        <f t="shared" si="41"/>
        <v/>
      </c>
      <c r="AO66"/>
      <c r="AP66"/>
    </row>
    <row r="67" spans="2:42" x14ac:dyDescent="0.35">
      <c r="B67" s="6">
        <v>47</v>
      </c>
      <c r="C67" s="2" t="s">
        <v>22</v>
      </c>
      <c r="D67" s="6" t="e">
        <f t="shared" si="5"/>
        <v>#NUM!</v>
      </c>
      <c r="E67" s="6" t="e">
        <f t="shared" si="6"/>
        <v>#NUM!</v>
      </c>
      <c r="F67" s="6" t="e">
        <f t="shared" si="7"/>
        <v>#NUM!</v>
      </c>
      <c r="G67" s="6" t="e">
        <f t="shared" si="28"/>
        <v>#NUM!</v>
      </c>
      <c r="H67" s="10" t="e">
        <f t="shared" si="8"/>
        <v>#NUM!</v>
      </c>
      <c r="I67" s="10" t="e">
        <f t="shared" si="9"/>
        <v>#NUM!</v>
      </c>
      <c r="J67" s="10" t="e">
        <f t="shared" si="10"/>
        <v>#NUM!</v>
      </c>
      <c r="K67" s="10" t="e">
        <f t="shared" si="11"/>
        <v>#NUM!</v>
      </c>
      <c r="L67" s="10" t="e">
        <f t="shared" si="12"/>
        <v>#NUM!</v>
      </c>
      <c r="M67" s="10" t="e">
        <f t="shared" si="13"/>
        <v>#NUM!</v>
      </c>
      <c r="N67" s="10" t="e">
        <f t="shared" si="14"/>
        <v>#NUM!</v>
      </c>
      <c r="O67" s="11" t="e">
        <f>ROUND(( SUM(Table3231589[[#This Row],[I1]:[I3]]))*1000000, 0)</f>
        <v>#NUM!</v>
      </c>
      <c r="P67" s="11"/>
      <c r="Q67" s="11"/>
      <c r="R67" s="6">
        <v>47</v>
      </c>
      <c r="S67" s="6" t="e">
        <f t="shared" si="30"/>
        <v>#NUM!</v>
      </c>
      <c r="T67" s="6" t="e">
        <f t="shared" si="31"/>
        <v>#NUM!</v>
      </c>
      <c r="U67" s="6" t="e">
        <f t="shared" si="32"/>
        <v>#NUM!</v>
      </c>
      <c r="V67" s="10" t="e">
        <f t="shared" si="33"/>
        <v>#NUM!</v>
      </c>
      <c r="W67" s="10" t="e">
        <f t="shared" si="34"/>
        <v>#NUM!</v>
      </c>
      <c r="X67" s="10" t="e">
        <f t="shared" si="35"/>
        <v>#NUM!</v>
      </c>
      <c r="Y67" s="10" t="e">
        <f t="shared" si="36"/>
        <v>#NUM!</v>
      </c>
      <c r="Z67" s="10" t="e">
        <f t="shared" si="37"/>
        <v>#NUM!</v>
      </c>
      <c r="AA67" s="10" t="e">
        <f t="shared" si="38"/>
        <v>#NUM!</v>
      </c>
      <c r="AB67" s="10" t="e">
        <f t="shared" si="39"/>
        <v>#NUM!</v>
      </c>
      <c r="AC67" s="11" t="e">
        <f>ROUND((SUM(Table12[[#This Row],[II1]:[II3]]))*1000000, 0)</f>
        <v>#NUM!</v>
      </c>
      <c r="AD67" s="18"/>
      <c r="AE67" s="11"/>
      <c r="AF67" s="13" t="str">
        <f t="shared" si="29"/>
        <v/>
      </c>
      <c r="AG67"/>
      <c r="AI67" s="11"/>
      <c r="AJ67" s="6">
        <v>47</v>
      </c>
      <c r="AK67" s="11" t="str">
        <f t="shared" si="40"/>
        <v/>
      </c>
      <c r="AN67" s="13" t="str">
        <f t="shared" si="41"/>
        <v/>
      </c>
      <c r="AO67"/>
      <c r="AP67"/>
    </row>
    <row r="68" spans="2:42" x14ac:dyDescent="0.35">
      <c r="B68" s="6">
        <v>48</v>
      </c>
      <c r="C68" s="2" t="s">
        <v>22</v>
      </c>
      <c r="D68" s="6" t="e">
        <f t="shared" si="5"/>
        <v>#NUM!</v>
      </c>
      <c r="E68" s="6" t="e">
        <f t="shared" si="6"/>
        <v>#NUM!</v>
      </c>
      <c r="F68" s="6" t="e">
        <f t="shared" si="7"/>
        <v>#NUM!</v>
      </c>
      <c r="G68" s="6" t="e">
        <f t="shared" si="28"/>
        <v>#NUM!</v>
      </c>
      <c r="H68" s="10" t="e">
        <f t="shared" si="8"/>
        <v>#NUM!</v>
      </c>
      <c r="I68" s="10" t="e">
        <f t="shared" si="9"/>
        <v>#NUM!</v>
      </c>
      <c r="J68" s="10" t="e">
        <f t="shared" si="10"/>
        <v>#NUM!</v>
      </c>
      <c r="K68" s="10" t="e">
        <f t="shared" si="11"/>
        <v>#NUM!</v>
      </c>
      <c r="L68" s="10" t="e">
        <f t="shared" si="12"/>
        <v>#NUM!</v>
      </c>
      <c r="M68" s="10" t="e">
        <f t="shared" si="13"/>
        <v>#NUM!</v>
      </c>
      <c r="N68" s="10" t="e">
        <f t="shared" si="14"/>
        <v>#NUM!</v>
      </c>
      <c r="O68" s="11" t="e">
        <f>ROUND(( SUM(Table3231589[[#This Row],[I1]:[I3]]))*1000000, 0)</f>
        <v>#NUM!</v>
      </c>
      <c r="P68" s="11"/>
      <c r="Q68" s="11"/>
      <c r="R68" s="6">
        <v>48</v>
      </c>
      <c r="S68" s="6" t="e">
        <f t="shared" si="30"/>
        <v>#NUM!</v>
      </c>
      <c r="T68" s="6" t="e">
        <f t="shared" si="31"/>
        <v>#NUM!</v>
      </c>
      <c r="U68" s="6" t="e">
        <f t="shared" si="32"/>
        <v>#NUM!</v>
      </c>
      <c r="V68" s="10" t="e">
        <f t="shared" si="33"/>
        <v>#NUM!</v>
      </c>
      <c r="W68" s="10" t="e">
        <f t="shared" si="34"/>
        <v>#NUM!</v>
      </c>
      <c r="X68" s="10" t="e">
        <f t="shared" si="35"/>
        <v>#NUM!</v>
      </c>
      <c r="Y68" s="10" t="e">
        <f t="shared" si="36"/>
        <v>#NUM!</v>
      </c>
      <c r="Z68" s="10" t="e">
        <f t="shared" si="37"/>
        <v>#NUM!</v>
      </c>
      <c r="AA68" s="10" t="e">
        <f t="shared" si="38"/>
        <v>#NUM!</v>
      </c>
      <c r="AB68" s="10" t="e">
        <f t="shared" si="39"/>
        <v>#NUM!</v>
      </c>
      <c r="AC68" s="11" t="e">
        <f>ROUND((SUM(Table12[[#This Row],[II1]:[II3]]))*1000000, 0)</f>
        <v>#NUM!</v>
      </c>
      <c r="AD68" s="18"/>
      <c r="AE68" s="11"/>
      <c r="AF68" s="13" t="str">
        <f t="shared" si="29"/>
        <v/>
      </c>
      <c r="AG68"/>
      <c r="AI68" s="11"/>
      <c r="AJ68" s="6">
        <v>48</v>
      </c>
      <c r="AK68" s="11" t="str">
        <f t="shared" si="40"/>
        <v/>
      </c>
      <c r="AN68" s="13" t="str">
        <f t="shared" si="41"/>
        <v/>
      </c>
      <c r="AO68"/>
      <c r="AP68"/>
    </row>
    <row r="69" spans="2:42" x14ac:dyDescent="0.35">
      <c r="B69" s="6">
        <v>49</v>
      </c>
      <c r="C69" s="2" t="s">
        <v>22</v>
      </c>
      <c r="D69" s="6" t="e">
        <f t="shared" si="5"/>
        <v>#NUM!</v>
      </c>
      <c r="E69" s="6" t="e">
        <f t="shared" si="6"/>
        <v>#NUM!</v>
      </c>
      <c r="F69" s="6" t="e">
        <f t="shared" si="7"/>
        <v>#NUM!</v>
      </c>
      <c r="G69" s="6" t="e">
        <f t="shared" si="28"/>
        <v>#NUM!</v>
      </c>
      <c r="H69" s="10" t="e">
        <f t="shared" si="8"/>
        <v>#NUM!</v>
      </c>
      <c r="I69" s="10" t="e">
        <f t="shared" si="9"/>
        <v>#NUM!</v>
      </c>
      <c r="J69" s="10" t="e">
        <f t="shared" si="10"/>
        <v>#NUM!</v>
      </c>
      <c r="K69" s="10" t="e">
        <f t="shared" si="11"/>
        <v>#NUM!</v>
      </c>
      <c r="L69" s="10" t="e">
        <f t="shared" si="12"/>
        <v>#NUM!</v>
      </c>
      <c r="M69" s="10" t="e">
        <f t="shared" si="13"/>
        <v>#NUM!</v>
      </c>
      <c r="N69" s="10" t="e">
        <f t="shared" si="14"/>
        <v>#NUM!</v>
      </c>
      <c r="O69" s="11" t="e">
        <f>ROUND(( SUM(Table3231589[[#This Row],[I1]:[I3]]))*1000000, 0)</f>
        <v>#NUM!</v>
      </c>
      <c r="P69" s="11"/>
      <c r="Q69" s="11"/>
      <c r="R69" s="6">
        <v>49</v>
      </c>
      <c r="S69" s="6" t="e">
        <f t="shared" si="30"/>
        <v>#NUM!</v>
      </c>
      <c r="T69" s="6" t="e">
        <f t="shared" si="31"/>
        <v>#NUM!</v>
      </c>
      <c r="U69" s="6" t="e">
        <f t="shared" si="32"/>
        <v>#NUM!</v>
      </c>
      <c r="V69" s="10" t="e">
        <f t="shared" si="33"/>
        <v>#NUM!</v>
      </c>
      <c r="W69" s="10" t="e">
        <f t="shared" si="34"/>
        <v>#NUM!</v>
      </c>
      <c r="X69" s="10" t="e">
        <f t="shared" si="35"/>
        <v>#NUM!</v>
      </c>
      <c r="Y69" s="10" t="e">
        <f t="shared" si="36"/>
        <v>#NUM!</v>
      </c>
      <c r="Z69" s="10" t="e">
        <f t="shared" si="37"/>
        <v>#NUM!</v>
      </c>
      <c r="AA69" s="10" t="e">
        <f t="shared" si="38"/>
        <v>#NUM!</v>
      </c>
      <c r="AB69" s="10" t="e">
        <f t="shared" si="39"/>
        <v>#NUM!</v>
      </c>
      <c r="AC69" s="11" t="e">
        <f>ROUND((SUM(Table12[[#This Row],[II1]:[II3]]))*1000000, 0)</f>
        <v>#NUM!</v>
      </c>
      <c r="AD69" s="18"/>
      <c r="AE69" s="11"/>
      <c r="AF69" s="13" t="str">
        <f t="shared" si="29"/>
        <v/>
      </c>
      <c r="AG69"/>
      <c r="AI69" s="11"/>
      <c r="AJ69" s="6">
        <v>49</v>
      </c>
      <c r="AK69" s="11" t="str">
        <f t="shared" si="40"/>
        <v/>
      </c>
      <c r="AN69" s="13" t="str">
        <f t="shared" si="41"/>
        <v/>
      </c>
      <c r="AO69"/>
      <c r="AP69"/>
    </row>
    <row r="70" spans="2:42" x14ac:dyDescent="0.35">
      <c r="B70" s="6">
        <v>50</v>
      </c>
      <c r="C70" s="2" t="s">
        <v>22</v>
      </c>
      <c r="D70" s="6" t="e">
        <f t="shared" si="5"/>
        <v>#NUM!</v>
      </c>
      <c r="E70" s="6" t="e">
        <f t="shared" si="6"/>
        <v>#NUM!</v>
      </c>
      <c r="F70" s="6" t="e">
        <f t="shared" si="7"/>
        <v>#NUM!</v>
      </c>
      <c r="G70" s="6" t="e">
        <f t="shared" si="28"/>
        <v>#NUM!</v>
      </c>
      <c r="H70" s="10" t="e">
        <f t="shared" si="8"/>
        <v>#NUM!</v>
      </c>
      <c r="I70" s="10" t="e">
        <f t="shared" si="9"/>
        <v>#NUM!</v>
      </c>
      <c r="J70" s="10" t="e">
        <f t="shared" si="10"/>
        <v>#NUM!</v>
      </c>
      <c r="K70" s="10" t="e">
        <f t="shared" si="11"/>
        <v>#NUM!</v>
      </c>
      <c r="L70" s="10" t="e">
        <f t="shared" si="12"/>
        <v>#NUM!</v>
      </c>
      <c r="M70" s="10" t="e">
        <f t="shared" si="13"/>
        <v>#NUM!</v>
      </c>
      <c r="N70" s="10" t="e">
        <f t="shared" si="14"/>
        <v>#NUM!</v>
      </c>
      <c r="O70" s="11" t="e">
        <f>ROUND(( SUM(Table3231589[[#This Row],[I1]:[I3]]))*1000000, 0)</f>
        <v>#NUM!</v>
      </c>
      <c r="P70" s="11"/>
      <c r="Q70" s="11"/>
      <c r="R70" s="6">
        <v>50</v>
      </c>
      <c r="S70" s="6" t="e">
        <f t="shared" si="30"/>
        <v>#NUM!</v>
      </c>
      <c r="T70" s="6" t="e">
        <f t="shared" si="31"/>
        <v>#NUM!</v>
      </c>
      <c r="U70" s="6" t="e">
        <f t="shared" si="32"/>
        <v>#NUM!</v>
      </c>
      <c r="V70" s="10" t="e">
        <f t="shared" si="33"/>
        <v>#NUM!</v>
      </c>
      <c r="W70" s="10" t="e">
        <f t="shared" si="34"/>
        <v>#NUM!</v>
      </c>
      <c r="X70" s="10" t="e">
        <f t="shared" si="35"/>
        <v>#NUM!</v>
      </c>
      <c r="Y70" s="10" t="e">
        <f t="shared" si="36"/>
        <v>#NUM!</v>
      </c>
      <c r="Z70" s="10" t="e">
        <f t="shared" si="37"/>
        <v>#NUM!</v>
      </c>
      <c r="AA70" s="10" t="e">
        <f t="shared" si="38"/>
        <v>#NUM!</v>
      </c>
      <c r="AB70" s="10" t="e">
        <f t="shared" si="39"/>
        <v>#NUM!</v>
      </c>
      <c r="AC70" s="11" t="e">
        <f>ROUND((SUM(Table12[[#This Row],[II1]:[II3]]))*1000000, 0)</f>
        <v>#NUM!</v>
      </c>
      <c r="AD70" s="18"/>
      <c r="AE70" s="11"/>
      <c r="AF70" s="13" t="str">
        <f t="shared" si="29"/>
        <v/>
      </c>
      <c r="AG70"/>
      <c r="AI70" s="11"/>
      <c r="AJ70" s="6">
        <v>50</v>
      </c>
      <c r="AK70" s="11" t="str">
        <f t="shared" si="40"/>
        <v/>
      </c>
      <c r="AN70" s="13" t="str">
        <f t="shared" si="41"/>
        <v/>
      </c>
      <c r="AO70"/>
      <c r="AP70"/>
    </row>
    <row r="71" spans="2:42" x14ac:dyDescent="0.35">
      <c r="B71" s="6">
        <v>51</v>
      </c>
      <c r="C71" s="2" t="s">
        <v>22</v>
      </c>
      <c r="D71" s="6" t="e">
        <f t="shared" si="5"/>
        <v>#NUM!</v>
      </c>
      <c r="E71" s="6" t="e">
        <f t="shared" si="6"/>
        <v>#NUM!</v>
      </c>
      <c r="F71" s="6" t="e">
        <f t="shared" si="7"/>
        <v>#NUM!</v>
      </c>
      <c r="G71" s="6" t="e">
        <f t="shared" si="28"/>
        <v>#NUM!</v>
      </c>
      <c r="H71" s="10" t="e">
        <f t="shared" si="8"/>
        <v>#NUM!</v>
      </c>
      <c r="I71" s="10" t="e">
        <f t="shared" si="9"/>
        <v>#NUM!</v>
      </c>
      <c r="J71" s="10" t="e">
        <f t="shared" si="10"/>
        <v>#NUM!</v>
      </c>
      <c r="K71" s="10" t="e">
        <f t="shared" si="11"/>
        <v>#NUM!</v>
      </c>
      <c r="L71" s="10" t="e">
        <f t="shared" si="12"/>
        <v>#NUM!</v>
      </c>
      <c r="M71" s="10" t="e">
        <f t="shared" si="13"/>
        <v>#NUM!</v>
      </c>
      <c r="N71" s="10" t="e">
        <f t="shared" si="14"/>
        <v>#NUM!</v>
      </c>
      <c r="O71" s="11" t="e">
        <f>ROUND(( SUM(Table3231589[[#This Row],[I1]:[I3]]))*1000000, 0)</f>
        <v>#NUM!</v>
      </c>
      <c r="P71" s="11"/>
      <c r="Q71" s="11"/>
      <c r="R71" s="6">
        <v>51</v>
      </c>
      <c r="S71" s="6" t="e">
        <f t="shared" si="30"/>
        <v>#NUM!</v>
      </c>
      <c r="T71" s="6" t="e">
        <f t="shared" si="31"/>
        <v>#NUM!</v>
      </c>
      <c r="U71" s="6" t="e">
        <f t="shared" si="32"/>
        <v>#NUM!</v>
      </c>
      <c r="V71" s="10" t="e">
        <f t="shared" si="33"/>
        <v>#NUM!</v>
      </c>
      <c r="W71" s="10" t="e">
        <f t="shared" si="34"/>
        <v>#NUM!</v>
      </c>
      <c r="X71" s="10" t="e">
        <f t="shared" si="35"/>
        <v>#NUM!</v>
      </c>
      <c r="Y71" s="10" t="e">
        <f t="shared" si="36"/>
        <v>#NUM!</v>
      </c>
      <c r="Z71" s="10" t="e">
        <f t="shared" si="37"/>
        <v>#NUM!</v>
      </c>
      <c r="AA71" s="10" t="e">
        <f t="shared" si="38"/>
        <v>#NUM!</v>
      </c>
      <c r="AB71" s="10" t="e">
        <f t="shared" si="39"/>
        <v>#NUM!</v>
      </c>
      <c r="AC71" s="11" t="e">
        <f>ROUND((SUM(Table12[[#This Row],[II1]:[II3]]))*1000000, 0)</f>
        <v>#NUM!</v>
      </c>
      <c r="AD71" s="18"/>
      <c r="AE71" s="11"/>
      <c r="AF71" s="13" t="str">
        <f t="shared" si="29"/>
        <v/>
      </c>
      <c r="AG71"/>
      <c r="AI71" s="11"/>
      <c r="AJ71" s="6">
        <v>51</v>
      </c>
      <c r="AK71" s="11" t="str">
        <f t="shared" si="40"/>
        <v/>
      </c>
      <c r="AN71" s="13" t="str">
        <f t="shared" si="41"/>
        <v/>
      </c>
      <c r="AO71"/>
      <c r="AP71"/>
    </row>
    <row r="72" spans="2:42" x14ac:dyDescent="0.35">
      <c r="B72" s="6">
        <v>52</v>
      </c>
      <c r="C72" s="2" t="s">
        <v>22</v>
      </c>
      <c r="D72" s="6" t="e">
        <f t="shared" si="5"/>
        <v>#NUM!</v>
      </c>
      <c r="E72" s="6" t="e">
        <f t="shared" si="6"/>
        <v>#NUM!</v>
      </c>
      <c r="F72" s="6" t="e">
        <f t="shared" si="7"/>
        <v>#NUM!</v>
      </c>
      <c r="G72" s="6" t="e">
        <f t="shared" si="28"/>
        <v>#NUM!</v>
      </c>
      <c r="H72" s="10" t="e">
        <f t="shared" si="8"/>
        <v>#NUM!</v>
      </c>
      <c r="I72" s="10" t="e">
        <f t="shared" si="9"/>
        <v>#NUM!</v>
      </c>
      <c r="J72" s="10" t="e">
        <f t="shared" si="10"/>
        <v>#NUM!</v>
      </c>
      <c r="K72" s="10" t="e">
        <f t="shared" si="11"/>
        <v>#NUM!</v>
      </c>
      <c r="L72" s="10" t="e">
        <f t="shared" si="12"/>
        <v>#NUM!</v>
      </c>
      <c r="M72" s="10" t="e">
        <f t="shared" si="13"/>
        <v>#NUM!</v>
      </c>
      <c r="N72" s="10" t="e">
        <f t="shared" si="14"/>
        <v>#NUM!</v>
      </c>
      <c r="O72" s="11" t="e">
        <f>ROUND(( SUM(Table3231589[[#This Row],[I1]:[I3]]))*1000000, 0)</f>
        <v>#NUM!</v>
      </c>
      <c r="P72" s="11"/>
      <c r="Q72" s="11"/>
      <c r="R72" s="6">
        <v>52</v>
      </c>
      <c r="S72" s="6" t="e">
        <f t="shared" si="30"/>
        <v>#NUM!</v>
      </c>
      <c r="T72" s="6" t="e">
        <f t="shared" si="31"/>
        <v>#NUM!</v>
      </c>
      <c r="U72" s="6" t="e">
        <f t="shared" si="32"/>
        <v>#NUM!</v>
      </c>
      <c r="V72" s="10" t="e">
        <f t="shared" si="33"/>
        <v>#NUM!</v>
      </c>
      <c r="W72" s="10" t="e">
        <f t="shared" si="34"/>
        <v>#NUM!</v>
      </c>
      <c r="X72" s="10" t="e">
        <f t="shared" si="35"/>
        <v>#NUM!</v>
      </c>
      <c r="Y72" s="10" t="e">
        <f t="shared" si="36"/>
        <v>#NUM!</v>
      </c>
      <c r="Z72" s="10" t="e">
        <f t="shared" si="37"/>
        <v>#NUM!</v>
      </c>
      <c r="AA72" s="10" t="e">
        <f t="shared" si="38"/>
        <v>#NUM!</v>
      </c>
      <c r="AB72" s="10" t="e">
        <f t="shared" si="39"/>
        <v>#NUM!</v>
      </c>
      <c r="AC72" s="11" t="e">
        <f>ROUND((SUM(Table12[[#This Row],[II1]:[II3]]))*1000000, 0)</f>
        <v>#NUM!</v>
      </c>
      <c r="AD72" s="18"/>
      <c r="AE72" s="11"/>
      <c r="AF72" s="13" t="str">
        <f t="shared" si="29"/>
        <v/>
      </c>
      <c r="AG72"/>
      <c r="AI72" s="11"/>
      <c r="AJ72" s="6">
        <v>52</v>
      </c>
      <c r="AK72" s="11" t="str">
        <f t="shared" si="40"/>
        <v/>
      </c>
      <c r="AN72" s="13" t="str">
        <f t="shared" si="41"/>
        <v/>
      </c>
      <c r="AO72"/>
      <c r="AP72"/>
    </row>
    <row r="73" spans="2:42" x14ac:dyDescent="0.35">
      <c r="B73" s="6">
        <v>53</v>
      </c>
      <c r="C73" s="2" t="s">
        <v>22</v>
      </c>
      <c r="D73" s="6" t="e">
        <f t="shared" si="5"/>
        <v>#NUM!</v>
      </c>
      <c r="E73" s="6" t="e">
        <f t="shared" si="6"/>
        <v>#NUM!</v>
      </c>
      <c r="F73" s="6" t="e">
        <f t="shared" si="7"/>
        <v>#NUM!</v>
      </c>
      <c r="G73" s="6" t="e">
        <f t="shared" si="28"/>
        <v>#NUM!</v>
      </c>
      <c r="H73" s="10" t="e">
        <f t="shared" si="8"/>
        <v>#NUM!</v>
      </c>
      <c r="I73" s="10" t="e">
        <f t="shared" si="9"/>
        <v>#NUM!</v>
      </c>
      <c r="J73" s="10" t="e">
        <f t="shared" si="10"/>
        <v>#NUM!</v>
      </c>
      <c r="K73" s="10" t="e">
        <f t="shared" si="11"/>
        <v>#NUM!</v>
      </c>
      <c r="L73" s="10" t="e">
        <f t="shared" si="12"/>
        <v>#NUM!</v>
      </c>
      <c r="M73" s="10" t="e">
        <f t="shared" si="13"/>
        <v>#NUM!</v>
      </c>
      <c r="N73" s="10" t="e">
        <f t="shared" si="14"/>
        <v>#NUM!</v>
      </c>
      <c r="O73" s="11" t="e">
        <f>ROUND(( SUM(Table3231589[[#This Row],[I1]:[I3]]))*1000000, 0)</f>
        <v>#NUM!</v>
      </c>
      <c r="P73" s="11"/>
      <c r="Q73" s="11"/>
      <c r="R73" s="6">
        <v>53</v>
      </c>
      <c r="S73" s="6" t="e">
        <f t="shared" si="30"/>
        <v>#NUM!</v>
      </c>
      <c r="T73" s="6" t="e">
        <f t="shared" si="31"/>
        <v>#NUM!</v>
      </c>
      <c r="U73" s="6" t="e">
        <f t="shared" si="32"/>
        <v>#NUM!</v>
      </c>
      <c r="V73" s="10" t="e">
        <f t="shared" si="33"/>
        <v>#NUM!</v>
      </c>
      <c r="W73" s="10" t="e">
        <f t="shared" si="34"/>
        <v>#NUM!</v>
      </c>
      <c r="X73" s="10" t="e">
        <f t="shared" si="35"/>
        <v>#NUM!</v>
      </c>
      <c r="Y73" s="10" t="e">
        <f t="shared" si="36"/>
        <v>#NUM!</v>
      </c>
      <c r="Z73" s="10" t="e">
        <f t="shared" si="37"/>
        <v>#NUM!</v>
      </c>
      <c r="AA73" s="10" t="e">
        <f t="shared" si="38"/>
        <v>#NUM!</v>
      </c>
      <c r="AB73" s="10" t="e">
        <f t="shared" si="39"/>
        <v>#NUM!</v>
      </c>
      <c r="AC73" s="11" t="e">
        <f>ROUND((SUM(Table12[[#This Row],[II1]:[II3]]))*1000000, 0)</f>
        <v>#NUM!</v>
      </c>
      <c r="AD73" s="18"/>
      <c r="AE73" s="11"/>
      <c r="AF73" s="13" t="str">
        <f t="shared" si="29"/>
        <v/>
      </c>
      <c r="AG73"/>
      <c r="AI73" s="11"/>
      <c r="AJ73" s="6">
        <v>53</v>
      </c>
      <c r="AK73" s="11" t="str">
        <f t="shared" si="40"/>
        <v/>
      </c>
      <c r="AN73" s="13" t="str">
        <f t="shared" si="41"/>
        <v/>
      </c>
      <c r="AO73"/>
      <c r="AP73"/>
    </row>
    <row r="74" spans="2:42" x14ac:dyDescent="0.35">
      <c r="B74" s="6">
        <v>54</v>
      </c>
      <c r="C74" s="2" t="s">
        <v>22</v>
      </c>
      <c r="D74" s="6" t="e">
        <f t="shared" si="5"/>
        <v>#NUM!</v>
      </c>
      <c r="E74" s="6" t="e">
        <f t="shared" si="6"/>
        <v>#NUM!</v>
      </c>
      <c r="F74" s="6" t="e">
        <f t="shared" si="7"/>
        <v>#NUM!</v>
      </c>
      <c r="G74" s="6" t="e">
        <f t="shared" si="28"/>
        <v>#NUM!</v>
      </c>
      <c r="H74" s="10" t="e">
        <f t="shared" si="8"/>
        <v>#NUM!</v>
      </c>
      <c r="I74" s="10" t="e">
        <f t="shared" si="9"/>
        <v>#NUM!</v>
      </c>
      <c r="J74" s="10" t="e">
        <f t="shared" si="10"/>
        <v>#NUM!</v>
      </c>
      <c r="K74" s="10" t="e">
        <f t="shared" si="11"/>
        <v>#NUM!</v>
      </c>
      <c r="L74" s="10" t="e">
        <f t="shared" si="12"/>
        <v>#NUM!</v>
      </c>
      <c r="M74" s="10" t="e">
        <f t="shared" si="13"/>
        <v>#NUM!</v>
      </c>
      <c r="N74" s="10" t="e">
        <f t="shared" si="14"/>
        <v>#NUM!</v>
      </c>
      <c r="O74" s="11" t="e">
        <f>ROUND(( SUM(Table3231589[[#This Row],[I1]:[I3]]))*1000000, 0)</f>
        <v>#NUM!</v>
      </c>
      <c r="P74" s="11"/>
      <c r="Q74" s="11"/>
      <c r="R74" s="6">
        <v>54</v>
      </c>
      <c r="S74" s="6" t="e">
        <f t="shared" si="30"/>
        <v>#NUM!</v>
      </c>
      <c r="T74" s="6" t="e">
        <f t="shared" si="31"/>
        <v>#NUM!</v>
      </c>
      <c r="U74" s="6" t="e">
        <f t="shared" si="32"/>
        <v>#NUM!</v>
      </c>
      <c r="V74" s="10" t="e">
        <f t="shared" si="33"/>
        <v>#NUM!</v>
      </c>
      <c r="W74" s="10" t="e">
        <f t="shared" si="34"/>
        <v>#NUM!</v>
      </c>
      <c r="X74" s="10" t="e">
        <f t="shared" si="35"/>
        <v>#NUM!</v>
      </c>
      <c r="Y74" s="10" t="e">
        <f t="shared" si="36"/>
        <v>#NUM!</v>
      </c>
      <c r="Z74" s="10" t="e">
        <f t="shared" si="37"/>
        <v>#NUM!</v>
      </c>
      <c r="AA74" s="10" t="e">
        <f t="shared" si="38"/>
        <v>#NUM!</v>
      </c>
      <c r="AB74" s="10" t="e">
        <f t="shared" si="39"/>
        <v>#NUM!</v>
      </c>
      <c r="AC74" s="11" t="e">
        <f>ROUND((SUM(Table12[[#This Row],[II1]:[II3]]))*1000000, 0)</f>
        <v>#NUM!</v>
      </c>
      <c r="AD74" s="18"/>
      <c r="AE74" s="11"/>
      <c r="AF74" s="13" t="str">
        <f t="shared" si="29"/>
        <v/>
      </c>
      <c r="AG74"/>
      <c r="AI74" s="11"/>
      <c r="AJ74" s="6">
        <v>54</v>
      </c>
      <c r="AK74" s="11" t="str">
        <f t="shared" si="40"/>
        <v/>
      </c>
      <c r="AN74" s="13" t="str">
        <f t="shared" si="41"/>
        <v/>
      </c>
      <c r="AO74"/>
      <c r="AP74"/>
    </row>
    <row r="75" spans="2:42" x14ac:dyDescent="0.35">
      <c r="B75" s="6">
        <v>55</v>
      </c>
      <c r="C75" s="2" t="s">
        <v>22</v>
      </c>
      <c r="D75" s="6" t="e">
        <f t="shared" si="5"/>
        <v>#NUM!</v>
      </c>
      <c r="E75" s="6" t="e">
        <f t="shared" si="6"/>
        <v>#NUM!</v>
      </c>
      <c r="F75" s="6" t="e">
        <f t="shared" si="7"/>
        <v>#NUM!</v>
      </c>
      <c r="G75" s="6" t="e">
        <f t="shared" si="28"/>
        <v>#NUM!</v>
      </c>
      <c r="H75" s="10" t="e">
        <f t="shared" si="8"/>
        <v>#NUM!</v>
      </c>
      <c r="I75" s="10" t="e">
        <f t="shared" si="9"/>
        <v>#NUM!</v>
      </c>
      <c r="J75" s="10" t="e">
        <f t="shared" si="10"/>
        <v>#NUM!</v>
      </c>
      <c r="K75" s="10" t="e">
        <f t="shared" si="11"/>
        <v>#NUM!</v>
      </c>
      <c r="L75" s="10" t="e">
        <f t="shared" si="12"/>
        <v>#NUM!</v>
      </c>
      <c r="M75" s="10" t="e">
        <f t="shared" si="13"/>
        <v>#NUM!</v>
      </c>
      <c r="N75" s="10" t="e">
        <f t="shared" si="14"/>
        <v>#NUM!</v>
      </c>
      <c r="O75" s="11" t="e">
        <f>ROUND(( SUM(Table3231589[[#This Row],[I1]:[I3]]))*1000000, 0)</f>
        <v>#NUM!</v>
      </c>
      <c r="P75" s="11"/>
      <c r="Q75" s="11"/>
      <c r="R75" s="6">
        <v>55</v>
      </c>
      <c r="S75" s="6" t="e">
        <f t="shared" si="30"/>
        <v>#NUM!</v>
      </c>
      <c r="T75" s="6" t="e">
        <f t="shared" si="31"/>
        <v>#NUM!</v>
      </c>
      <c r="U75" s="6" t="e">
        <f t="shared" si="32"/>
        <v>#NUM!</v>
      </c>
      <c r="V75" s="10" t="e">
        <f t="shared" si="33"/>
        <v>#NUM!</v>
      </c>
      <c r="W75" s="10" t="e">
        <f t="shared" si="34"/>
        <v>#NUM!</v>
      </c>
      <c r="X75" s="10" t="e">
        <f t="shared" si="35"/>
        <v>#NUM!</v>
      </c>
      <c r="Y75" s="10" t="e">
        <f t="shared" si="36"/>
        <v>#NUM!</v>
      </c>
      <c r="Z75" s="10" t="e">
        <f t="shared" si="37"/>
        <v>#NUM!</v>
      </c>
      <c r="AA75" s="10" t="e">
        <f t="shared" si="38"/>
        <v>#NUM!</v>
      </c>
      <c r="AB75" s="10" t="e">
        <f t="shared" si="39"/>
        <v>#NUM!</v>
      </c>
      <c r="AC75" s="11" t="e">
        <f>ROUND((SUM(Table12[[#This Row],[II1]:[II3]]))*1000000, 0)</f>
        <v>#NUM!</v>
      </c>
      <c r="AD75" s="18"/>
      <c r="AE75" s="11"/>
      <c r="AF75" s="13" t="str">
        <f t="shared" si="29"/>
        <v/>
      </c>
      <c r="AG75"/>
      <c r="AI75" s="11"/>
      <c r="AJ75" s="6">
        <v>55</v>
      </c>
      <c r="AK75" s="11" t="str">
        <f t="shared" si="40"/>
        <v/>
      </c>
      <c r="AN75" s="13" t="str">
        <f t="shared" si="41"/>
        <v/>
      </c>
      <c r="AO75"/>
      <c r="AP75"/>
    </row>
    <row r="76" spans="2:42" x14ac:dyDescent="0.35">
      <c r="B76" s="6">
        <v>56</v>
      </c>
      <c r="C76" s="2" t="s">
        <v>22</v>
      </c>
      <c r="D76" s="6" t="e">
        <f t="shared" si="5"/>
        <v>#NUM!</v>
      </c>
      <c r="E76" s="6" t="e">
        <f t="shared" si="6"/>
        <v>#NUM!</v>
      </c>
      <c r="F76" s="6" t="e">
        <f t="shared" si="7"/>
        <v>#NUM!</v>
      </c>
      <c r="G76" s="6" t="e">
        <f t="shared" si="28"/>
        <v>#NUM!</v>
      </c>
      <c r="H76" s="10" t="e">
        <f t="shared" si="8"/>
        <v>#NUM!</v>
      </c>
      <c r="I76" s="10" t="e">
        <f t="shared" si="9"/>
        <v>#NUM!</v>
      </c>
      <c r="J76" s="10" t="e">
        <f t="shared" si="10"/>
        <v>#NUM!</v>
      </c>
      <c r="K76" s="10" t="e">
        <f t="shared" si="11"/>
        <v>#NUM!</v>
      </c>
      <c r="L76" s="10" t="e">
        <f t="shared" si="12"/>
        <v>#NUM!</v>
      </c>
      <c r="M76" s="10" t="e">
        <f t="shared" si="13"/>
        <v>#NUM!</v>
      </c>
      <c r="N76" s="10" t="e">
        <f t="shared" si="14"/>
        <v>#NUM!</v>
      </c>
      <c r="O76" s="11" t="e">
        <f>ROUND(( SUM(Table3231589[[#This Row],[I1]:[I3]]))*1000000, 0)</f>
        <v>#NUM!</v>
      </c>
      <c r="P76" s="11"/>
      <c r="Q76" s="11"/>
      <c r="R76" s="6">
        <v>56</v>
      </c>
      <c r="S76" s="6" t="e">
        <f t="shared" si="30"/>
        <v>#NUM!</v>
      </c>
      <c r="T76" s="6" t="e">
        <f t="shared" si="31"/>
        <v>#NUM!</v>
      </c>
      <c r="U76" s="6" t="e">
        <f t="shared" si="32"/>
        <v>#NUM!</v>
      </c>
      <c r="V76" s="10" t="e">
        <f t="shared" si="33"/>
        <v>#NUM!</v>
      </c>
      <c r="W76" s="10" t="e">
        <f t="shared" si="34"/>
        <v>#NUM!</v>
      </c>
      <c r="X76" s="10" t="e">
        <f t="shared" si="35"/>
        <v>#NUM!</v>
      </c>
      <c r="Y76" s="10" t="e">
        <f t="shared" si="36"/>
        <v>#NUM!</v>
      </c>
      <c r="Z76" s="10" t="e">
        <f t="shared" si="37"/>
        <v>#NUM!</v>
      </c>
      <c r="AA76" s="10" t="e">
        <f t="shared" si="38"/>
        <v>#NUM!</v>
      </c>
      <c r="AB76" s="10" t="e">
        <f t="shared" si="39"/>
        <v>#NUM!</v>
      </c>
      <c r="AC76" s="11" t="e">
        <f>ROUND((SUM(Table12[[#This Row],[II1]:[II3]]))*1000000, 0)</f>
        <v>#NUM!</v>
      </c>
      <c r="AD76" s="18"/>
      <c r="AE76" s="11"/>
      <c r="AF76" s="13" t="str">
        <f t="shared" si="29"/>
        <v/>
      </c>
      <c r="AG76"/>
      <c r="AI76" s="11"/>
      <c r="AJ76" s="6">
        <v>56</v>
      </c>
      <c r="AK76" s="11" t="str">
        <f t="shared" si="40"/>
        <v/>
      </c>
      <c r="AN76" s="13" t="str">
        <f t="shared" si="41"/>
        <v/>
      </c>
      <c r="AO76"/>
      <c r="AP76"/>
    </row>
    <row r="77" spans="2:42" x14ac:dyDescent="0.35">
      <c r="B77" s="6">
        <v>57</v>
      </c>
      <c r="C77" s="2" t="s">
        <v>22</v>
      </c>
      <c r="D77" s="6" t="e">
        <f t="shared" si="5"/>
        <v>#NUM!</v>
      </c>
      <c r="E77" s="6" t="e">
        <f t="shared" si="6"/>
        <v>#NUM!</v>
      </c>
      <c r="F77" s="6" t="e">
        <f t="shared" si="7"/>
        <v>#NUM!</v>
      </c>
      <c r="G77" s="6" t="e">
        <f t="shared" si="28"/>
        <v>#NUM!</v>
      </c>
      <c r="H77" s="10" t="e">
        <f t="shared" si="8"/>
        <v>#NUM!</v>
      </c>
      <c r="I77" s="10" t="e">
        <f t="shared" si="9"/>
        <v>#NUM!</v>
      </c>
      <c r="J77" s="10" t="e">
        <f t="shared" si="10"/>
        <v>#NUM!</v>
      </c>
      <c r="K77" s="10" t="e">
        <f t="shared" si="11"/>
        <v>#NUM!</v>
      </c>
      <c r="L77" s="10" t="e">
        <f t="shared" si="12"/>
        <v>#NUM!</v>
      </c>
      <c r="M77" s="10" t="e">
        <f t="shared" si="13"/>
        <v>#NUM!</v>
      </c>
      <c r="N77" s="10" t="e">
        <f t="shared" si="14"/>
        <v>#NUM!</v>
      </c>
      <c r="O77" s="11" t="e">
        <f>ROUND(( SUM(Table3231589[[#This Row],[I1]:[I3]]))*1000000, 0)</f>
        <v>#NUM!</v>
      </c>
      <c r="P77" s="11"/>
      <c r="Q77" s="11"/>
      <c r="R77" s="6">
        <v>57</v>
      </c>
      <c r="S77" s="6" t="e">
        <f t="shared" si="30"/>
        <v>#NUM!</v>
      </c>
      <c r="T77" s="6" t="e">
        <f t="shared" si="31"/>
        <v>#NUM!</v>
      </c>
      <c r="U77" s="6" t="e">
        <f t="shared" si="32"/>
        <v>#NUM!</v>
      </c>
      <c r="V77" s="10" t="e">
        <f t="shared" si="33"/>
        <v>#NUM!</v>
      </c>
      <c r="W77" s="10" t="e">
        <f t="shared" si="34"/>
        <v>#NUM!</v>
      </c>
      <c r="X77" s="10" t="e">
        <f t="shared" si="35"/>
        <v>#NUM!</v>
      </c>
      <c r="Y77" s="10" t="e">
        <f t="shared" si="36"/>
        <v>#NUM!</v>
      </c>
      <c r="Z77" s="10" t="e">
        <f t="shared" si="37"/>
        <v>#NUM!</v>
      </c>
      <c r="AA77" s="10" t="e">
        <f t="shared" si="38"/>
        <v>#NUM!</v>
      </c>
      <c r="AB77" s="10" t="e">
        <f t="shared" si="39"/>
        <v>#NUM!</v>
      </c>
      <c r="AC77" s="11" t="e">
        <f>ROUND((SUM(Table12[[#This Row],[II1]:[II3]]))*1000000, 0)</f>
        <v>#NUM!</v>
      </c>
      <c r="AD77" s="18"/>
      <c r="AE77" s="11"/>
      <c r="AF77" s="13" t="str">
        <f t="shared" si="29"/>
        <v/>
      </c>
      <c r="AG77"/>
      <c r="AI77" s="11"/>
      <c r="AJ77" s="6">
        <v>57</v>
      </c>
      <c r="AK77" s="11" t="str">
        <f t="shared" si="40"/>
        <v/>
      </c>
      <c r="AN77" s="13" t="str">
        <f t="shared" si="41"/>
        <v/>
      </c>
      <c r="AO77"/>
      <c r="AP77"/>
    </row>
    <row r="78" spans="2:42" x14ac:dyDescent="0.35">
      <c r="B78" s="6">
        <v>58</v>
      </c>
      <c r="C78" s="2" t="s">
        <v>22</v>
      </c>
      <c r="D78" s="6" t="e">
        <f t="shared" si="5"/>
        <v>#NUM!</v>
      </c>
      <c r="E78" s="6" t="e">
        <f t="shared" si="6"/>
        <v>#NUM!</v>
      </c>
      <c r="F78" s="6" t="e">
        <f t="shared" si="7"/>
        <v>#NUM!</v>
      </c>
      <c r="G78" s="6" t="e">
        <f t="shared" si="28"/>
        <v>#NUM!</v>
      </c>
      <c r="H78" s="10" t="e">
        <f t="shared" si="8"/>
        <v>#NUM!</v>
      </c>
      <c r="I78" s="10" t="e">
        <f t="shared" si="9"/>
        <v>#NUM!</v>
      </c>
      <c r="J78" s="10" t="e">
        <f t="shared" si="10"/>
        <v>#NUM!</v>
      </c>
      <c r="K78" s="10" t="e">
        <f t="shared" si="11"/>
        <v>#NUM!</v>
      </c>
      <c r="L78" s="10" t="e">
        <f t="shared" si="12"/>
        <v>#NUM!</v>
      </c>
      <c r="M78" s="10" t="e">
        <f t="shared" si="13"/>
        <v>#NUM!</v>
      </c>
      <c r="N78" s="10" t="e">
        <f t="shared" si="14"/>
        <v>#NUM!</v>
      </c>
      <c r="O78" s="11" t="e">
        <f>ROUND(( SUM(Table3231589[[#This Row],[I1]:[I3]]))*1000000, 0)</f>
        <v>#NUM!</v>
      </c>
      <c r="P78" s="11"/>
      <c r="Q78" s="11"/>
      <c r="R78" s="6">
        <v>58</v>
      </c>
      <c r="S78" s="6" t="e">
        <f t="shared" si="30"/>
        <v>#NUM!</v>
      </c>
      <c r="T78" s="6" t="e">
        <f t="shared" si="31"/>
        <v>#NUM!</v>
      </c>
      <c r="U78" s="6" t="e">
        <f t="shared" si="32"/>
        <v>#NUM!</v>
      </c>
      <c r="V78" s="10" t="e">
        <f t="shared" si="33"/>
        <v>#NUM!</v>
      </c>
      <c r="W78" s="10" t="e">
        <f t="shared" si="34"/>
        <v>#NUM!</v>
      </c>
      <c r="X78" s="10" t="e">
        <f t="shared" si="35"/>
        <v>#NUM!</v>
      </c>
      <c r="Y78" s="10" t="e">
        <f t="shared" si="36"/>
        <v>#NUM!</v>
      </c>
      <c r="Z78" s="10" t="e">
        <f t="shared" si="37"/>
        <v>#NUM!</v>
      </c>
      <c r="AA78" s="10" t="e">
        <f t="shared" si="38"/>
        <v>#NUM!</v>
      </c>
      <c r="AB78" s="10" t="e">
        <f t="shared" si="39"/>
        <v>#NUM!</v>
      </c>
      <c r="AC78" s="11" t="e">
        <f>ROUND((SUM(Table12[[#This Row],[II1]:[II3]]))*1000000, 0)</f>
        <v>#NUM!</v>
      </c>
      <c r="AD78" s="18"/>
      <c r="AE78" s="11"/>
      <c r="AF78" s="13" t="str">
        <f t="shared" si="29"/>
        <v/>
      </c>
      <c r="AG78"/>
      <c r="AI78" s="11"/>
      <c r="AJ78" s="6">
        <v>58</v>
      </c>
      <c r="AK78" s="11" t="str">
        <f t="shared" si="40"/>
        <v/>
      </c>
      <c r="AN78" s="13" t="str">
        <f t="shared" si="41"/>
        <v/>
      </c>
      <c r="AO78"/>
      <c r="AP78"/>
    </row>
    <row r="79" spans="2:42" x14ac:dyDescent="0.35">
      <c r="B79" s="6">
        <v>59</v>
      </c>
      <c r="C79" s="2" t="s">
        <v>22</v>
      </c>
      <c r="D79" s="6" t="e">
        <f t="shared" si="5"/>
        <v>#NUM!</v>
      </c>
      <c r="E79" s="6" t="e">
        <f t="shared" si="6"/>
        <v>#NUM!</v>
      </c>
      <c r="F79" s="6" t="e">
        <f t="shared" si="7"/>
        <v>#NUM!</v>
      </c>
      <c r="G79" s="6" t="e">
        <f t="shared" si="28"/>
        <v>#NUM!</v>
      </c>
      <c r="H79" s="10" t="e">
        <f t="shared" si="8"/>
        <v>#NUM!</v>
      </c>
      <c r="I79" s="10" t="e">
        <f t="shared" si="9"/>
        <v>#NUM!</v>
      </c>
      <c r="J79" s="10" t="e">
        <f t="shared" si="10"/>
        <v>#NUM!</v>
      </c>
      <c r="K79" s="10" t="e">
        <f t="shared" si="11"/>
        <v>#NUM!</v>
      </c>
      <c r="L79" s="10" t="e">
        <f t="shared" si="12"/>
        <v>#NUM!</v>
      </c>
      <c r="M79" s="10" t="e">
        <f t="shared" si="13"/>
        <v>#NUM!</v>
      </c>
      <c r="N79" s="10" t="e">
        <f t="shared" si="14"/>
        <v>#NUM!</v>
      </c>
      <c r="O79" s="11" t="e">
        <f>ROUND(( SUM(Table3231589[[#This Row],[I1]:[I3]]))*1000000, 0)</f>
        <v>#NUM!</v>
      </c>
      <c r="P79" s="11"/>
      <c r="Q79" s="11"/>
      <c r="R79" s="6">
        <v>59</v>
      </c>
      <c r="S79" s="6" t="e">
        <f t="shared" si="30"/>
        <v>#NUM!</v>
      </c>
      <c r="T79" s="6" t="e">
        <f t="shared" si="31"/>
        <v>#NUM!</v>
      </c>
      <c r="U79" s="6" t="e">
        <f t="shared" si="32"/>
        <v>#NUM!</v>
      </c>
      <c r="V79" s="10" t="e">
        <f t="shared" si="33"/>
        <v>#NUM!</v>
      </c>
      <c r="W79" s="10" t="e">
        <f t="shared" si="34"/>
        <v>#NUM!</v>
      </c>
      <c r="X79" s="10" t="e">
        <f t="shared" si="35"/>
        <v>#NUM!</v>
      </c>
      <c r="Y79" s="10" t="e">
        <f t="shared" si="36"/>
        <v>#NUM!</v>
      </c>
      <c r="Z79" s="10" t="e">
        <f t="shared" si="37"/>
        <v>#NUM!</v>
      </c>
      <c r="AA79" s="10" t="e">
        <f t="shared" si="38"/>
        <v>#NUM!</v>
      </c>
      <c r="AB79" s="10" t="e">
        <f t="shared" si="39"/>
        <v>#NUM!</v>
      </c>
      <c r="AC79" s="11" t="e">
        <f>ROUND((SUM(Table12[[#This Row],[II1]:[II3]]))*1000000, 0)</f>
        <v>#NUM!</v>
      </c>
      <c r="AD79" s="18"/>
      <c r="AE79" s="11"/>
      <c r="AF79" s="13">
        <f>IF(ISBLANK(AE79), 0, COUNTIF($J$20:$J$83,AE79))</f>
        <v>0</v>
      </c>
      <c r="AG79"/>
      <c r="AI79" s="11"/>
      <c r="AJ79" s="6">
        <v>59</v>
      </c>
      <c r="AK79" s="11" t="str">
        <f t="shared" si="40"/>
        <v/>
      </c>
      <c r="AN79" s="13" t="str">
        <f t="shared" si="41"/>
        <v/>
      </c>
      <c r="AO79"/>
      <c r="AP79"/>
    </row>
    <row r="80" spans="2:42" x14ac:dyDescent="0.35">
      <c r="B80" s="6">
        <v>60</v>
      </c>
      <c r="C80" s="2" t="s">
        <v>22</v>
      </c>
      <c r="D80" s="6" t="e">
        <f t="shared" si="5"/>
        <v>#NUM!</v>
      </c>
      <c r="E80" s="6" t="e">
        <f t="shared" si="6"/>
        <v>#NUM!</v>
      </c>
      <c r="F80" s="6" t="e">
        <f t="shared" si="7"/>
        <v>#NUM!</v>
      </c>
      <c r="G80" s="6" t="e">
        <f t="shared" si="28"/>
        <v>#NUM!</v>
      </c>
      <c r="H80" s="10" t="e">
        <f t="shared" si="8"/>
        <v>#NUM!</v>
      </c>
      <c r="I80" s="10" t="e">
        <f t="shared" si="9"/>
        <v>#NUM!</v>
      </c>
      <c r="J80" s="10" t="e">
        <f t="shared" si="10"/>
        <v>#NUM!</v>
      </c>
      <c r="K80" s="10" t="e">
        <f t="shared" si="11"/>
        <v>#NUM!</v>
      </c>
      <c r="L80" s="10" t="e">
        <f t="shared" si="12"/>
        <v>#NUM!</v>
      </c>
      <c r="M80" s="10" t="e">
        <f t="shared" si="13"/>
        <v>#NUM!</v>
      </c>
      <c r="N80" s="10" t="e">
        <f t="shared" si="14"/>
        <v>#NUM!</v>
      </c>
      <c r="O80" s="11" t="e">
        <f>ROUND(( SUM(Table3231589[[#This Row],[I1]:[I3]]))*1000000, 0)</f>
        <v>#NUM!</v>
      </c>
      <c r="P80" s="11"/>
      <c r="Q80" s="11"/>
      <c r="R80" s="6">
        <v>60</v>
      </c>
      <c r="S80" s="6" t="e">
        <f t="shared" si="30"/>
        <v>#NUM!</v>
      </c>
      <c r="T80" s="6" t="e">
        <f t="shared" si="31"/>
        <v>#NUM!</v>
      </c>
      <c r="U80" s="6" t="e">
        <f t="shared" si="32"/>
        <v>#NUM!</v>
      </c>
      <c r="V80" s="10" t="e">
        <f t="shared" si="33"/>
        <v>#NUM!</v>
      </c>
      <c r="W80" s="10" t="e">
        <f t="shared" si="34"/>
        <v>#NUM!</v>
      </c>
      <c r="X80" s="10" t="e">
        <f t="shared" si="35"/>
        <v>#NUM!</v>
      </c>
      <c r="Y80" s="10" t="e">
        <f t="shared" si="36"/>
        <v>#NUM!</v>
      </c>
      <c r="Z80" s="10" t="e">
        <f t="shared" si="37"/>
        <v>#NUM!</v>
      </c>
      <c r="AA80" s="10" t="e">
        <f t="shared" si="38"/>
        <v>#NUM!</v>
      </c>
      <c r="AB80" s="10" t="e">
        <f t="shared" si="39"/>
        <v>#NUM!</v>
      </c>
      <c r="AC80" s="11" t="e">
        <f>ROUND((SUM(Table12[[#This Row],[II1]:[II3]]))*1000000, 0)</f>
        <v>#NUM!</v>
      </c>
      <c r="AD80" s="18"/>
      <c r="AE80" s="11"/>
      <c r="AF80" s="13">
        <f>IF(ISBLANK(AE80), 0, COUNTIF($J$20:$J$83,AE80))</f>
        <v>0</v>
      </c>
      <c r="AG80"/>
      <c r="AI80" s="11"/>
      <c r="AJ80" s="6">
        <v>60</v>
      </c>
      <c r="AK80" s="11" t="str">
        <f t="shared" si="40"/>
        <v/>
      </c>
      <c r="AN80" s="13" t="str">
        <f t="shared" si="41"/>
        <v/>
      </c>
      <c r="AO80"/>
      <c r="AP80"/>
    </row>
    <row r="81" spans="2:42" x14ac:dyDescent="0.35">
      <c r="B81" s="6">
        <v>61</v>
      </c>
      <c r="C81" s="2" t="s">
        <v>22</v>
      </c>
      <c r="D81" s="6" t="e">
        <f t="shared" si="5"/>
        <v>#NUM!</v>
      </c>
      <c r="E81" s="6" t="e">
        <f t="shared" si="6"/>
        <v>#NUM!</v>
      </c>
      <c r="F81" s="6" t="e">
        <f t="shared" si="7"/>
        <v>#NUM!</v>
      </c>
      <c r="G81" s="6" t="e">
        <f t="shared" si="28"/>
        <v>#NUM!</v>
      </c>
      <c r="H81" s="10" t="e">
        <f t="shared" si="8"/>
        <v>#NUM!</v>
      </c>
      <c r="I81" s="10" t="e">
        <f t="shared" si="9"/>
        <v>#NUM!</v>
      </c>
      <c r="J81" s="10" t="e">
        <f t="shared" si="10"/>
        <v>#NUM!</v>
      </c>
      <c r="K81" s="10" t="e">
        <f t="shared" si="11"/>
        <v>#NUM!</v>
      </c>
      <c r="L81" s="10" t="e">
        <f t="shared" si="12"/>
        <v>#NUM!</v>
      </c>
      <c r="M81" s="10" t="e">
        <f t="shared" si="13"/>
        <v>#NUM!</v>
      </c>
      <c r="N81" s="10" t="e">
        <f t="shared" si="14"/>
        <v>#NUM!</v>
      </c>
      <c r="O81" s="11" t="e">
        <f>ROUND(( SUM(Table3231589[[#This Row],[I1]:[I3]]))*1000000, 0)</f>
        <v>#NUM!</v>
      </c>
      <c r="P81" s="11"/>
      <c r="Q81" s="11"/>
      <c r="R81" s="6">
        <v>61</v>
      </c>
      <c r="S81" s="6" t="e">
        <f t="shared" si="30"/>
        <v>#NUM!</v>
      </c>
      <c r="T81" s="6" t="e">
        <f t="shared" si="31"/>
        <v>#NUM!</v>
      </c>
      <c r="U81" s="6" t="e">
        <f t="shared" si="32"/>
        <v>#NUM!</v>
      </c>
      <c r="V81" s="10" t="e">
        <f t="shared" si="33"/>
        <v>#NUM!</v>
      </c>
      <c r="W81" s="10" t="e">
        <f t="shared" si="34"/>
        <v>#NUM!</v>
      </c>
      <c r="X81" s="10" t="e">
        <f t="shared" si="35"/>
        <v>#NUM!</v>
      </c>
      <c r="Y81" s="10" t="e">
        <f t="shared" si="36"/>
        <v>#NUM!</v>
      </c>
      <c r="Z81" s="10" t="e">
        <f t="shared" si="37"/>
        <v>#NUM!</v>
      </c>
      <c r="AA81" s="10" t="e">
        <f t="shared" si="38"/>
        <v>#NUM!</v>
      </c>
      <c r="AB81" s="10" t="e">
        <f t="shared" si="39"/>
        <v>#NUM!</v>
      </c>
      <c r="AC81" s="11" t="e">
        <f>ROUND((SUM(Table12[[#This Row],[II1]:[II3]]))*1000000, 0)</f>
        <v>#NUM!</v>
      </c>
      <c r="AD81" s="18"/>
      <c r="AE81" s="11"/>
      <c r="AF81" s="13">
        <f>IF(ISBLANK(AE81), 0, COUNTIF($J$20:$J$83,AE81))</f>
        <v>0</v>
      </c>
      <c r="AG81"/>
      <c r="AI81" s="11"/>
      <c r="AJ81" s="6">
        <v>61</v>
      </c>
      <c r="AK81" s="11" t="str">
        <f t="shared" si="40"/>
        <v/>
      </c>
      <c r="AN81" s="13" t="str">
        <f t="shared" si="41"/>
        <v/>
      </c>
      <c r="AO81"/>
      <c r="AP81"/>
    </row>
    <row r="82" spans="2:42" x14ac:dyDescent="0.35">
      <c r="B82" s="6">
        <v>62</v>
      </c>
      <c r="C82" s="2" t="s">
        <v>22</v>
      </c>
      <c r="D82" s="6" t="e">
        <f t="shared" si="5"/>
        <v>#NUM!</v>
      </c>
      <c r="E82" s="6" t="e">
        <f t="shared" si="6"/>
        <v>#NUM!</v>
      </c>
      <c r="F82" s="6" t="e">
        <f t="shared" si="7"/>
        <v>#NUM!</v>
      </c>
      <c r="G82" s="6" t="e">
        <f t="shared" si="28"/>
        <v>#NUM!</v>
      </c>
      <c r="H82" s="10" t="e">
        <f t="shared" si="8"/>
        <v>#NUM!</v>
      </c>
      <c r="I82" s="10" t="e">
        <f t="shared" si="9"/>
        <v>#NUM!</v>
      </c>
      <c r="J82" s="10" t="e">
        <f t="shared" si="10"/>
        <v>#NUM!</v>
      </c>
      <c r="K82" s="10" t="e">
        <f t="shared" si="11"/>
        <v>#NUM!</v>
      </c>
      <c r="L82" s="10" t="e">
        <f t="shared" si="12"/>
        <v>#NUM!</v>
      </c>
      <c r="M82" s="10" t="e">
        <f t="shared" si="13"/>
        <v>#NUM!</v>
      </c>
      <c r="N82" s="10" t="e">
        <f t="shared" si="14"/>
        <v>#NUM!</v>
      </c>
      <c r="O82" s="11" t="e">
        <f>ROUND(( SUM(Table3231589[[#This Row],[I1]:[I3]]))*1000000, 0)</f>
        <v>#NUM!</v>
      </c>
      <c r="P82" s="11"/>
      <c r="Q82" s="11"/>
      <c r="R82" s="6">
        <v>62</v>
      </c>
      <c r="S82" s="6" t="e">
        <f t="shared" si="30"/>
        <v>#NUM!</v>
      </c>
      <c r="T82" s="6" t="e">
        <f t="shared" si="31"/>
        <v>#NUM!</v>
      </c>
      <c r="U82" s="6" t="e">
        <f t="shared" si="32"/>
        <v>#NUM!</v>
      </c>
      <c r="V82" s="10" t="e">
        <f t="shared" si="33"/>
        <v>#NUM!</v>
      </c>
      <c r="W82" s="10" t="e">
        <f t="shared" si="34"/>
        <v>#NUM!</v>
      </c>
      <c r="X82" s="10" t="e">
        <f t="shared" si="35"/>
        <v>#NUM!</v>
      </c>
      <c r="Y82" s="10" t="e">
        <f t="shared" si="36"/>
        <v>#NUM!</v>
      </c>
      <c r="Z82" s="10" t="e">
        <f t="shared" si="37"/>
        <v>#NUM!</v>
      </c>
      <c r="AA82" s="10" t="e">
        <f t="shared" si="38"/>
        <v>#NUM!</v>
      </c>
      <c r="AB82" s="10" t="e">
        <f t="shared" si="39"/>
        <v>#NUM!</v>
      </c>
      <c r="AC82" s="11" t="e">
        <f>ROUND((SUM(Table12[[#This Row],[II1]:[II3]]))*1000000, 0)</f>
        <v>#NUM!</v>
      </c>
      <c r="AD82" s="18"/>
      <c r="AE82" s="11"/>
      <c r="AF82" s="13">
        <f>IF(ISBLANK(AE82), 0, COUNTIF($J$20:$J$83,AE82))</f>
        <v>0</v>
      </c>
      <c r="AG82"/>
      <c r="AI82" s="11"/>
      <c r="AJ82" s="6">
        <v>62</v>
      </c>
      <c r="AK82" s="11" t="str">
        <f t="shared" si="40"/>
        <v/>
      </c>
      <c r="AN82" s="13" t="str">
        <f t="shared" si="41"/>
        <v/>
      </c>
      <c r="AO82"/>
      <c r="AP82"/>
    </row>
    <row r="83" spans="2:42" x14ac:dyDescent="0.35">
      <c r="B83" s="6">
        <v>63</v>
      </c>
      <c r="C83" s="2" t="s">
        <v>22</v>
      </c>
      <c r="D83" s="6" t="e">
        <f t="shared" si="5"/>
        <v>#NUM!</v>
      </c>
      <c r="E83" s="6" t="e">
        <f t="shared" si="6"/>
        <v>#NUM!</v>
      </c>
      <c r="F83" s="6" t="e">
        <f t="shared" si="7"/>
        <v>#NUM!</v>
      </c>
      <c r="G83" s="6" t="e">
        <f t="shared" si="28"/>
        <v>#NUM!</v>
      </c>
      <c r="H83" s="10" t="e">
        <f t="shared" si="8"/>
        <v>#NUM!</v>
      </c>
      <c r="I83" s="10" t="e">
        <f t="shared" si="9"/>
        <v>#NUM!</v>
      </c>
      <c r="J83" s="10" t="e">
        <f t="shared" si="10"/>
        <v>#NUM!</v>
      </c>
      <c r="K83" s="10" t="e">
        <f t="shared" si="11"/>
        <v>#NUM!</v>
      </c>
      <c r="L83" s="10" t="e">
        <f t="shared" si="12"/>
        <v>#NUM!</v>
      </c>
      <c r="M83" s="10" t="e">
        <f t="shared" si="13"/>
        <v>#NUM!</v>
      </c>
      <c r="N83" s="10" t="e">
        <f t="shared" si="14"/>
        <v>#NUM!</v>
      </c>
      <c r="O83" s="11" t="e">
        <f>ROUND(( SUM(Table3231589[[#This Row],[I1]:[I3]]))*1000000, 0)</f>
        <v>#NUM!</v>
      </c>
      <c r="P83" s="11"/>
      <c r="Q83" s="11"/>
      <c r="R83" s="6">
        <v>63</v>
      </c>
      <c r="S83" s="6" t="e">
        <f t="shared" si="30"/>
        <v>#NUM!</v>
      </c>
      <c r="T83" s="6" t="e">
        <f t="shared" si="31"/>
        <v>#NUM!</v>
      </c>
      <c r="U83" s="6" t="e">
        <f t="shared" si="32"/>
        <v>#NUM!</v>
      </c>
      <c r="V83" s="10" t="e">
        <f t="shared" si="33"/>
        <v>#NUM!</v>
      </c>
      <c r="W83" s="10" t="e">
        <f t="shared" si="34"/>
        <v>#NUM!</v>
      </c>
      <c r="X83" s="10" t="e">
        <f t="shared" si="35"/>
        <v>#NUM!</v>
      </c>
      <c r="Y83" s="10" t="e">
        <f t="shared" si="36"/>
        <v>#NUM!</v>
      </c>
      <c r="Z83" s="10" t="e">
        <f t="shared" si="37"/>
        <v>#NUM!</v>
      </c>
      <c r="AA83" s="10" t="e">
        <f t="shared" si="38"/>
        <v>#NUM!</v>
      </c>
      <c r="AB83" s="10" t="e">
        <f t="shared" si="39"/>
        <v>#NUM!</v>
      </c>
      <c r="AC83" s="11" t="e">
        <f>ROUND((SUM(Table12[[#This Row],[II1]:[II3]]))*1000000, 0)</f>
        <v>#NUM!</v>
      </c>
      <c r="AD83" s="18"/>
      <c r="AE83" s="11"/>
      <c r="AF83" s="13">
        <f>IF(ISBLANK(AE83), 0, COUNTIF($J$20:$J$83,AE83))</f>
        <v>0</v>
      </c>
      <c r="AG83"/>
      <c r="AI83" s="11"/>
      <c r="AJ83" s="6">
        <v>63</v>
      </c>
      <c r="AK83" s="11" t="str">
        <f>IF(ISBLANK(AK84),"",AK84-AH83)</f>
        <v/>
      </c>
      <c r="AN83" s="13" t="str">
        <f t="shared" si="41"/>
        <v/>
      </c>
      <c r="AO83"/>
      <c r="AP83"/>
    </row>
  </sheetData>
  <phoneticPr fontId="5" type="noConversion"/>
  <conditionalFormatting sqref="O20:P20 O36:P83 O21:O35">
    <cfRule type="duplicateValues" dxfId="9" priority="3"/>
  </conditionalFormatting>
  <conditionalFormatting sqref="AC20:AC83">
    <cfRule type="duplicateValues" dxfId="8" priority="2"/>
  </conditionalFormatting>
  <hyperlinks>
    <hyperlink ref="AW7" r:id="rId1" display="R@" xr:uid="{489B256A-5F2F-4C55-922F-4FF052241FDE}"/>
    <hyperlink ref="AX7" r:id="rId2" display="R@" xr:uid="{367A289E-E91E-401C-BBF7-1BF69A1B4668}"/>
    <hyperlink ref="AY7" r:id="rId3" display="R@" xr:uid="{D8DA27B7-872A-4244-A3BF-EDE1905F4757}"/>
    <hyperlink ref="AZ7" r:id="rId4" display="R@" xr:uid="{B7083A73-CCB4-4FF0-9241-6C52DEA5738D}"/>
    <hyperlink ref="BA7" r:id="rId5" display="R@" xr:uid="{428F6DFE-FCBB-49D4-91F7-0C97DD273F27}"/>
    <hyperlink ref="BE7" r:id="rId6" display="R@" xr:uid="{3EA70927-F052-47F6-89C4-70E0D9A3AD8F}"/>
    <hyperlink ref="BF7" r:id="rId7" display="R@" xr:uid="{300D586A-DF19-4F45-985E-2567FE0F740A}"/>
    <hyperlink ref="BG7" r:id="rId8" display="R@" xr:uid="{921C3FFD-FAF7-469D-A14B-720D5F8F22DF}"/>
    <hyperlink ref="BH7" r:id="rId9" display="R@" xr:uid="{43AB5B27-4B04-4628-A708-E66F17EE053D}"/>
    <hyperlink ref="BI7" r:id="rId10" display="R@" xr:uid="{9C72B245-9F46-47B5-ABCC-BFDBE5659B21}"/>
    <hyperlink ref="BL7" r:id="rId11" display="R@" xr:uid="{630019AE-7CC3-446C-8F6B-DB6B2BEA43DE}"/>
    <hyperlink ref="BM7" r:id="rId12" display="R@" xr:uid="{E717AF8D-F9B9-4622-972B-98313E7C041E}"/>
    <hyperlink ref="BN7" r:id="rId13" display="R@" xr:uid="{8D603AE5-32D3-4D4E-BB81-4877793C87B6}"/>
    <hyperlink ref="BO7" r:id="rId14" display="R@" xr:uid="{6AD61347-C8AA-4173-9966-9A67F6BA36F8}"/>
    <hyperlink ref="BP7" r:id="rId15" display="R@" xr:uid="{27DF08B0-6C0C-4FD5-B4C9-3E5758BE6D3F}"/>
    <hyperlink ref="BS7" r:id="rId16" display="R@" xr:uid="{F9BA11D2-24FA-4CBA-9B03-89EC6D9C8731}"/>
    <hyperlink ref="BT7" r:id="rId17" display="R@" xr:uid="{9FE06E43-F28B-477B-B622-F00FB71B69F5}"/>
    <hyperlink ref="BU7" r:id="rId18" display="R@" xr:uid="{C6A9AF5D-941F-4E3C-A152-095B222279A6}"/>
    <hyperlink ref="BV7" r:id="rId19" display="R@" xr:uid="{53879DFE-0F6A-456B-8E6C-954A222D319C}"/>
    <hyperlink ref="BW7" r:id="rId20" display="R@" xr:uid="{8887E728-3215-4D1B-BCC1-40D4DEC398B2}"/>
    <hyperlink ref="BZ7" r:id="rId21" display="R@" xr:uid="{6EEECE32-6B45-4A27-8714-3FAC4B3C9927}"/>
    <hyperlink ref="CA7" r:id="rId22" display="R@" xr:uid="{66FC40ED-16B1-4464-B864-CBC3832F944C}"/>
    <hyperlink ref="CB7" r:id="rId23" display="R@" xr:uid="{C0F5EED6-9DEC-4272-9C03-8813580545FF}"/>
    <hyperlink ref="CC7" r:id="rId24" display="R@" xr:uid="{6B798172-701E-411C-B31E-E794F03E8111}"/>
    <hyperlink ref="CD7" r:id="rId25" display="R@" xr:uid="{F7A53214-DEDF-453C-A66F-F577ACCF9706}"/>
    <hyperlink ref="CG7" r:id="rId26" display="R@" xr:uid="{32CF2DB1-2330-453A-AC73-E1859689C74E}"/>
    <hyperlink ref="CH7" r:id="rId27" display="R@" xr:uid="{9C71EB32-9123-4081-AF14-66F94F9B8E9F}"/>
    <hyperlink ref="CI7" r:id="rId28" display="R@" xr:uid="{04FE92EB-3ADA-43D1-A633-02700C734F3C}"/>
    <hyperlink ref="CJ7" r:id="rId29" display="R@" xr:uid="{CE73C7DB-913A-4542-B1A4-6A36705FD831}"/>
    <hyperlink ref="CK7" r:id="rId30" display="R@" xr:uid="{13988554-BD95-4198-9E86-F984BC12D59D}"/>
    <hyperlink ref="E10" r:id="rId31" display="R@" xr:uid="{0642B9C3-CEC6-4DA7-ACF7-3A104FF755DB}"/>
    <hyperlink ref="F10" r:id="rId32" display="R@" xr:uid="{C7FE9F4B-EB68-4948-AC22-4642D08C8136}"/>
    <hyperlink ref="BD20" r:id="rId33" display="R@" xr:uid="{68C83EF4-BC94-4A43-87A1-4EF91D156894}"/>
    <hyperlink ref="BE20" r:id="rId34" display="R@" xr:uid="{119E5880-1BF9-458F-8F36-6BB31DB53ECD}"/>
    <hyperlink ref="BF20" r:id="rId35" display="R@" xr:uid="{FFF01E0B-0C63-49AB-B584-528A3143E677}"/>
    <hyperlink ref="BG20" r:id="rId36" display="R@" xr:uid="{3CC9DFBD-6619-4392-B7F7-3858A064347A}"/>
    <hyperlink ref="BH20" r:id="rId37" display="R@" xr:uid="{B06B6E0E-4655-41A4-BF81-6DA8357373F2}"/>
    <hyperlink ref="CN7" r:id="rId38" display="R@" xr:uid="{5E216359-1476-4AAA-8BE2-27C04F14D11F}"/>
    <hyperlink ref="CO7" r:id="rId39" display="R@" xr:uid="{B619FEC1-CD3D-40A7-A252-F2637ACAAFBF}"/>
    <hyperlink ref="CP7" r:id="rId40" display="R@" xr:uid="{20429BC0-45C0-4EF8-8EF8-EA2A653A5C4A}"/>
    <hyperlink ref="CQ7" r:id="rId41" display="R@" xr:uid="{44FAA89F-C6C6-4A70-A359-F2C8922FE9D5}"/>
    <hyperlink ref="CR7" r:id="rId42" display="R@" xr:uid="{FDCDA020-152F-4D94-9C7A-9515280E0531}"/>
    <hyperlink ref="CS7" r:id="rId43" display="R@" xr:uid="{FA92405F-80E6-449E-A9ED-9E636C50FB4B}"/>
    <hyperlink ref="E2" r:id="rId44" display="R@" xr:uid="{A08B91DF-7B77-442F-B982-BF65F95E8110}"/>
    <hyperlink ref="F2" r:id="rId45" display="R@" xr:uid="{60132F04-3745-4241-BF8F-A7F37A990535}"/>
    <hyperlink ref="CV7" r:id="rId46" display="R@" xr:uid="{451B80DA-FF30-4AEC-9F2D-0F332200F317}"/>
    <hyperlink ref="CW7" r:id="rId47" display="R@" xr:uid="{19CCAB66-3A91-456D-AC67-20DFAA051B9D}"/>
    <hyperlink ref="CX7" r:id="rId48" display="R@" xr:uid="{6AF6B450-75BD-4C4B-8CE9-41C09F0AD3AB}"/>
    <hyperlink ref="CY7" r:id="rId49" display="R@" xr:uid="{E4843044-9ECA-4B5E-9BC0-4CBAC9D788B8}"/>
    <hyperlink ref="CZ7" r:id="rId50" display="R@" xr:uid="{00CCFC4C-399E-45B6-9B77-32CE50B4BEAA}"/>
    <hyperlink ref="DA7" r:id="rId51" display="R@" xr:uid="{4BA1905F-AB0B-432F-BDB2-8B9DD73A44DC}"/>
    <hyperlink ref="DD7" r:id="rId52" display="R@" xr:uid="{0BF4C007-6328-4BF9-BEEC-EB3FA684908C}"/>
    <hyperlink ref="DE7" r:id="rId53" display="R@" xr:uid="{3C980917-70E0-43C6-B996-D083280246C5}"/>
    <hyperlink ref="DF7" r:id="rId54" display="R@" xr:uid="{4E750A12-8103-4998-A5A6-030B05F150BA}"/>
    <hyperlink ref="DG7" r:id="rId55" display="R@" xr:uid="{6FFB6A8D-F866-46D9-9BF8-7CB035C9D64C}"/>
    <hyperlink ref="DH7" r:id="rId56" display="R@" xr:uid="{EE920076-A093-47E8-A6A9-C306F20EE67F}"/>
    <hyperlink ref="DI7" r:id="rId57" display="R@" xr:uid="{50DBD583-AC90-43C0-A3AB-8C28C6E68C9B}"/>
    <hyperlink ref="DL7" r:id="rId58" display="R@" xr:uid="{128FE877-6709-4DE8-B7B9-DF37243CDAB0}"/>
    <hyperlink ref="DM7" r:id="rId59" display="R@" xr:uid="{30EBB850-DF7E-4757-8AE4-792F0EEDB90E}"/>
    <hyperlink ref="DN7" r:id="rId60" display="R@" xr:uid="{0B4EB216-91F9-420B-8B1D-0878C137524D}"/>
    <hyperlink ref="DO7" r:id="rId61" display="R@" xr:uid="{587B90EB-14F1-4870-AC32-791C8B4CEF45}"/>
    <hyperlink ref="DP7" r:id="rId62" display="R@" xr:uid="{FACA7CBA-36C4-41C8-9E9A-42C0A5421388}"/>
    <hyperlink ref="DQ7" r:id="rId63" display="R@" xr:uid="{160ADDFB-B371-461A-B4D7-EB437E761D99}"/>
    <hyperlink ref="J10" r:id="rId64" display="R@" xr:uid="{E01A36AB-F91A-4BA4-B427-30E95703E73C}"/>
    <hyperlink ref="I10" r:id="rId65" display="R@" xr:uid="{C17C5B40-645B-4829-BD9D-19E571CBE80F}"/>
    <hyperlink ref="H10" r:id="rId66" display="R@" xr:uid="{B384DE85-9636-434B-8536-9E371288A9D7}"/>
    <hyperlink ref="G10" r:id="rId67" display="R@" xr:uid="{B0451B18-0C10-4109-B1DD-B5934E48D2EC}"/>
  </hyperlinks>
  <pageMargins left="0.7" right="0.7" top="0.75" bottom="0.75" header="0.3" footer="0.3"/>
  <drawing r:id="rId68"/>
  <tableParts count="2">
    <tablePart r:id="rId69"/>
    <tablePart r:id="rId70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D35AA-B021-4ACD-9A1D-BD2654003AEE}">
  <dimension ref="B2:DO83"/>
  <sheetViews>
    <sheetView workbookViewId="0">
      <selection activeCell="J14" sqref="J14"/>
    </sheetView>
  </sheetViews>
  <sheetFormatPr defaultRowHeight="14.5" x14ac:dyDescent="0.35"/>
  <cols>
    <col min="2" max="2" width="6.7265625" style="6" bestFit="1" customWidth="1"/>
    <col min="3" max="3" width="12.1796875" customWidth="1"/>
    <col min="4" max="5" width="10.54296875" bestFit="1" customWidth="1"/>
    <col min="6" max="6" width="9.26953125" bestFit="1" customWidth="1"/>
    <col min="7" max="9" width="10.54296875" bestFit="1" customWidth="1"/>
    <col min="10" max="10" width="13.1796875" style="10" customWidth="1"/>
    <col min="11" max="11" width="10.54296875" style="10" bestFit="1" customWidth="1"/>
    <col min="12" max="12" width="6.7265625" style="10" bestFit="1" customWidth="1"/>
    <col min="13" max="13" width="9.453125" style="10" bestFit="1" customWidth="1"/>
    <col min="14" max="14" width="12" style="10" bestFit="1" customWidth="1"/>
    <col min="15" max="15" width="9.54296875" style="10" bestFit="1" customWidth="1"/>
    <col min="16" max="16" width="11.81640625" style="6" bestFit="1" customWidth="1"/>
    <col min="17" max="17" width="9.26953125" style="10" bestFit="1" customWidth="1"/>
    <col min="18" max="18" width="19.1796875" style="10" bestFit="1" customWidth="1"/>
    <col min="19" max="19" width="12.26953125" style="10" bestFit="1" customWidth="1"/>
    <col min="20" max="20" width="19.1796875" style="10" bestFit="1" customWidth="1"/>
    <col min="21" max="21" width="13.54296875" style="10" bestFit="1" customWidth="1"/>
    <col min="22" max="22" width="10.1796875" style="10" bestFit="1" customWidth="1"/>
    <col min="23" max="25" width="10.54296875" style="10" customWidth="1"/>
    <col min="26" max="27" width="10.54296875" style="10" bestFit="1" customWidth="1"/>
    <col min="28" max="28" width="19.26953125" style="10" customWidth="1"/>
    <col min="29" max="29" width="10.54296875" style="10" customWidth="1"/>
    <col min="30" max="30" width="10" style="11" bestFit="1" customWidth="1"/>
    <col min="31" max="31" width="19.1796875" style="11" bestFit="1" customWidth="1"/>
    <col min="32" max="32" width="14.7265625" style="11" bestFit="1" customWidth="1"/>
    <col min="33" max="33" width="9.54296875" style="13" bestFit="1" customWidth="1"/>
    <col min="35" max="35" width="7.81640625" style="11" bestFit="1" customWidth="1"/>
    <col min="36" max="37" width="7.81640625" style="11" customWidth="1"/>
    <col min="38" max="39" width="10.81640625" style="11" customWidth="1"/>
    <col min="40" max="40" width="9.1796875" style="11"/>
  </cols>
  <sheetData>
    <row r="2" spans="3:119" x14ac:dyDescent="0.35">
      <c r="C2" s="15" t="s">
        <v>10</v>
      </c>
      <c r="D2" s="5" t="s">
        <v>11</v>
      </c>
      <c r="E2" s="5" t="s">
        <v>13</v>
      </c>
      <c r="F2" s="7"/>
      <c r="G2" s="15" t="s">
        <v>10</v>
      </c>
      <c r="H2" s="5" t="s">
        <v>11</v>
      </c>
      <c r="I2" s="5" t="s">
        <v>13</v>
      </c>
    </row>
    <row r="3" spans="3:119" x14ac:dyDescent="0.35">
      <c r="C3">
        <v>7</v>
      </c>
      <c r="D3">
        <v>7</v>
      </c>
      <c r="E3">
        <v>7</v>
      </c>
      <c r="G3">
        <v>100</v>
      </c>
      <c r="H3">
        <v>100</v>
      </c>
      <c r="I3">
        <v>100</v>
      </c>
      <c r="J3"/>
      <c r="K3"/>
      <c r="L3"/>
      <c r="M3"/>
      <c r="N3"/>
      <c r="O3"/>
      <c r="Q3"/>
      <c r="S3"/>
      <c r="T3"/>
      <c r="U3" s="6"/>
      <c r="V3"/>
      <c r="W3"/>
      <c r="X3"/>
      <c r="Y3"/>
    </row>
    <row r="4" spans="3:119" x14ac:dyDescent="0.35">
      <c r="C4">
        <v>7</v>
      </c>
      <c r="D4">
        <v>30</v>
      </c>
      <c r="E4">
        <v>100</v>
      </c>
      <c r="G4">
        <v>7</v>
      </c>
      <c r="H4">
        <v>100</v>
      </c>
      <c r="I4">
        <v>100</v>
      </c>
      <c r="J4"/>
      <c r="K4"/>
      <c r="L4"/>
      <c r="M4"/>
      <c r="N4"/>
      <c r="O4"/>
      <c r="Q4"/>
      <c r="R4"/>
      <c r="S4"/>
      <c r="T4"/>
      <c r="U4" s="6"/>
      <c r="V4"/>
      <c r="W4"/>
      <c r="X4"/>
      <c r="Y4"/>
    </row>
    <row r="5" spans="3:119" x14ac:dyDescent="0.35">
      <c r="C5">
        <v>30</v>
      </c>
      <c r="D5">
        <v>100</v>
      </c>
      <c r="E5">
        <v>100</v>
      </c>
      <c r="G5">
        <v>7</v>
      </c>
      <c r="H5">
        <v>7</v>
      </c>
      <c r="I5">
        <v>100</v>
      </c>
      <c r="J5"/>
      <c r="K5"/>
      <c r="L5"/>
      <c r="M5"/>
      <c r="N5"/>
      <c r="O5"/>
      <c r="Q5"/>
      <c r="R5"/>
      <c r="S5"/>
      <c r="T5"/>
      <c r="U5" s="6"/>
      <c r="V5"/>
      <c r="W5"/>
      <c r="X5"/>
      <c r="Y5"/>
    </row>
    <row r="6" spans="3:119" x14ac:dyDescent="0.35">
      <c r="J6"/>
      <c r="K6"/>
      <c r="L6"/>
      <c r="Q6"/>
      <c r="R6"/>
      <c r="S6"/>
      <c r="T6"/>
      <c r="U6" s="6"/>
      <c r="V6"/>
      <c r="W6"/>
      <c r="X6"/>
      <c r="Y6"/>
    </row>
    <row r="7" spans="3:119" x14ac:dyDescent="0.35">
      <c r="J7"/>
      <c r="K7"/>
      <c r="L7"/>
      <c r="Q7"/>
      <c r="R7"/>
      <c r="S7"/>
      <c r="T7"/>
      <c r="U7" s="6"/>
      <c r="V7"/>
      <c r="W7"/>
      <c r="X7"/>
      <c r="Y7"/>
      <c r="AT7" s="27"/>
      <c r="AU7" s="7"/>
      <c r="AV7" s="7"/>
      <c r="AW7" s="7"/>
      <c r="AX7" s="7"/>
      <c r="AY7" s="7"/>
      <c r="BB7" s="27"/>
      <c r="BC7" s="7"/>
      <c r="BD7" s="7"/>
      <c r="BE7" s="7"/>
      <c r="BF7" s="7"/>
      <c r="BG7" s="7"/>
      <c r="BI7" s="27"/>
      <c r="BJ7" s="7"/>
      <c r="BK7" s="7"/>
      <c r="BL7" s="7"/>
      <c r="BM7" s="7"/>
      <c r="BN7" s="7"/>
      <c r="BP7" s="27"/>
      <c r="BQ7" s="7"/>
      <c r="BR7" s="7"/>
      <c r="BS7" s="7"/>
      <c r="BT7" s="7"/>
      <c r="BU7" s="7"/>
      <c r="BW7" s="27"/>
      <c r="BX7" s="7"/>
      <c r="BY7" s="7"/>
      <c r="BZ7" s="7"/>
      <c r="CA7" s="7"/>
      <c r="CB7" s="7"/>
      <c r="CD7" s="27"/>
      <c r="CE7" s="7"/>
      <c r="CF7" s="7"/>
      <c r="CG7" s="7"/>
      <c r="CH7" s="7"/>
      <c r="CI7" s="7"/>
      <c r="CK7" s="27"/>
      <c r="CL7" s="7"/>
      <c r="CM7" s="7"/>
      <c r="CN7" s="7"/>
      <c r="CO7" s="7"/>
      <c r="CP7" s="7"/>
      <c r="CQ7" s="7"/>
      <c r="CS7" s="27"/>
      <c r="CT7" s="7"/>
      <c r="CU7" s="7"/>
      <c r="CV7" s="7"/>
      <c r="CW7" s="7"/>
      <c r="CX7" s="7"/>
      <c r="CY7" s="7"/>
      <c r="DA7" s="27"/>
      <c r="DB7" s="7"/>
      <c r="DC7" s="7"/>
      <c r="DD7" s="7"/>
      <c r="DE7" s="7"/>
      <c r="DF7" s="7"/>
      <c r="DG7" s="7"/>
      <c r="DI7" s="27"/>
      <c r="DJ7" s="7"/>
      <c r="DK7" s="7"/>
      <c r="DL7" s="7"/>
      <c r="DM7" s="7"/>
      <c r="DN7" s="7"/>
      <c r="DO7" s="7"/>
    </row>
    <row r="8" spans="3:119" x14ac:dyDescent="0.35">
      <c r="J8"/>
      <c r="K8"/>
      <c r="L8"/>
      <c r="Q8"/>
      <c r="R8"/>
      <c r="S8"/>
      <c r="T8"/>
      <c r="U8" s="6"/>
      <c r="V8"/>
      <c r="W8"/>
      <c r="X8"/>
      <c r="Y8"/>
    </row>
    <row r="9" spans="3:119" x14ac:dyDescent="0.35">
      <c r="K9"/>
      <c r="L9"/>
      <c r="Q9"/>
      <c r="R9"/>
      <c r="S9"/>
      <c r="T9"/>
      <c r="U9" s="6"/>
      <c r="V9"/>
      <c r="W9"/>
      <c r="X9"/>
      <c r="Y9"/>
    </row>
    <row r="10" spans="3:119" x14ac:dyDescent="0.35">
      <c r="C10" s="16" t="s">
        <v>7</v>
      </c>
      <c r="D10" s="9" t="s">
        <v>8</v>
      </c>
      <c r="E10" s="9" t="s">
        <v>12</v>
      </c>
      <c r="F10" s="28"/>
      <c r="G10" s="16" t="s">
        <v>7</v>
      </c>
      <c r="H10" s="9" t="s">
        <v>8</v>
      </c>
      <c r="I10" s="9" t="s">
        <v>12</v>
      </c>
      <c r="K10"/>
      <c r="L10"/>
      <c r="O10"/>
      <c r="Q10"/>
      <c r="R10"/>
      <c r="S10"/>
      <c r="T10"/>
      <c r="U10" s="6"/>
      <c r="V10"/>
      <c r="W10"/>
      <c r="X10"/>
      <c r="Y10"/>
    </row>
    <row r="11" spans="3:119" x14ac:dyDescent="0.35">
      <c r="C11" s="10">
        <f>0.2/(C3*1000)</f>
        <v>2.8571428571428574E-5</v>
      </c>
      <c r="D11" s="10">
        <f t="shared" ref="D11:E11" si="0">0.2/(D3*1000)</f>
        <v>2.8571428571428574E-5</v>
      </c>
      <c r="E11" s="10">
        <f t="shared" si="0"/>
        <v>2.8571428571428574E-5</v>
      </c>
      <c r="F11" s="10"/>
      <c r="G11" s="10">
        <f t="shared" ref="G11:I13" si="1">0.2/(G3*1000)</f>
        <v>1.9999999999999999E-6</v>
      </c>
      <c r="H11" s="10">
        <f t="shared" si="1"/>
        <v>1.9999999999999999E-6</v>
      </c>
      <c r="I11" s="10">
        <f t="shared" si="1"/>
        <v>1.9999999999999999E-6</v>
      </c>
      <c r="K11"/>
      <c r="L11"/>
      <c r="M11"/>
      <c r="O11"/>
      <c r="Q11"/>
      <c r="R11"/>
      <c r="S11"/>
      <c r="T11"/>
      <c r="U11"/>
      <c r="V11"/>
      <c r="W11"/>
      <c r="X11"/>
      <c r="Y11"/>
    </row>
    <row r="12" spans="3:119" x14ac:dyDescent="0.35">
      <c r="C12" s="10">
        <f t="shared" ref="C12:E13" si="2">0.2/(C4*1000)</f>
        <v>2.8571428571428574E-5</v>
      </c>
      <c r="D12" s="10">
        <f t="shared" si="2"/>
        <v>6.6666666666666666E-6</v>
      </c>
      <c r="E12" s="10">
        <f t="shared" si="2"/>
        <v>1.9999999999999999E-6</v>
      </c>
      <c r="F12" s="10"/>
      <c r="G12" s="10">
        <f t="shared" si="1"/>
        <v>2.8571428571428574E-5</v>
      </c>
      <c r="H12" s="10">
        <f t="shared" si="1"/>
        <v>1.9999999999999999E-6</v>
      </c>
      <c r="I12" s="10">
        <f t="shared" si="1"/>
        <v>1.9999999999999999E-6</v>
      </c>
      <c r="K12"/>
      <c r="L12"/>
      <c r="M12"/>
      <c r="O12"/>
      <c r="Q12"/>
      <c r="R12"/>
      <c r="S12"/>
      <c r="T12"/>
      <c r="U12"/>
      <c r="V12"/>
      <c r="W12"/>
      <c r="X12"/>
      <c r="Y12"/>
    </row>
    <row r="13" spans="3:119" x14ac:dyDescent="0.35">
      <c r="C13" s="10">
        <f t="shared" si="2"/>
        <v>6.6666666666666666E-6</v>
      </c>
      <c r="D13" s="10">
        <f t="shared" si="2"/>
        <v>1.9999999999999999E-6</v>
      </c>
      <c r="E13" s="10">
        <f t="shared" si="2"/>
        <v>1.9999999999999999E-6</v>
      </c>
      <c r="F13" s="10"/>
      <c r="G13" s="10">
        <f t="shared" si="1"/>
        <v>2.8571428571428574E-5</v>
      </c>
      <c r="H13" s="10">
        <f t="shared" si="1"/>
        <v>2.8571428571428574E-5</v>
      </c>
      <c r="I13" s="10">
        <f t="shared" si="1"/>
        <v>1.9999999999999999E-6</v>
      </c>
    </row>
    <row r="14" spans="3:119" x14ac:dyDescent="0.35">
      <c r="F14" s="10"/>
      <c r="G14" s="10"/>
      <c r="H14" s="10"/>
      <c r="I14" s="10"/>
    </row>
    <row r="15" spans="3:119" x14ac:dyDescent="0.35">
      <c r="F15" s="10"/>
      <c r="G15" s="10"/>
      <c r="H15" s="10"/>
      <c r="I15" s="10"/>
    </row>
    <row r="16" spans="3:119" x14ac:dyDescent="0.35">
      <c r="F16" s="10"/>
      <c r="G16" s="10"/>
      <c r="H16" s="10"/>
      <c r="I16" s="10"/>
    </row>
    <row r="17" spans="2:48" x14ac:dyDescent="0.35">
      <c r="I17" s="10"/>
    </row>
    <row r="19" spans="2:48" s="2" customFormat="1" x14ac:dyDescent="0.35">
      <c r="B19" s="3" t="s">
        <v>6</v>
      </c>
      <c r="C19" s="3" t="s">
        <v>5</v>
      </c>
      <c r="D19" s="3" t="s">
        <v>0</v>
      </c>
      <c r="E19" s="3" t="s">
        <v>1</v>
      </c>
      <c r="F19" s="8" t="s">
        <v>7</v>
      </c>
      <c r="G19" s="8" t="s">
        <v>8</v>
      </c>
      <c r="H19" s="8" t="s">
        <v>12</v>
      </c>
      <c r="I19" s="12" t="s">
        <v>37</v>
      </c>
      <c r="J19" s="12" t="s">
        <v>54</v>
      </c>
      <c r="L19" s="3" t="s">
        <v>6</v>
      </c>
      <c r="M19" s="3" t="s">
        <v>51</v>
      </c>
      <c r="N19" s="3" t="s">
        <v>3</v>
      </c>
      <c r="O19" s="3" t="s">
        <v>4</v>
      </c>
      <c r="P19" s="8" t="s">
        <v>43</v>
      </c>
      <c r="Q19" s="8" t="s">
        <v>44</v>
      </c>
      <c r="R19" s="8" t="s">
        <v>45</v>
      </c>
      <c r="S19" s="12" t="s">
        <v>50</v>
      </c>
      <c r="T19" s="8" t="s">
        <v>36</v>
      </c>
      <c r="U19" s="8" t="s">
        <v>57</v>
      </c>
    </row>
    <row r="20" spans="2:48" x14ac:dyDescent="0.35">
      <c r="B20" s="6">
        <v>0</v>
      </c>
      <c r="C20" s="6" t="str">
        <f t="shared" ref="C20:C27" si="3">LEFT(RIGHT(DEC2BIN($B20,3),3),1)</f>
        <v>0</v>
      </c>
      <c r="D20" s="6" t="str">
        <f t="shared" ref="D20:D27" si="4">LEFT(RIGHT(DEC2BIN($B20,3),2),1)</f>
        <v>0</v>
      </c>
      <c r="E20" s="6" t="str">
        <f t="shared" ref="E20:E27" si="5">LEFT(RIGHT(DEC2BIN($B20,3),1),1)</f>
        <v>0</v>
      </c>
      <c r="F20" s="10">
        <f t="shared" ref="F20:F27" si="6">(($C20*$C$11)+($D20*$C$12)+($E20*$C$13))</f>
        <v>0</v>
      </c>
      <c r="G20" s="10">
        <f t="shared" ref="G20:G27" si="7">(($C20*$D$11)+($D20*$D$12)+($E20*$D$13))</f>
        <v>0</v>
      </c>
      <c r="H20" s="10">
        <f t="shared" ref="H20:H27" si="8">(($C20*$E$11)+($D20*$E$12)+($E20*$E$13))</f>
        <v>0</v>
      </c>
      <c r="I20" s="11">
        <f>ROUND(( SUM(Table323158910[[#This Row],[I1]:[I3]]))*1000000, 0)</f>
        <v>0</v>
      </c>
      <c r="J20" s="26" t="s">
        <v>55</v>
      </c>
      <c r="K20" s="11"/>
      <c r="L20" s="6">
        <v>0</v>
      </c>
      <c r="M20" s="6" t="str">
        <f t="shared" ref="M20:M27" si="9">LEFT(RIGHT(DEC2BIN($L20,3),3),1)</f>
        <v>0</v>
      </c>
      <c r="N20" s="6" t="str">
        <f t="shared" ref="N20:N27" si="10">LEFT(RIGHT(DEC2BIN($L20,3),2),1)</f>
        <v>0</v>
      </c>
      <c r="O20" s="6" t="str">
        <f t="shared" ref="O20:O27" si="11">LEFT(RIGHT(DEC2BIN($L20,3),1),1)</f>
        <v>0</v>
      </c>
      <c r="P20" s="10">
        <f t="shared" ref="P20:P27" si="12">(($M20*$G$11)+($N20*$G$12)+($O20*$G$13))</f>
        <v>0</v>
      </c>
      <c r="Q20" s="10">
        <f t="shared" ref="Q20:Q27" si="13">(($M20*$H$11)+($N20*$H$12)+($O20*$H$13))</f>
        <v>0</v>
      </c>
      <c r="R20" s="10">
        <f t="shared" ref="R20:R27" si="14">(($M20*$I$11)+($N20*$I$12)+($O20*$I$13))</f>
        <v>0</v>
      </c>
      <c r="S20" s="11">
        <f>ROUND((SUM(Table1211[[#This Row],[II1]:[II3]]))*1000000, 0)</f>
        <v>0</v>
      </c>
      <c r="T20" s="18" t="s">
        <v>55</v>
      </c>
      <c r="U20" s="10" t="s">
        <v>56</v>
      </c>
      <c r="V20" s="11"/>
      <c r="W20" s="11"/>
      <c r="X20" s="6"/>
      <c r="Y20" s="11"/>
      <c r="Z20" s="11"/>
      <c r="AA20" s="11"/>
      <c r="AB20" s="13"/>
      <c r="AC20"/>
      <c r="AD20"/>
      <c r="AE20"/>
      <c r="AF20"/>
      <c r="AG20"/>
      <c r="AI20"/>
      <c r="AJ20"/>
      <c r="AK20"/>
      <c r="AL20"/>
      <c r="AM20"/>
      <c r="AN20"/>
      <c r="AQ20" s="27"/>
      <c r="AR20" s="7"/>
      <c r="AS20" s="7"/>
      <c r="AT20" s="7"/>
      <c r="AU20" s="7"/>
      <c r="AV20" s="7"/>
    </row>
    <row r="21" spans="2:48" x14ac:dyDescent="0.35">
      <c r="B21" s="6">
        <v>1</v>
      </c>
      <c r="C21" s="6" t="str">
        <f t="shared" si="3"/>
        <v>0</v>
      </c>
      <c r="D21" s="6" t="str">
        <f t="shared" si="4"/>
        <v>0</v>
      </c>
      <c r="E21" s="6" t="str">
        <f t="shared" si="5"/>
        <v>1</v>
      </c>
      <c r="F21" s="10">
        <f t="shared" si="6"/>
        <v>6.6666666666666666E-6</v>
      </c>
      <c r="G21" s="10">
        <f t="shared" si="7"/>
        <v>1.9999999999999999E-6</v>
      </c>
      <c r="H21" s="10">
        <f t="shared" si="8"/>
        <v>1.9999999999999999E-6</v>
      </c>
      <c r="I21" s="11">
        <f>ROUND(( SUM(Table323158910[[#This Row],[I1]:[I3]]))*1000000, 0)</f>
        <v>11</v>
      </c>
      <c r="J21" s="2" t="s">
        <v>19</v>
      </c>
      <c r="K21" s="11"/>
      <c r="L21" s="6">
        <v>4</v>
      </c>
      <c r="M21" s="6" t="str">
        <f t="shared" si="9"/>
        <v>1</v>
      </c>
      <c r="N21" s="6" t="str">
        <f t="shared" si="10"/>
        <v>0</v>
      </c>
      <c r="O21" s="6" t="str">
        <f t="shared" si="11"/>
        <v>0</v>
      </c>
      <c r="P21" s="10">
        <f t="shared" si="12"/>
        <v>1.9999999999999999E-6</v>
      </c>
      <c r="Q21" s="10">
        <f t="shared" si="13"/>
        <v>1.9999999999999999E-6</v>
      </c>
      <c r="R21" s="10">
        <f t="shared" si="14"/>
        <v>1.9999999999999999E-6</v>
      </c>
      <c r="S21" s="11">
        <f>ROUND((SUM(Table1211[[#This Row],[II1]:[II3]]))*1000000, 0)</f>
        <v>6</v>
      </c>
      <c r="T21" s="18" t="s">
        <v>18</v>
      </c>
      <c r="V21" s="11"/>
      <c r="W21" s="11"/>
      <c r="X21" s="6"/>
      <c r="Y21" s="11"/>
      <c r="Z21" s="11"/>
      <c r="AA21" s="11"/>
      <c r="AB21" s="13"/>
      <c r="AC21"/>
      <c r="AD21"/>
      <c r="AE21"/>
      <c r="AF21"/>
      <c r="AG21"/>
      <c r="AI21"/>
      <c r="AJ21"/>
      <c r="AK21"/>
      <c r="AL21"/>
      <c r="AM21"/>
      <c r="AN21"/>
    </row>
    <row r="22" spans="2:48" x14ac:dyDescent="0.35">
      <c r="B22" s="6">
        <v>2</v>
      </c>
      <c r="C22" s="6" t="str">
        <f t="shared" si="3"/>
        <v>0</v>
      </c>
      <c r="D22" s="6" t="str">
        <f t="shared" si="4"/>
        <v>1</v>
      </c>
      <c r="E22" s="6" t="str">
        <f t="shared" si="5"/>
        <v>0</v>
      </c>
      <c r="F22" s="10">
        <f t="shared" si="6"/>
        <v>2.8571428571428574E-5</v>
      </c>
      <c r="G22" s="10">
        <f t="shared" si="7"/>
        <v>6.6666666666666666E-6</v>
      </c>
      <c r="H22" s="10">
        <f t="shared" si="8"/>
        <v>1.9999999999999999E-6</v>
      </c>
      <c r="I22" s="11">
        <f>ROUND(( SUM(Table323158910[[#This Row],[I1]:[I3]]))*1000000, 0)</f>
        <v>37</v>
      </c>
      <c r="J22" s="26" t="s">
        <v>21</v>
      </c>
      <c r="K22" s="11"/>
      <c r="L22" s="6">
        <v>2</v>
      </c>
      <c r="M22" s="6" t="str">
        <f t="shared" si="9"/>
        <v>0</v>
      </c>
      <c r="N22" s="6" t="str">
        <f t="shared" si="10"/>
        <v>1</v>
      </c>
      <c r="O22" s="6" t="str">
        <f t="shared" si="11"/>
        <v>0</v>
      </c>
      <c r="P22" s="10">
        <f t="shared" si="12"/>
        <v>2.8571428571428574E-5</v>
      </c>
      <c r="Q22" s="10">
        <f t="shared" si="13"/>
        <v>1.9999999999999999E-6</v>
      </c>
      <c r="R22" s="10">
        <f t="shared" si="14"/>
        <v>1.9999999999999999E-6</v>
      </c>
      <c r="S22" s="11">
        <f>ROUND((SUM(Table1211[[#This Row],[II1]:[II3]]))*1000000, 0)</f>
        <v>33</v>
      </c>
      <c r="T22" s="18" t="s">
        <v>17</v>
      </c>
      <c r="V22" s="11"/>
      <c r="W22" s="11"/>
      <c r="X22" s="6"/>
      <c r="Y22" s="11"/>
      <c r="Z22" s="11"/>
      <c r="AA22" s="11"/>
      <c r="AB22" s="13"/>
      <c r="AC22"/>
      <c r="AD22"/>
      <c r="AE22"/>
      <c r="AF22"/>
      <c r="AG22"/>
      <c r="AI22"/>
      <c r="AJ22"/>
      <c r="AK22"/>
      <c r="AL22"/>
      <c r="AM22"/>
      <c r="AN22"/>
    </row>
    <row r="23" spans="2:48" x14ac:dyDescent="0.35">
      <c r="B23" s="6">
        <v>3</v>
      </c>
      <c r="C23" s="6" t="str">
        <f t="shared" si="3"/>
        <v>0</v>
      </c>
      <c r="D23" s="6" t="str">
        <f t="shared" si="4"/>
        <v>1</v>
      </c>
      <c r="E23" s="6" t="str">
        <f t="shared" si="5"/>
        <v>1</v>
      </c>
      <c r="F23" s="10">
        <f t="shared" si="6"/>
        <v>3.5238095238095239E-5</v>
      </c>
      <c r="G23" s="10">
        <f t="shared" si="7"/>
        <v>8.6666666666666661E-6</v>
      </c>
      <c r="H23" s="10">
        <f t="shared" si="8"/>
        <v>3.9999999999999998E-6</v>
      </c>
      <c r="I23" s="11">
        <f>ROUND(( SUM(Table323158910[[#This Row],[I1]:[I3]]))*1000000, 0)</f>
        <v>48</v>
      </c>
      <c r="J23" s="26" t="s">
        <v>21</v>
      </c>
      <c r="K23" s="11"/>
      <c r="L23" s="6">
        <v>6</v>
      </c>
      <c r="M23" s="6" t="str">
        <f t="shared" si="9"/>
        <v>1</v>
      </c>
      <c r="N23" s="6" t="str">
        <f t="shared" si="10"/>
        <v>1</v>
      </c>
      <c r="O23" s="6" t="str">
        <f t="shared" si="11"/>
        <v>0</v>
      </c>
      <c r="P23" s="10">
        <f t="shared" si="12"/>
        <v>3.0571428571428572E-5</v>
      </c>
      <c r="Q23" s="10">
        <f t="shared" si="13"/>
        <v>3.9999999999999998E-6</v>
      </c>
      <c r="R23" s="10">
        <f t="shared" si="14"/>
        <v>3.9999999999999998E-6</v>
      </c>
      <c r="S23" s="11">
        <f>ROUND((SUM(Table1211[[#This Row],[II1]:[II3]]))*1000000, 0)</f>
        <v>39</v>
      </c>
      <c r="T23" s="18" t="s">
        <v>17</v>
      </c>
      <c r="V23" s="11"/>
      <c r="W23" s="11"/>
      <c r="X23" s="6"/>
      <c r="Y23" s="11"/>
      <c r="Z23" s="11"/>
      <c r="AA23" s="11"/>
      <c r="AB23" s="13"/>
      <c r="AC23"/>
      <c r="AD23"/>
      <c r="AE23"/>
      <c r="AF23"/>
      <c r="AG23"/>
      <c r="AI23"/>
      <c r="AJ23"/>
      <c r="AK23"/>
      <c r="AL23"/>
      <c r="AM23"/>
      <c r="AN23"/>
    </row>
    <row r="24" spans="2:48" x14ac:dyDescent="0.35">
      <c r="B24" s="6">
        <v>4</v>
      </c>
      <c r="C24" s="6" t="str">
        <f t="shared" si="3"/>
        <v>1</v>
      </c>
      <c r="D24" s="6" t="str">
        <f t="shared" si="4"/>
        <v>0</v>
      </c>
      <c r="E24" s="6" t="str">
        <f t="shared" si="5"/>
        <v>0</v>
      </c>
      <c r="F24" s="10">
        <f t="shared" si="6"/>
        <v>2.8571428571428574E-5</v>
      </c>
      <c r="G24" s="10">
        <f t="shared" si="7"/>
        <v>2.8571428571428574E-5</v>
      </c>
      <c r="H24" s="10">
        <f t="shared" si="8"/>
        <v>2.8571428571428574E-5</v>
      </c>
      <c r="I24" s="11">
        <f>ROUND(( SUM(Table323158910[[#This Row],[I1]:[I3]]))*1000000, 0)</f>
        <v>86</v>
      </c>
      <c r="J24" s="2" t="s">
        <v>22</v>
      </c>
      <c r="K24" s="11"/>
      <c r="L24" s="6">
        <v>1</v>
      </c>
      <c r="M24" s="6" t="str">
        <f t="shared" si="9"/>
        <v>0</v>
      </c>
      <c r="N24" s="6" t="str">
        <f t="shared" si="10"/>
        <v>0</v>
      </c>
      <c r="O24" s="6" t="str">
        <f t="shared" si="11"/>
        <v>1</v>
      </c>
      <c r="P24" s="10">
        <f t="shared" si="12"/>
        <v>2.8571428571428574E-5</v>
      </c>
      <c r="Q24" s="10">
        <f t="shared" si="13"/>
        <v>2.8571428571428574E-5</v>
      </c>
      <c r="R24" s="10">
        <f t="shared" si="14"/>
        <v>1.9999999999999999E-6</v>
      </c>
      <c r="S24" s="11">
        <f>ROUND((SUM(Table1211[[#This Row],[II1]:[II3]]))*1000000, 0)</f>
        <v>59</v>
      </c>
      <c r="T24" s="18" t="s">
        <v>16</v>
      </c>
      <c r="V24" s="11"/>
      <c r="W24" s="11"/>
      <c r="X24" s="6"/>
      <c r="Y24" s="11"/>
      <c r="Z24" s="11"/>
      <c r="AA24" s="11"/>
      <c r="AB24" s="13"/>
      <c r="AC24"/>
      <c r="AD24"/>
      <c r="AE24"/>
      <c r="AF24"/>
      <c r="AG24"/>
      <c r="AI24"/>
      <c r="AJ24"/>
      <c r="AK24"/>
      <c r="AL24"/>
      <c r="AM24"/>
      <c r="AN24"/>
    </row>
    <row r="25" spans="2:48" x14ac:dyDescent="0.35">
      <c r="B25" s="6">
        <v>5</v>
      </c>
      <c r="C25" s="6" t="str">
        <f t="shared" si="3"/>
        <v>1</v>
      </c>
      <c r="D25" s="6" t="str">
        <f t="shared" si="4"/>
        <v>0</v>
      </c>
      <c r="E25" s="6" t="str">
        <f t="shared" si="5"/>
        <v>1</v>
      </c>
      <c r="F25" s="10">
        <f t="shared" si="6"/>
        <v>3.5238095238095239E-5</v>
      </c>
      <c r="G25" s="10">
        <f t="shared" si="7"/>
        <v>3.0571428571428572E-5</v>
      </c>
      <c r="H25" s="10">
        <f t="shared" si="8"/>
        <v>3.0571428571428572E-5</v>
      </c>
      <c r="I25" s="11">
        <f>ROUND(( SUM(Table323158910[[#This Row],[I1]:[I3]]))*1000000, 0)</f>
        <v>96</v>
      </c>
      <c r="J25" s="2" t="s">
        <v>22</v>
      </c>
      <c r="K25" s="11"/>
      <c r="L25" s="6">
        <v>5</v>
      </c>
      <c r="M25" s="6" t="str">
        <f t="shared" si="9"/>
        <v>1</v>
      </c>
      <c r="N25" s="6" t="str">
        <f t="shared" si="10"/>
        <v>0</v>
      </c>
      <c r="O25" s="6" t="str">
        <f t="shared" si="11"/>
        <v>1</v>
      </c>
      <c r="P25" s="10">
        <f t="shared" si="12"/>
        <v>3.0571428571428572E-5</v>
      </c>
      <c r="Q25" s="10">
        <f t="shared" si="13"/>
        <v>3.0571428571428572E-5</v>
      </c>
      <c r="R25" s="10">
        <f t="shared" si="14"/>
        <v>3.9999999999999998E-6</v>
      </c>
      <c r="S25" s="11">
        <f>ROUND((SUM(Table1211[[#This Row],[II1]:[II3]]))*1000000, 0)</f>
        <v>65</v>
      </c>
      <c r="T25" s="18" t="s">
        <v>20</v>
      </c>
      <c r="V25" s="11"/>
      <c r="W25" s="11"/>
      <c r="X25" s="6"/>
      <c r="Y25" s="11"/>
      <c r="Z25" s="11"/>
      <c r="AA25" s="11"/>
      <c r="AB25" s="13"/>
      <c r="AC25"/>
      <c r="AD25"/>
      <c r="AE25"/>
      <c r="AF25"/>
      <c r="AG25"/>
      <c r="AI25"/>
      <c r="AJ25"/>
      <c r="AK25"/>
      <c r="AL25"/>
      <c r="AM25"/>
      <c r="AN25"/>
    </row>
    <row r="26" spans="2:48" x14ac:dyDescent="0.35">
      <c r="B26" s="6">
        <v>6</v>
      </c>
      <c r="C26" s="6" t="str">
        <f t="shared" si="3"/>
        <v>1</v>
      </c>
      <c r="D26" s="6" t="str">
        <f t="shared" si="4"/>
        <v>1</v>
      </c>
      <c r="E26" s="6" t="str">
        <f t="shared" si="5"/>
        <v>0</v>
      </c>
      <c r="F26" s="10">
        <f t="shared" si="6"/>
        <v>5.7142857142857148E-5</v>
      </c>
      <c r="G26" s="10">
        <f t="shared" si="7"/>
        <v>3.5238095238095239E-5</v>
      </c>
      <c r="H26" s="10">
        <f t="shared" si="8"/>
        <v>3.0571428571428572E-5</v>
      </c>
      <c r="I26" s="11">
        <f>ROUND(( SUM(Table323158910[[#This Row],[I1]:[I3]]))*1000000, 0)</f>
        <v>123</v>
      </c>
      <c r="J26" s="2" t="s">
        <v>22</v>
      </c>
      <c r="K26" s="11"/>
      <c r="L26" s="6">
        <v>3</v>
      </c>
      <c r="M26" s="6" t="str">
        <f t="shared" si="9"/>
        <v>0</v>
      </c>
      <c r="N26" s="6" t="str">
        <f t="shared" si="10"/>
        <v>1</v>
      </c>
      <c r="O26" s="6" t="str">
        <f t="shared" si="11"/>
        <v>1</v>
      </c>
      <c r="P26" s="10">
        <f t="shared" si="12"/>
        <v>5.7142857142857148E-5</v>
      </c>
      <c r="Q26" s="10">
        <f t="shared" si="13"/>
        <v>3.0571428571428572E-5</v>
      </c>
      <c r="R26" s="10">
        <f t="shared" si="14"/>
        <v>3.9999999999999998E-6</v>
      </c>
      <c r="S26" s="11">
        <f>ROUND((SUM(Table1211[[#This Row],[II1]:[II3]]))*1000000, 0)</f>
        <v>92</v>
      </c>
      <c r="T26" s="18" t="s">
        <v>16</v>
      </c>
      <c r="V26" s="11"/>
      <c r="W26" s="11"/>
      <c r="X26" s="6"/>
      <c r="Y26" s="11"/>
      <c r="Z26" s="11"/>
      <c r="AA26" s="11"/>
      <c r="AB26" s="13"/>
      <c r="AC26"/>
      <c r="AD26"/>
      <c r="AE26"/>
      <c r="AF26"/>
      <c r="AG26"/>
      <c r="AI26"/>
      <c r="AJ26"/>
      <c r="AK26"/>
      <c r="AL26"/>
      <c r="AM26"/>
      <c r="AN26"/>
    </row>
    <row r="27" spans="2:48" x14ac:dyDescent="0.35">
      <c r="B27" s="6">
        <v>7</v>
      </c>
      <c r="C27" s="6" t="str">
        <f t="shared" si="3"/>
        <v>1</v>
      </c>
      <c r="D27" s="6" t="str">
        <f t="shared" si="4"/>
        <v>1</v>
      </c>
      <c r="E27" s="6" t="str">
        <f t="shared" si="5"/>
        <v>1</v>
      </c>
      <c r="F27" s="10">
        <f t="shared" si="6"/>
        <v>6.3809523809523817E-5</v>
      </c>
      <c r="G27" s="10">
        <f t="shared" si="7"/>
        <v>3.723809523809524E-5</v>
      </c>
      <c r="H27" s="10">
        <f t="shared" si="8"/>
        <v>3.2571428571428573E-5</v>
      </c>
      <c r="I27" s="11">
        <f>ROUND(( SUM(Table323158910[[#This Row],[I1]:[I3]]))*1000000, 0)</f>
        <v>134</v>
      </c>
      <c r="J27" s="2" t="s">
        <v>22</v>
      </c>
      <c r="K27" s="11"/>
      <c r="L27" s="6">
        <v>7</v>
      </c>
      <c r="M27" s="6" t="str">
        <f t="shared" si="9"/>
        <v>1</v>
      </c>
      <c r="N27" s="6" t="str">
        <f t="shared" si="10"/>
        <v>1</v>
      </c>
      <c r="O27" s="6" t="str">
        <f t="shared" si="11"/>
        <v>1</v>
      </c>
      <c r="P27" s="10">
        <f t="shared" si="12"/>
        <v>5.914285714285715E-5</v>
      </c>
      <c r="Q27" s="10">
        <f t="shared" si="13"/>
        <v>3.2571428571428573E-5</v>
      </c>
      <c r="R27" s="10">
        <f t="shared" si="14"/>
        <v>6.0000000000000002E-6</v>
      </c>
      <c r="S27" s="11">
        <f>ROUND((SUM(Table1211[[#This Row],[II1]:[II3]]))*1000000, 0)</f>
        <v>98</v>
      </c>
      <c r="T27" s="18" t="s">
        <v>16</v>
      </c>
      <c r="V27" s="11"/>
      <c r="W27" s="11"/>
      <c r="X27" s="6"/>
      <c r="Y27" s="11"/>
      <c r="Z27" s="11"/>
      <c r="AA27" s="11"/>
      <c r="AB27" s="13"/>
      <c r="AC27"/>
      <c r="AD27"/>
      <c r="AE27"/>
      <c r="AF27"/>
      <c r="AG27"/>
      <c r="AI27"/>
      <c r="AJ27"/>
      <c r="AK27"/>
      <c r="AL27"/>
      <c r="AM27"/>
      <c r="AN27"/>
    </row>
    <row r="28" spans="2:48" x14ac:dyDescent="0.35">
      <c r="C28" s="6"/>
      <c r="D28" s="6"/>
      <c r="E28" s="6"/>
      <c r="F28" s="10"/>
      <c r="G28" s="10"/>
      <c r="H28" s="10"/>
      <c r="I28" s="11"/>
      <c r="J28" s="2"/>
      <c r="K28" s="11"/>
      <c r="L28" s="6"/>
      <c r="M28" s="6"/>
      <c r="N28" s="6"/>
      <c r="O28" s="6"/>
      <c r="P28" s="10"/>
      <c r="S28" s="11"/>
      <c r="T28" s="18"/>
      <c r="V28" s="11"/>
      <c r="W28" s="11"/>
      <c r="X28" s="6"/>
      <c r="Y28" s="11"/>
      <c r="Z28" s="11"/>
      <c r="AA28" s="11"/>
      <c r="AB28" s="13"/>
      <c r="AC28"/>
      <c r="AD28"/>
      <c r="AE28"/>
      <c r="AF28"/>
      <c r="AG28"/>
      <c r="AI28"/>
      <c r="AJ28"/>
      <c r="AK28"/>
      <c r="AL28"/>
      <c r="AM28"/>
      <c r="AN28"/>
    </row>
    <row r="29" spans="2:48" ht="15" customHeight="1" x14ac:dyDescent="0.35">
      <c r="C29" s="6"/>
      <c r="D29" s="6"/>
      <c r="E29" s="6"/>
      <c r="F29" s="10"/>
      <c r="G29" s="10"/>
      <c r="H29" s="10"/>
      <c r="I29" s="11"/>
      <c r="J29" s="2"/>
      <c r="K29" s="11"/>
      <c r="L29" s="6"/>
      <c r="M29" s="6"/>
      <c r="N29" s="6"/>
      <c r="O29" s="6"/>
      <c r="P29" s="10"/>
      <c r="S29" s="11"/>
      <c r="T29" s="18"/>
      <c r="V29" s="13"/>
      <c r="W29"/>
      <c r="X29" s="11"/>
      <c r="Y29" s="11"/>
      <c r="Z29" s="6"/>
      <c r="AA29" s="11"/>
      <c r="AB29" s="11"/>
      <c r="AC29" s="11"/>
      <c r="AD29" s="13"/>
      <c r="AE29"/>
      <c r="AF29"/>
      <c r="AG29"/>
      <c r="AI29"/>
      <c r="AJ29"/>
      <c r="AK29"/>
      <c r="AL29"/>
      <c r="AM29"/>
      <c r="AN29"/>
    </row>
    <row r="30" spans="2:48" ht="15" customHeight="1" x14ac:dyDescent="0.35">
      <c r="C30" s="6"/>
      <c r="D30" s="6"/>
      <c r="E30" s="6"/>
      <c r="F30" s="10"/>
      <c r="G30" s="10"/>
      <c r="H30" s="10"/>
      <c r="I30" s="11"/>
      <c r="J30" s="2"/>
      <c r="K30" s="11"/>
      <c r="L30" s="6"/>
      <c r="M30" s="6"/>
      <c r="N30" s="6"/>
      <c r="O30" s="6"/>
      <c r="P30" s="10"/>
      <c r="S30" s="11"/>
      <c r="T30" s="18"/>
      <c r="V30" s="13"/>
      <c r="W30"/>
      <c r="X30" s="11"/>
      <c r="Y30" s="11"/>
      <c r="Z30" s="6"/>
      <c r="AA30" s="11"/>
      <c r="AB30" s="11"/>
      <c r="AC30" s="11"/>
      <c r="AD30" s="13"/>
      <c r="AE30"/>
      <c r="AF30"/>
      <c r="AG30"/>
      <c r="AI30"/>
      <c r="AJ30"/>
      <c r="AK30"/>
      <c r="AL30"/>
      <c r="AM30"/>
      <c r="AN30"/>
    </row>
    <row r="31" spans="2:48" ht="15" customHeight="1" x14ac:dyDescent="0.35">
      <c r="C31" s="6"/>
      <c r="D31" s="6"/>
      <c r="E31" s="6"/>
      <c r="F31" s="10"/>
      <c r="G31" s="10"/>
      <c r="H31" s="10"/>
      <c r="I31" s="11"/>
      <c r="J31" s="2"/>
      <c r="K31" s="11"/>
      <c r="L31" s="6"/>
      <c r="M31" s="6"/>
      <c r="N31" s="6"/>
      <c r="O31" s="6"/>
      <c r="P31" s="10"/>
      <c r="Q31" s="11">
        <f ca="1">ROUND((SUM(Table1211[[#This Row],[II1]:[II3]]))*1000000, 0) -98</f>
        <v>-98</v>
      </c>
      <c r="R31" s="18" t="s">
        <v>55</v>
      </c>
      <c r="S31" s="11"/>
      <c r="T31" s="18"/>
      <c r="V31" s="13"/>
      <c r="W31"/>
      <c r="X31" s="11"/>
      <c r="Y31" s="11"/>
      <c r="Z31" s="6"/>
      <c r="AA31" s="11"/>
      <c r="AB31" s="11"/>
      <c r="AC31" s="11"/>
      <c r="AD31" s="13"/>
      <c r="AE31"/>
      <c r="AF31"/>
      <c r="AG31"/>
      <c r="AI31"/>
      <c r="AJ31"/>
      <c r="AK31"/>
      <c r="AL31"/>
      <c r="AM31"/>
      <c r="AN31"/>
    </row>
    <row r="32" spans="2:48" x14ac:dyDescent="0.35">
      <c r="C32" s="6"/>
      <c r="D32" s="6"/>
      <c r="E32" s="6"/>
      <c r="F32" s="10"/>
      <c r="G32" s="10"/>
      <c r="H32" s="10"/>
      <c r="I32" s="11"/>
      <c r="J32" s="2"/>
      <c r="K32" s="11"/>
      <c r="L32" s="6"/>
      <c r="M32" s="6"/>
      <c r="N32" s="6"/>
      <c r="O32" s="6"/>
      <c r="P32" s="10"/>
      <c r="Q32" s="11">
        <f ca="1">ROUND((SUM(Table1211[[#This Row],[II1]:[II3]]))*1000000, 0) -98</f>
        <v>-92</v>
      </c>
      <c r="R32" s="18" t="s">
        <v>18</v>
      </c>
      <c r="S32" s="11"/>
      <c r="T32" s="18"/>
      <c r="V32" s="13"/>
      <c r="W32"/>
      <c r="X32" s="11"/>
      <c r="Y32" s="11"/>
      <c r="Z32" s="6"/>
      <c r="AA32" s="11"/>
      <c r="AB32" s="11"/>
      <c r="AC32" s="11"/>
      <c r="AD32" s="13"/>
      <c r="AE32"/>
      <c r="AF32"/>
      <c r="AG32"/>
      <c r="AI32"/>
      <c r="AJ32"/>
      <c r="AK32"/>
      <c r="AL32"/>
      <c r="AM32"/>
      <c r="AN32"/>
    </row>
    <row r="33" spans="2:30" customFormat="1" ht="15" customHeight="1" x14ac:dyDescent="0.35">
      <c r="B33" s="6"/>
      <c r="C33" s="6"/>
      <c r="D33" s="6"/>
      <c r="E33" s="6"/>
      <c r="F33" s="10"/>
      <c r="G33" s="10"/>
      <c r="H33" s="10"/>
      <c r="I33" s="11"/>
      <c r="J33" s="2"/>
      <c r="L33" s="6"/>
      <c r="M33" s="6"/>
      <c r="N33" s="6"/>
      <c r="O33" s="6"/>
      <c r="P33" s="10"/>
      <c r="Q33" s="11">
        <f ca="1">ROUND((SUM(Table1211[[#This Row],[II1]:[II3]]))*1000000, 0) -98</f>
        <v>-65</v>
      </c>
      <c r="R33" s="18" t="s">
        <v>17</v>
      </c>
      <c r="S33" s="11"/>
      <c r="T33" s="18"/>
      <c r="U33" s="10"/>
      <c r="V33" s="13"/>
      <c r="X33" s="11"/>
      <c r="Y33" s="11"/>
      <c r="Z33" s="6"/>
      <c r="AA33" s="11"/>
      <c r="AB33" s="11"/>
      <c r="AC33" s="11"/>
      <c r="AD33" s="13"/>
    </row>
    <row r="34" spans="2:30" customFormat="1" x14ac:dyDescent="0.35">
      <c r="B34" s="6"/>
      <c r="C34" s="6"/>
      <c r="D34" s="6"/>
      <c r="E34" s="6"/>
      <c r="F34" s="10"/>
      <c r="G34" s="10"/>
      <c r="H34" s="10"/>
      <c r="I34" s="11"/>
      <c r="J34" s="2"/>
      <c r="K34" s="11"/>
      <c r="L34" s="6"/>
      <c r="M34" s="6"/>
      <c r="N34" s="6"/>
      <c r="O34" s="6"/>
      <c r="P34" s="10"/>
      <c r="Q34" s="11">
        <f ca="1">ROUND((SUM(Table1211[[#This Row],[II1]:[II3]]))*1000000, 0) -98</f>
        <v>-59</v>
      </c>
      <c r="R34" s="18" t="s">
        <v>17</v>
      </c>
      <c r="S34" s="11"/>
      <c r="T34" s="18"/>
      <c r="U34" s="10"/>
      <c r="V34" s="13"/>
      <c r="X34" s="11"/>
      <c r="Y34" s="11"/>
      <c r="Z34" s="6"/>
      <c r="AA34" s="11"/>
      <c r="AB34" s="11"/>
      <c r="AC34" s="11"/>
      <c r="AD34" s="13"/>
    </row>
    <row r="35" spans="2:30" customFormat="1" x14ac:dyDescent="0.35">
      <c r="B35" s="6"/>
      <c r="C35" s="6"/>
      <c r="D35" s="6"/>
      <c r="E35" s="6"/>
      <c r="F35" s="10"/>
      <c r="G35" s="10"/>
      <c r="H35" s="10"/>
      <c r="I35" s="11"/>
      <c r="J35" s="2"/>
      <c r="L35" s="6"/>
      <c r="M35" s="6"/>
      <c r="N35" s="6"/>
      <c r="O35" s="6"/>
      <c r="P35" s="10"/>
      <c r="Q35" s="11">
        <f ca="1">ROUND((SUM(Table1211[[#This Row],[II1]:[II3]]))*1000000, 0) -98</f>
        <v>-39</v>
      </c>
      <c r="R35" s="18" t="s">
        <v>16</v>
      </c>
      <c r="S35" s="11"/>
      <c r="T35" s="18"/>
      <c r="U35" s="10"/>
      <c r="V35" s="13"/>
      <c r="X35" s="11"/>
      <c r="Y35" s="11"/>
      <c r="Z35" s="6"/>
      <c r="AA35" s="11"/>
      <c r="AB35" s="11"/>
      <c r="AC35" s="11"/>
      <c r="AD35" s="13"/>
    </row>
    <row r="36" spans="2:30" customFormat="1" x14ac:dyDescent="0.35">
      <c r="B36" s="6"/>
      <c r="C36" s="6"/>
      <c r="D36" s="6"/>
      <c r="E36" s="6"/>
      <c r="F36" s="10"/>
      <c r="G36" s="10"/>
      <c r="H36" s="10"/>
      <c r="I36" s="11"/>
      <c r="J36" s="11"/>
      <c r="K36" s="11"/>
      <c r="L36" s="6"/>
      <c r="M36" s="6"/>
      <c r="N36" s="6"/>
      <c r="O36" s="6"/>
      <c r="P36" s="10"/>
      <c r="Q36" s="11">
        <f ca="1">ROUND((SUM(Table1211[[#This Row],[II1]:[II3]]))*1000000, 0) -98</f>
        <v>-33</v>
      </c>
      <c r="R36" s="18" t="s">
        <v>20</v>
      </c>
      <c r="S36" s="11"/>
      <c r="T36" s="18"/>
      <c r="U36" s="10"/>
      <c r="V36" s="13"/>
      <c r="X36" s="11"/>
      <c r="Y36" s="11"/>
      <c r="Z36" s="6"/>
      <c r="AA36" s="11"/>
      <c r="AB36" s="11"/>
      <c r="AC36" s="11"/>
      <c r="AD36" s="13"/>
    </row>
    <row r="37" spans="2:30" customFormat="1" ht="15" customHeight="1" x14ac:dyDescent="0.35">
      <c r="B37" s="6"/>
      <c r="C37" s="6"/>
      <c r="D37" s="6"/>
      <c r="E37" s="6"/>
      <c r="F37" s="10"/>
      <c r="G37" s="10"/>
      <c r="H37" s="10"/>
      <c r="I37" s="11"/>
      <c r="J37" s="11"/>
      <c r="K37" s="11"/>
      <c r="L37" s="6"/>
      <c r="M37" s="6"/>
      <c r="N37" s="6"/>
      <c r="O37" s="6"/>
      <c r="P37" s="10"/>
      <c r="Q37" s="11">
        <f ca="1">ROUND((SUM(Table1211[[#This Row],[II1]:[II3]]))*1000000, 0) -98</f>
        <v>-6</v>
      </c>
      <c r="R37" s="18" t="s">
        <v>16</v>
      </c>
      <c r="S37" s="11"/>
      <c r="T37" s="18"/>
      <c r="U37" s="10"/>
      <c r="V37" s="13"/>
      <c r="X37" s="11"/>
      <c r="Y37" s="11"/>
      <c r="Z37" s="6"/>
      <c r="AA37" s="11"/>
      <c r="AB37" s="11"/>
      <c r="AC37" s="11"/>
      <c r="AD37" s="13"/>
    </row>
    <row r="38" spans="2:30" customFormat="1" ht="15" customHeight="1" x14ac:dyDescent="0.35">
      <c r="B38" s="6"/>
      <c r="C38" s="6"/>
      <c r="D38" s="6"/>
      <c r="E38" s="6"/>
      <c r="F38" s="10"/>
      <c r="G38" s="10"/>
      <c r="H38" s="10"/>
      <c r="I38" s="11"/>
      <c r="J38" s="11"/>
      <c r="K38" s="11"/>
      <c r="L38" s="6"/>
      <c r="M38" s="6"/>
      <c r="N38" s="6"/>
      <c r="O38" s="6"/>
      <c r="P38" s="26" t="s">
        <v>55</v>
      </c>
      <c r="Q38" s="11">
        <v>0</v>
      </c>
      <c r="R38" s="18" t="s">
        <v>16</v>
      </c>
      <c r="S38" s="11"/>
      <c r="T38" s="18"/>
      <c r="U38" s="10"/>
      <c r="V38" s="13"/>
      <c r="X38" s="11"/>
      <c r="Y38" s="11"/>
      <c r="Z38" s="6"/>
      <c r="AA38" s="11"/>
      <c r="AB38" s="11"/>
      <c r="AC38" s="11"/>
      <c r="AD38" s="13"/>
    </row>
    <row r="39" spans="2:30" customFormat="1" ht="15" customHeight="1" x14ac:dyDescent="0.35">
      <c r="B39" s="6"/>
      <c r="C39" s="6"/>
      <c r="D39" s="6"/>
      <c r="E39" s="6"/>
      <c r="F39" s="10"/>
      <c r="G39" s="10"/>
      <c r="H39" s="10"/>
      <c r="I39" s="11"/>
      <c r="J39" s="11"/>
      <c r="K39" s="11"/>
      <c r="L39" s="6"/>
      <c r="M39" s="6"/>
      <c r="N39" s="6"/>
      <c r="O39" s="6"/>
      <c r="P39" s="2" t="s">
        <v>19</v>
      </c>
      <c r="Q39" s="11">
        <v>11</v>
      </c>
      <c r="R39" s="10"/>
      <c r="S39" s="11"/>
      <c r="T39" s="18"/>
      <c r="U39" s="10"/>
      <c r="V39" s="13"/>
      <c r="X39" s="11"/>
      <c r="Y39" s="11"/>
      <c r="Z39" s="6"/>
      <c r="AA39" s="11"/>
      <c r="AB39" s="11"/>
      <c r="AC39" s="11"/>
      <c r="AD39" s="13"/>
    </row>
    <row r="40" spans="2:30" customFormat="1" ht="15" customHeight="1" x14ac:dyDescent="0.35">
      <c r="B40" s="6"/>
      <c r="C40" s="6"/>
      <c r="D40" s="6"/>
      <c r="E40" s="6"/>
      <c r="F40" s="10"/>
      <c r="G40" s="10"/>
      <c r="H40" s="10"/>
      <c r="I40" s="11"/>
      <c r="J40" s="11"/>
      <c r="K40" s="11"/>
      <c r="L40" s="6"/>
      <c r="M40" s="6"/>
      <c r="N40" s="6"/>
      <c r="O40" s="6"/>
      <c r="P40" s="26" t="s">
        <v>21</v>
      </c>
      <c r="Q40" s="11">
        <v>37</v>
      </c>
      <c r="R40" s="10"/>
      <c r="S40" s="11"/>
      <c r="T40" s="18"/>
      <c r="U40" s="10"/>
      <c r="V40" s="13"/>
      <c r="X40" s="11"/>
      <c r="Y40" s="11"/>
      <c r="Z40" s="6"/>
      <c r="AA40" s="11"/>
      <c r="AB40" s="11"/>
      <c r="AC40" s="11"/>
      <c r="AD40" s="13"/>
    </row>
    <row r="41" spans="2:30" customFormat="1" ht="15" customHeight="1" x14ac:dyDescent="0.35">
      <c r="B41" s="6"/>
      <c r="C41" s="6"/>
      <c r="D41" s="6"/>
      <c r="E41" s="6"/>
      <c r="F41" s="10"/>
      <c r="G41" s="10"/>
      <c r="H41" s="10"/>
      <c r="I41" s="11"/>
      <c r="J41" s="11"/>
      <c r="K41" s="11"/>
      <c r="L41" s="6"/>
      <c r="M41" s="6"/>
      <c r="N41" s="6"/>
      <c r="O41" s="6"/>
      <c r="P41" s="26" t="s">
        <v>21</v>
      </c>
      <c r="Q41" s="11">
        <v>48</v>
      </c>
      <c r="R41" s="10"/>
      <c r="S41" s="11"/>
      <c r="T41" s="18"/>
      <c r="U41" s="10"/>
      <c r="V41" s="13"/>
      <c r="X41" s="11"/>
      <c r="Y41" s="11"/>
      <c r="Z41" s="6"/>
      <c r="AA41" s="11"/>
      <c r="AB41" s="11"/>
      <c r="AC41" s="11"/>
      <c r="AD41" s="13"/>
    </row>
    <row r="42" spans="2:30" customFormat="1" ht="15" customHeight="1" x14ac:dyDescent="0.35">
      <c r="B42" s="6"/>
      <c r="C42" s="6"/>
      <c r="D42" s="6"/>
      <c r="E42" s="6"/>
      <c r="F42" s="10"/>
      <c r="G42" s="10"/>
      <c r="H42" s="10"/>
      <c r="I42" s="11"/>
      <c r="J42" s="11"/>
      <c r="K42" s="11"/>
      <c r="L42" s="6"/>
      <c r="M42" s="6"/>
      <c r="N42" s="6"/>
      <c r="O42" s="6"/>
      <c r="P42" s="2" t="s">
        <v>22</v>
      </c>
      <c r="Q42" s="11">
        <v>86</v>
      </c>
      <c r="R42" s="10"/>
      <c r="S42" s="11"/>
      <c r="T42" s="18"/>
      <c r="U42" s="10"/>
      <c r="V42" s="13"/>
      <c r="X42" s="11"/>
      <c r="Y42" s="11"/>
      <c r="Z42" s="6"/>
      <c r="AA42" s="11"/>
      <c r="AB42" s="11"/>
      <c r="AC42" s="11"/>
      <c r="AD42" s="13"/>
    </row>
    <row r="43" spans="2:30" customFormat="1" ht="15" customHeight="1" x14ac:dyDescent="0.35">
      <c r="B43" s="6"/>
      <c r="C43" s="6"/>
      <c r="D43" s="6"/>
      <c r="E43" s="6"/>
      <c r="F43" s="10"/>
      <c r="G43" s="10"/>
      <c r="H43" s="10"/>
      <c r="I43" s="11"/>
      <c r="J43" s="11"/>
      <c r="K43" s="11"/>
      <c r="L43" s="6"/>
      <c r="M43" s="6"/>
      <c r="N43" s="6"/>
      <c r="O43" s="6"/>
      <c r="P43" s="2" t="s">
        <v>22</v>
      </c>
      <c r="Q43" s="11">
        <v>96</v>
      </c>
      <c r="R43" s="10"/>
      <c r="S43" s="11"/>
      <c r="T43" s="18"/>
      <c r="U43" s="10"/>
      <c r="V43" s="13"/>
      <c r="X43" s="11"/>
      <c r="Y43" s="11"/>
      <c r="Z43" s="6"/>
      <c r="AA43" s="11"/>
      <c r="AB43" s="11"/>
      <c r="AC43" s="11"/>
      <c r="AD43" s="13"/>
    </row>
    <row r="44" spans="2:30" customFormat="1" x14ac:dyDescent="0.35">
      <c r="B44" s="6"/>
      <c r="C44" s="6"/>
      <c r="D44" s="6"/>
      <c r="E44" s="6"/>
      <c r="F44" s="10"/>
      <c r="G44" s="10"/>
      <c r="H44" s="10"/>
      <c r="I44" s="11"/>
      <c r="J44" s="11"/>
      <c r="K44" s="11"/>
      <c r="L44" s="6"/>
      <c r="M44" s="6"/>
      <c r="N44" s="6"/>
      <c r="O44" s="6"/>
      <c r="P44" s="2" t="s">
        <v>22</v>
      </c>
      <c r="Q44" s="11">
        <v>123</v>
      </c>
      <c r="R44" s="10"/>
      <c r="S44" s="11"/>
      <c r="T44" s="18"/>
      <c r="U44" s="10"/>
      <c r="V44" s="13"/>
      <c r="X44" s="11"/>
      <c r="Y44" s="11"/>
      <c r="Z44" s="6"/>
      <c r="AA44" s="11"/>
      <c r="AB44" s="11"/>
      <c r="AC44" s="11"/>
      <c r="AD44" s="13"/>
    </row>
    <row r="45" spans="2:30" customFormat="1" ht="15" customHeight="1" x14ac:dyDescent="0.35">
      <c r="B45" s="6"/>
      <c r="C45" s="6"/>
      <c r="D45" s="6"/>
      <c r="E45" s="6"/>
      <c r="F45" s="10"/>
      <c r="G45" s="10"/>
      <c r="H45" s="10"/>
      <c r="I45" s="11"/>
      <c r="J45" s="11"/>
      <c r="K45" s="11"/>
      <c r="L45" s="6"/>
      <c r="M45" s="6"/>
      <c r="N45" s="6"/>
      <c r="O45" s="6"/>
      <c r="P45" s="2" t="s">
        <v>22</v>
      </c>
      <c r="Q45" s="11">
        <v>134</v>
      </c>
      <c r="R45" s="10"/>
      <c r="S45" s="11"/>
      <c r="T45" s="18"/>
      <c r="U45" s="10"/>
      <c r="V45" s="13"/>
      <c r="X45" s="11"/>
      <c r="Y45" s="11"/>
      <c r="Z45" s="6"/>
      <c r="AA45" s="11"/>
      <c r="AB45" s="11"/>
      <c r="AC45" s="11"/>
      <c r="AD45" s="13"/>
    </row>
    <row r="46" spans="2:30" customFormat="1" ht="15" customHeight="1" x14ac:dyDescent="0.35">
      <c r="B46" s="6"/>
      <c r="C46" s="6"/>
      <c r="D46" s="6"/>
      <c r="E46" s="6"/>
      <c r="F46" s="10"/>
      <c r="G46" s="10"/>
      <c r="H46" s="10"/>
      <c r="I46" s="11"/>
      <c r="J46" s="11"/>
      <c r="K46" s="11"/>
      <c r="L46" s="6"/>
      <c r="M46" s="6"/>
      <c r="N46" s="6"/>
      <c r="O46" s="6"/>
      <c r="P46" s="10"/>
      <c r="Q46" s="10"/>
      <c r="R46" s="10"/>
      <c r="S46" s="11"/>
      <c r="T46" s="18"/>
      <c r="U46" s="10"/>
      <c r="V46" s="13"/>
      <c r="X46" s="11"/>
      <c r="Y46" s="11"/>
      <c r="Z46" s="6"/>
      <c r="AA46" s="11"/>
      <c r="AB46" s="11"/>
      <c r="AC46" s="11"/>
      <c r="AD46" s="13"/>
    </row>
    <row r="47" spans="2:30" customFormat="1" ht="15" customHeight="1" x14ac:dyDescent="0.35">
      <c r="B47" s="6"/>
      <c r="C47" s="6"/>
      <c r="D47" s="6"/>
      <c r="E47" s="6"/>
      <c r="F47" s="10"/>
      <c r="G47" s="10"/>
      <c r="H47" s="10"/>
      <c r="I47" s="11"/>
      <c r="J47" s="11"/>
      <c r="K47" s="11"/>
      <c r="L47" s="6"/>
      <c r="M47" s="6"/>
      <c r="N47" s="6"/>
      <c r="O47" s="6"/>
      <c r="P47" s="10"/>
      <c r="Q47" s="10"/>
      <c r="R47" s="10"/>
      <c r="S47" s="11"/>
      <c r="T47" s="18"/>
      <c r="U47" s="10"/>
      <c r="V47" s="13"/>
      <c r="X47" s="11"/>
      <c r="Y47" s="11"/>
      <c r="Z47" s="6"/>
      <c r="AA47" s="11"/>
      <c r="AB47" s="11"/>
      <c r="AC47" s="11"/>
      <c r="AD47" s="13"/>
    </row>
    <row r="48" spans="2:30" customFormat="1" x14ac:dyDescent="0.35">
      <c r="B48" s="6"/>
      <c r="C48" s="6"/>
      <c r="D48" s="6"/>
      <c r="E48" s="6"/>
      <c r="F48" s="10"/>
      <c r="G48" s="10"/>
      <c r="H48" s="10"/>
      <c r="I48" s="11"/>
      <c r="J48" s="11"/>
      <c r="K48" s="11"/>
      <c r="L48" s="6"/>
      <c r="M48" s="6"/>
      <c r="N48" s="6"/>
      <c r="O48" s="6"/>
      <c r="P48" s="10"/>
      <c r="Q48" s="10"/>
      <c r="R48" s="10"/>
      <c r="S48" s="11"/>
      <c r="T48" s="18"/>
      <c r="U48" s="10"/>
      <c r="V48" s="13"/>
      <c r="X48" s="11"/>
      <c r="Y48" s="11"/>
      <c r="Z48" s="6"/>
      <c r="AA48" s="11"/>
      <c r="AB48" s="11"/>
      <c r="AC48" s="11"/>
      <c r="AD48" s="13"/>
    </row>
    <row r="49" spans="2:30" customFormat="1" ht="15" customHeight="1" x14ac:dyDescent="0.35">
      <c r="B49" s="6"/>
      <c r="C49" s="6"/>
      <c r="D49" s="6"/>
      <c r="E49" s="6"/>
      <c r="F49" s="10"/>
      <c r="G49" s="10"/>
      <c r="H49" s="10"/>
      <c r="I49" s="11"/>
      <c r="J49" s="11"/>
      <c r="K49" s="11"/>
      <c r="L49" s="6"/>
      <c r="M49" s="6"/>
      <c r="N49" s="6"/>
      <c r="O49" s="6"/>
      <c r="P49" s="10"/>
      <c r="Q49" s="10"/>
      <c r="R49" s="10"/>
      <c r="S49" s="11"/>
      <c r="T49" s="18"/>
      <c r="U49" s="10"/>
      <c r="V49" s="13"/>
      <c r="X49" s="11"/>
      <c r="Y49" s="11"/>
      <c r="Z49" s="6"/>
      <c r="AA49" s="11"/>
      <c r="AB49" s="11"/>
      <c r="AC49" s="11"/>
      <c r="AD49" s="13"/>
    </row>
    <row r="50" spans="2:30" customFormat="1" ht="15" customHeight="1" x14ac:dyDescent="0.35">
      <c r="B50" s="6"/>
      <c r="C50" s="6"/>
      <c r="D50" s="6"/>
      <c r="E50" s="6"/>
      <c r="F50" s="10"/>
      <c r="G50" s="10"/>
      <c r="H50" s="10"/>
      <c r="I50" s="11"/>
      <c r="J50" s="11"/>
      <c r="K50" s="11"/>
      <c r="L50" s="6"/>
      <c r="M50" s="6"/>
      <c r="N50" s="6"/>
      <c r="O50" s="6"/>
      <c r="P50" s="10"/>
      <c r="Q50" s="10"/>
      <c r="R50" s="10"/>
      <c r="S50" s="11"/>
      <c r="T50" s="18"/>
      <c r="U50" s="10"/>
      <c r="V50" s="13"/>
      <c r="X50" s="11"/>
      <c r="Y50" s="11"/>
      <c r="Z50" s="6"/>
      <c r="AA50" s="11"/>
      <c r="AB50" s="11"/>
      <c r="AC50" s="11"/>
      <c r="AD50" s="13"/>
    </row>
    <row r="51" spans="2:30" customFormat="1" x14ac:dyDescent="0.35">
      <c r="B51" s="6"/>
      <c r="C51" s="6"/>
      <c r="D51" s="6"/>
      <c r="E51" s="6"/>
      <c r="F51" s="10"/>
      <c r="G51" s="10"/>
      <c r="H51" s="10"/>
      <c r="I51" s="11"/>
      <c r="J51" s="11"/>
      <c r="K51" s="11"/>
      <c r="L51" s="6"/>
      <c r="M51" s="6"/>
      <c r="N51" s="6"/>
      <c r="O51" s="6"/>
      <c r="P51" s="10"/>
      <c r="Q51" s="10"/>
      <c r="R51" s="10"/>
      <c r="S51" s="11"/>
      <c r="T51" s="18"/>
      <c r="U51" s="10"/>
      <c r="V51" s="13"/>
      <c r="X51" s="11"/>
      <c r="Y51" s="11"/>
      <c r="Z51" s="6"/>
      <c r="AA51" s="11"/>
      <c r="AB51" s="11"/>
      <c r="AC51" s="11"/>
      <c r="AD51" s="13"/>
    </row>
    <row r="52" spans="2:30" customFormat="1" x14ac:dyDescent="0.35">
      <c r="B52" s="6"/>
      <c r="C52" s="6"/>
      <c r="D52" s="6"/>
      <c r="E52" s="6"/>
      <c r="F52" s="10"/>
      <c r="G52" s="10"/>
      <c r="H52" s="10"/>
      <c r="I52" s="11"/>
      <c r="J52" s="11"/>
      <c r="K52" s="11"/>
      <c r="L52" s="6"/>
      <c r="M52" s="6"/>
      <c r="N52" s="6"/>
      <c r="O52" s="6"/>
      <c r="P52" s="10"/>
      <c r="Q52" s="10"/>
      <c r="R52" s="10"/>
      <c r="S52" s="11"/>
      <c r="T52" s="18"/>
      <c r="U52" s="10"/>
      <c r="V52" s="13"/>
      <c r="X52" s="11"/>
      <c r="Y52" s="11"/>
      <c r="Z52" s="6"/>
      <c r="AA52" s="11"/>
      <c r="AB52" s="11"/>
      <c r="AC52" s="11"/>
      <c r="AD52" s="13"/>
    </row>
    <row r="53" spans="2:30" customFormat="1" x14ac:dyDescent="0.35">
      <c r="B53" s="6"/>
      <c r="C53" s="6"/>
      <c r="D53" s="6"/>
      <c r="E53" s="6"/>
      <c r="F53" s="10"/>
      <c r="G53" s="10"/>
      <c r="H53" s="10"/>
      <c r="I53" s="11"/>
      <c r="J53" s="11"/>
      <c r="K53" s="11"/>
      <c r="L53" s="6"/>
      <c r="M53" s="6"/>
      <c r="N53" s="6"/>
      <c r="O53" s="6"/>
      <c r="P53" s="10"/>
      <c r="Q53" s="10"/>
      <c r="R53" s="10"/>
      <c r="S53" s="11"/>
      <c r="T53" s="18"/>
      <c r="U53" s="10"/>
      <c r="V53" s="13"/>
      <c r="X53" s="11"/>
      <c r="Y53" s="11"/>
      <c r="Z53" s="6"/>
      <c r="AA53" s="11"/>
      <c r="AB53" s="11"/>
      <c r="AC53" s="11"/>
      <c r="AD53" s="13"/>
    </row>
    <row r="54" spans="2:30" customFormat="1" x14ac:dyDescent="0.35">
      <c r="B54" s="6"/>
      <c r="C54" s="6"/>
      <c r="D54" s="6"/>
      <c r="E54" s="6"/>
      <c r="F54" s="10"/>
      <c r="G54" s="10"/>
      <c r="H54" s="10"/>
      <c r="I54" s="11"/>
      <c r="J54" s="11"/>
      <c r="K54" s="11"/>
      <c r="L54" s="6"/>
      <c r="M54" s="6"/>
      <c r="N54" s="6"/>
      <c r="O54" s="6"/>
      <c r="P54" s="10"/>
      <c r="Q54" s="10"/>
      <c r="R54" s="10"/>
      <c r="S54" s="11"/>
      <c r="T54" s="18"/>
      <c r="U54" s="10"/>
      <c r="V54" s="13"/>
      <c r="X54" s="11"/>
      <c r="Y54" s="11"/>
      <c r="Z54" s="6"/>
      <c r="AA54" s="11"/>
      <c r="AB54" s="11"/>
      <c r="AC54" s="11"/>
      <c r="AD54" s="13"/>
    </row>
    <row r="55" spans="2:30" customFormat="1" x14ac:dyDescent="0.35">
      <c r="B55" s="6"/>
      <c r="C55" s="6"/>
      <c r="D55" s="6"/>
      <c r="E55" s="6"/>
      <c r="F55" s="10"/>
      <c r="G55" s="10"/>
      <c r="H55" s="10"/>
      <c r="I55" s="11"/>
      <c r="J55" s="11"/>
      <c r="K55" s="11"/>
      <c r="L55" s="6"/>
      <c r="M55" s="6"/>
      <c r="N55" s="6"/>
      <c r="O55" s="6"/>
      <c r="P55" s="10"/>
      <c r="Q55" s="10"/>
      <c r="R55" s="10"/>
      <c r="S55" s="11"/>
      <c r="T55" s="18"/>
      <c r="U55" s="10"/>
      <c r="V55" s="13"/>
      <c r="X55" s="11"/>
      <c r="Y55" s="11"/>
      <c r="Z55" s="6"/>
      <c r="AA55" s="11"/>
      <c r="AB55" s="11"/>
      <c r="AC55" s="11"/>
      <c r="AD55" s="13"/>
    </row>
    <row r="56" spans="2:30" customFormat="1" x14ac:dyDescent="0.35">
      <c r="B56" s="6"/>
      <c r="C56" s="6"/>
      <c r="D56" s="6"/>
      <c r="E56" s="6"/>
      <c r="F56" s="10"/>
      <c r="G56" s="10"/>
      <c r="H56" s="10"/>
      <c r="I56" s="11"/>
      <c r="J56" s="11"/>
      <c r="K56" s="11"/>
      <c r="L56" s="6"/>
      <c r="M56" s="6"/>
      <c r="N56" s="6"/>
      <c r="O56" s="6"/>
      <c r="P56" s="10"/>
      <c r="Q56" s="10"/>
      <c r="R56" s="10"/>
      <c r="S56" s="11"/>
      <c r="T56" s="18"/>
      <c r="U56" s="10"/>
      <c r="V56" s="13"/>
      <c r="X56" s="11"/>
      <c r="Y56" s="11"/>
      <c r="Z56" s="6"/>
      <c r="AA56" s="11"/>
      <c r="AB56" s="11"/>
      <c r="AC56" s="11"/>
      <c r="AD56" s="13"/>
    </row>
    <row r="57" spans="2:30" customFormat="1" x14ac:dyDescent="0.35">
      <c r="B57" s="6"/>
      <c r="C57" s="6"/>
      <c r="D57" s="6"/>
      <c r="E57" s="6"/>
      <c r="F57" s="10"/>
      <c r="G57" s="10"/>
      <c r="H57" s="10"/>
      <c r="I57" s="11"/>
      <c r="J57" s="11"/>
      <c r="K57" s="11"/>
      <c r="L57" s="6"/>
      <c r="M57" s="6"/>
      <c r="N57" s="6"/>
      <c r="O57" s="6"/>
      <c r="P57" s="10"/>
      <c r="Q57" s="10"/>
      <c r="R57" s="10"/>
      <c r="S57" s="11"/>
      <c r="T57" s="18"/>
      <c r="U57" s="10"/>
      <c r="V57" s="13"/>
      <c r="X57" s="11"/>
      <c r="Y57" s="11"/>
      <c r="Z57" s="6"/>
      <c r="AA57" s="11"/>
      <c r="AB57" s="11"/>
      <c r="AC57" s="11"/>
      <c r="AD57" s="13"/>
    </row>
    <row r="58" spans="2:30" customFormat="1" x14ac:dyDescent="0.35">
      <c r="B58" s="6"/>
      <c r="C58" s="6"/>
      <c r="D58" s="6"/>
      <c r="E58" s="6"/>
      <c r="F58" s="10"/>
      <c r="G58" s="10"/>
      <c r="H58" s="10"/>
      <c r="I58" s="11"/>
      <c r="J58" s="11"/>
      <c r="K58" s="11"/>
      <c r="L58" s="6"/>
      <c r="M58" s="6"/>
      <c r="N58" s="6"/>
      <c r="O58" s="6"/>
      <c r="P58" s="10"/>
      <c r="Q58" s="10"/>
      <c r="R58" s="10"/>
      <c r="S58" s="11"/>
      <c r="T58" s="18"/>
      <c r="U58" s="10"/>
      <c r="V58" s="13"/>
      <c r="X58" s="11"/>
      <c r="Y58" s="11"/>
      <c r="Z58" s="6"/>
      <c r="AA58" s="11"/>
      <c r="AB58" s="11"/>
      <c r="AC58" s="11"/>
      <c r="AD58" s="13"/>
    </row>
    <row r="59" spans="2:30" customFormat="1" x14ac:dyDescent="0.35">
      <c r="B59" s="6"/>
      <c r="C59" s="6"/>
      <c r="D59" s="6"/>
      <c r="E59" s="6"/>
      <c r="F59" s="10"/>
      <c r="G59" s="10"/>
      <c r="H59" s="10"/>
      <c r="I59" s="11"/>
      <c r="J59" s="11"/>
      <c r="K59" s="11"/>
      <c r="L59" s="6"/>
      <c r="M59" s="6"/>
      <c r="N59" s="6"/>
      <c r="O59" s="6"/>
      <c r="P59" s="10"/>
      <c r="Q59" s="10"/>
      <c r="R59" s="10"/>
      <c r="S59" s="11"/>
      <c r="T59" s="18"/>
      <c r="U59" s="10"/>
      <c r="V59" s="13"/>
      <c r="X59" s="11"/>
      <c r="Y59" s="11"/>
      <c r="Z59" s="6"/>
      <c r="AA59" s="11"/>
      <c r="AB59" s="11"/>
      <c r="AC59" s="11"/>
      <c r="AD59" s="13"/>
    </row>
    <row r="60" spans="2:30" customFormat="1" x14ac:dyDescent="0.35">
      <c r="B60" s="6"/>
      <c r="C60" s="6"/>
      <c r="D60" s="6"/>
      <c r="E60" s="6"/>
      <c r="F60" s="10"/>
      <c r="G60" s="10"/>
      <c r="H60" s="10"/>
      <c r="I60" s="11"/>
      <c r="J60" s="11"/>
      <c r="K60" s="11"/>
      <c r="L60" s="6"/>
      <c r="M60" s="6"/>
      <c r="N60" s="6"/>
      <c r="O60" s="6"/>
      <c r="P60" s="10"/>
      <c r="Q60" s="10"/>
      <c r="R60" s="10"/>
      <c r="S60" s="11"/>
      <c r="T60" s="18"/>
      <c r="U60" s="10"/>
      <c r="V60" s="13"/>
      <c r="X60" s="11"/>
      <c r="Y60" s="11"/>
      <c r="Z60" s="6"/>
      <c r="AA60" s="11"/>
      <c r="AB60" s="11"/>
      <c r="AC60" s="11"/>
      <c r="AD60" s="13"/>
    </row>
    <row r="61" spans="2:30" customFormat="1" x14ac:dyDescent="0.35">
      <c r="B61" s="6"/>
      <c r="C61" s="6"/>
      <c r="D61" s="6"/>
      <c r="E61" s="6"/>
      <c r="F61" s="10"/>
      <c r="G61" s="10"/>
      <c r="H61" s="10"/>
      <c r="I61" s="11"/>
      <c r="J61" s="11"/>
      <c r="K61" s="11"/>
      <c r="L61" s="6"/>
      <c r="M61" s="6"/>
      <c r="N61" s="6"/>
      <c r="O61" s="6"/>
      <c r="P61" s="10"/>
      <c r="Q61" s="10"/>
      <c r="R61" s="10"/>
      <c r="S61" s="11"/>
      <c r="T61" s="18"/>
      <c r="U61" s="10"/>
      <c r="V61" s="13"/>
      <c r="X61" s="11"/>
      <c r="Y61" s="11"/>
      <c r="Z61" s="6"/>
      <c r="AA61" s="11"/>
      <c r="AB61" s="11"/>
      <c r="AC61" s="11"/>
      <c r="AD61" s="13"/>
    </row>
    <row r="62" spans="2:30" customFormat="1" x14ac:dyDescent="0.35">
      <c r="B62" s="6"/>
      <c r="C62" s="6"/>
      <c r="D62" s="6"/>
      <c r="E62" s="6"/>
      <c r="F62" s="10"/>
      <c r="G62" s="10"/>
      <c r="H62" s="10"/>
      <c r="I62" s="11"/>
      <c r="J62" s="11"/>
      <c r="K62" s="11"/>
      <c r="L62" s="6"/>
      <c r="M62" s="6"/>
      <c r="N62" s="6"/>
      <c r="O62" s="6"/>
      <c r="P62" s="10"/>
      <c r="Q62" s="10"/>
      <c r="R62" s="10"/>
      <c r="S62" s="11"/>
      <c r="T62" s="18"/>
      <c r="U62" s="10"/>
      <c r="V62" s="13"/>
      <c r="X62" s="11"/>
      <c r="Y62" s="11"/>
      <c r="Z62" s="6"/>
      <c r="AA62" s="11"/>
      <c r="AB62" s="11"/>
      <c r="AC62" s="11"/>
      <c r="AD62" s="13"/>
    </row>
    <row r="63" spans="2:30" customFormat="1" x14ac:dyDescent="0.35">
      <c r="B63" s="6"/>
      <c r="C63" s="6"/>
      <c r="D63" s="6"/>
      <c r="E63" s="6"/>
      <c r="F63" s="10"/>
      <c r="G63" s="10"/>
      <c r="H63" s="10"/>
      <c r="I63" s="11"/>
      <c r="J63" s="11"/>
      <c r="K63" s="11"/>
      <c r="L63" s="6"/>
      <c r="M63" s="6"/>
      <c r="N63" s="6"/>
      <c r="O63" s="6"/>
      <c r="P63" s="10"/>
      <c r="Q63" s="10"/>
      <c r="R63" s="10"/>
      <c r="S63" s="11"/>
      <c r="T63" s="18"/>
      <c r="U63" s="10"/>
      <c r="V63" s="13"/>
      <c r="X63" s="11"/>
      <c r="Y63" s="11"/>
      <c r="Z63" s="6"/>
      <c r="AA63" s="11"/>
      <c r="AB63" s="11"/>
      <c r="AC63" s="11"/>
      <c r="AD63" s="13"/>
    </row>
    <row r="64" spans="2:30" customFormat="1" x14ac:dyDescent="0.35">
      <c r="B64" s="6"/>
      <c r="C64" s="6"/>
      <c r="D64" s="6"/>
      <c r="E64" s="6"/>
      <c r="F64" s="10"/>
      <c r="G64" s="10"/>
      <c r="H64" s="10"/>
      <c r="I64" s="11"/>
      <c r="J64" s="11"/>
      <c r="K64" s="11"/>
      <c r="L64" s="6"/>
      <c r="M64" s="6"/>
      <c r="N64" s="6"/>
      <c r="O64" s="6"/>
      <c r="P64" s="10"/>
      <c r="Q64" s="10"/>
      <c r="R64" s="10"/>
      <c r="S64" s="11"/>
      <c r="T64" s="18"/>
      <c r="U64" s="10"/>
      <c r="V64" s="13"/>
      <c r="X64" s="11"/>
      <c r="Y64" s="11"/>
      <c r="Z64" s="6"/>
      <c r="AA64" s="11"/>
      <c r="AB64" s="11"/>
      <c r="AC64" s="11"/>
      <c r="AD64" s="13"/>
    </row>
    <row r="65" spans="3:40" x14ac:dyDescent="0.35">
      <c r="C65" s="6"/>
      <c r="D65" s="6"/>
      <c r="E65" s="6"/>
      <c r="F65" s="10"/>
      <c r="G65" s="10"/>
      <c r="H65" s="10"/>
      <c r="I65" s="11"/>
      <c r="J65" s="11"/>
      <c r="K65" s="11"/>
      <c r="L65" s="6"/>
      <c r="M65" s="6"/>
      <c r="N65" s="6"/>
      <c r="O65" s="6"/>
      <c r="P65" s="10"/>
      <c r="S65" s="11"/>
      <c r="T65" s="18"/>
      <c r="V65" s="13"/>
      <c r="W65"/>
      <c r="X65" s="11"/>
      <c r="Y65" s="11"/>
      <c r="Z65" s="6"/>
      <c r="AA65" s="11"/>
      <c r="AB65" s="11"/>
      <c r="AC65" s="11"/>
      <c r="AD65" s="13"/>
      <c r="AE65"/>
      <c r="AF65"/>
      <c r="AG65"/>
      <c r="AI65"/>
      <c r="AJ65"/>
      <c r="AK65"/>
      <c r="AL65"/>
      <c r="AM65"/>
      <c r="AN65"/>
    </row>
    <row r="66" spans="3:40" x14ac:dyDescent="0.35">
      <c r="C66" s="6"/>
      <c r="D66" s="6"/>
      <c r="E66" s="6"/>
      <c r="F66" s="10"/>
      <c r="G66" s="10"/>
      <c r="H66" s="10"/>
      <c r="I66" s="11"/>
      <c r="J66" s="11"/>
      <c r="K66" s="11"/>
      <c r="L66" s="6"/>
      <c r="M66" s="6"/>
      <c r="N66" s="6"/>
      <c r="O66" s="6"/>
      <c r="P66" s="10"/>
      <c r="S66" s="11"/>
      <c r="T66" s="18"/>
      <c r="V66" s="13"/>
      <c r="W66"/>
      <c r="X66" s="11"/>
      <c r="Y66" s="11"/>
      <c r="Z66" s="6"/>
      <c r="AA66" s="11"/>
      <c r="AB66" s="11"/>
      <c r="AC66" s="11"/>
      <c r="AD66" s="13"/>
      <c r="AE66"/>
      <c r="AF66"/>
      <c r="AG66"/>
      <c r="AI66"/>
      <c r="AJ66"/>
      <c r="AK66"/>
      <c r="AL66"/>
      <c r="AM66"/>
      <c r="AN66"/>
    </row>
    <row r="67" spans="3:40" x14ac:dyDescent="0.35">
      <c r="C67" s="6"/>
      <c r="D67" s="6"/>
      <c r="E67" s="6"/>
      <c r="F67" s="10"/>
      <c r="G67" s="10"/>
      <c r="H67" s="10"/>
      <c r="I67" s="11"/>
      <c r="J67" s="11"/>
      <c r="K67" s="11"/>
      <c r="L67" s="6"/>
      <c r="M67" s="6"/>
      <c r="N67" s="6"/>
      <c r="O67" s="6"/>
      <c r="P67" s="10"/>
      <c r="S67" s="11"/>
      <c r="T67" s="18"/>
      <c r="V67" s="13"/>
      <c r="W67"/>
      <c r="X67" s="11"/>
      <c r="Y67" s="11"/>
      <c r="Z67" s="6"/>
      <c r="AA67" s="11"/>
      <c r="AB67" s="11"/>
      <c r="AC67" s="11"/>
      <c r="AD67" s="13"/>
      <c r="AE67"/>
      <c r="AF67"/>
      <c r="AG67"/>
      <c r="AI67"/>
      <c r="AJ67"/>
      <c r="AK67"/>
      <c r="AL67"/>
      <c r="AM67"/>
      <c r="AN67"/>
    </row>
    <row r="68" spans="3:40" x14ac:dyDescent="0.35">
      <c r="C68" s="6"/>
      <c r="D68" s="6"/>
      <c r="E68" s="6"/>
      <c r="F68" s="10"/>
      <c r="G68" s="10"/>
      <c r="H68" s="10"/>
      <c r="I68" s="11"/>
      <c r="J68" s="11"/>
      <c r="K68" s="11"/>
      <c r="L68" s="6"/>
      <c r="M68" s="6"/>
      <c r="N68" s="6"/>
      <c r="O68" s="6"/>
      <c r="P68" s="10"/>
      <c r="S68" s="11"/>
      <c r="T68" s="18"/>
      <c r="V68" s="13"/>
      <c r="W68"/>
      <c r="X68" s="11"/>
      <c r="Y68" s="11"/>
      <c r="Z68" s="6"/>
      <c r="AA68" s="11"/>
      <c r="AB68" s="11"/>
      <c r="AC68" s="11"/>
      <c r="AD68" s="13"/>
      <c r="AE68"/>
      <c r="AF68"/>
      <c r="AG68"/>
      <c r="AI68"/>
      <c r="AJ68"/>
      <c r="AK68"/>
      <c r="AL68"/>
      <c r="AM68"/>
      <c r="AN68"/>
    </row>
    <row r="69" spans="3:40" x14ac:dyDescent="0.35">
      <c r="C69" s="6"/>
      <c r="D69" s="6"/>
      <c r="E69" s="6"/>
      <c r="F69" s="10"/>
      <c r="G69" s="10"/>
      <c r="H69" s="10"/>
      <c r="I69" s="11"/>
      <c r="J69" s="11"/>
      <c r="K69" s="11"/>
      <c r="L69" s="6"/>
      <c r="M69" s="6"/>
      <c r="N69" s="6"/>
      <c r="O69" s="6"/>
      <c r="P69" s="10"/>
      <c r="S69" s="11"/>
      <c r="T69" s="18"/>
      <c r="V69" s="13"/>
      <c r="W69"/>
      <c r="X69" s="11"/>
      <c r="Y69" s="11"/>
      <c r="Z69" s="6"/>
      <c r="AA69" s="11"/>
      <c r="AB69" s="11"/>
      <c r="AC69" s="11"/>
      <c r="AD69" s="13"/>
      <c r="AE69"/>
      <c r="AF69"/>
      <c r="AG69"/>
      <c r="AI69"/>
      <c r="AJ69"/>
      <c r="AK69"/>
      <c r="AL69"/>
      <c r="AM69"/>
      <c r="AN69"/>
    </row>
    <row r="70" spans="3:40" x14ac:dyDescent="0.35">
      <c r="C70" s="6"/>
      <c r="D70" s="6"/>
      <c r="E70" s="6"/>
      <c r="F70" s="10"/>
      <c r="G70" s="10"/>
      <c r="H70" s="10"/>
      <c r="I70" s="11"/>
      <c r="J70" s="11"/>
      <c r="K70" s="11"/>
      <c r="L70" s="6"/>
      <c r="M70" s="6"/>
      <c r="N70" s="6"/>
      <c r="O70" s="6"/>
      <c r="P70" s="10"/>
      <c r="S70" s="11"/>
      <c r="T70" s="18"/>
      <c r="V70" s="13"/>
      <c r="W70"/>
      <c r="X70" s="11"/>
      <c r="Y70" s="11"/>
      <c r="Z70" s="6"/>
      <c r="AA70" s="11"/>
      <c r="AB70" s="11"/>
      <c r="AC70" s="11"/>
      <c r="AD70" s="13"/>
      <c r="AE70"/>
      <c r="AF70"/>
      <c r="AG70"/>
      <c r="AI70"/>
      <c r="AJ70"/>
      <c r="AK70"/>
      <c r="AL70"/>
      <c r="AM70"/>
      <c r="AN70"/>
    </row>
    <row r="71" spans="3:40" x14ac:dyDescent="0.35">
      <c r="C71" s="6"/>
      <c r="D71" s="6"/>
      <c r="E71" s="6"/>
      <c r="F71" s="10"/>
      <c r="G71" s="10"/>
      <c r="H71" s="10"/>
      <c r="I71" s="11"/>
      <c r="J71" s="11"/>
      <c r="K71" s="11"/>
      <c r="L71" s="6"/>
      <c r="M71" s="6"/>
      <c r="N71" s="6"/>
      <c r="O71" s="6"/>
      <c r="P71" s="10"/>
      <c r="S71" s="11"/>
      <c r="T71" s="18"/>
      <c r="V71" s="13"/>
      <c r="W71"/>
      <c r="X71" s="11"/>
      <c r="Y71" s="11"/>
      <c r="Z71" s="6"/>
      <c r="AA71" s="11"/>
      <c r="AB71" s="11"/>
      <c r="AC71" s="11"/>
      <c r="AD71" s="13"/>
      <c r="AE71"/>
      <c r="AF71"/>
      <c r="AG71"/>
      <c r="AI71"/>
      <c r="AJ71"/>
      <c r="AK71"/>
      <c r="AL71"/>
      <c r="AM71"/>
      <c r="AN71"/>
    </row>
    <row r="72" spans="3:40" x14ac:dyDescent="0.35">
      <c r="C72" s="6"/>
      <c r="D72" s="6"/>
      <c r="E72" s="6"/>
      <c r="F72" s="10"/>
      <c r="G72" s="10"/>
      <c r="H72" s="10"/>
      <c r="I72" s="11"/>
      <c r="J72" s="11"/>
      <c r="K72" s="11"/>
      <c r="L72" s="6"/>
      <c r="M72" s="6"/>
      <c r="N72" s="6"/>
      <c r="O72" s="6"/>
      <c r="P72" s="10"/>
      <c r="S72" s="11"/>
      <c r="T72" s="18"/>
      <c r="V72" s="13"/>
      <c r="W72"/>
      <c r="X72" s="11"/>
      <c r="Y72" s="11"/>
      <c r="Z72" s="6"/>
      <c r="AA72" s="11"/>
      <c r="AB72" s="11"/>
      <c r="AC72" s="11"/>
      <c r="AD72" s="13"/>
      <c r="AE72"/>
      <c r="AF72"/>
      <c r="AG72"/>
      <c r="AI72"/>
      <c r="AJ72"/>
      <c r="AK72"/>
      <c r="AL72"/>
      <c r="AM72"/>
      <c r="AN72"/>
    </row>
    <row r="73" spans="3:40" x14ac:dyDescent="0.35">
      <c r="C73" s="6"/>
      <c r="D73" s="6"/>
      <c r="E73" s="6"/>
      <c r="F73" s="10"/>
      <c r="G73" s="10"/>
      <c r="H73" s="10"/>
      <c r="I73" s="11"/>
      <c r="J73" s="11"/>
      <c r="K73" s="11"/>
      <c r="L73" s="6"/>
      <c r="M73" s="6"/>
      <c r="N73" s="6"/>
      <c r="O73" s="6"/>
      <c r="P73" s="10"/>
      <c r="S73" s="11"/>
      <c r="T73" s="18"/>
      <c r="V73" s="13"/>
      <c r="W73"/>
      <c r="X73" s="11"/>
      <c r="Y73" s="11"/>
      <c r="Z73" s="6"/>
      <c r="AA73" s="11"/>
      <c r="AB73" s="11"/>
      <c r="AC73" s="11"/>
      <c r="AD73" s="13"/>
      <c r="AE73"/>
      <c r="AF73"/>
      <c r="AG73"/>
      <c r="AI73"/>
      <c r="AJ73"/>
      <c r="AK73"/>
      <c r="AL73"/>
      <c r="AM73"/>
      <c r="AN73"/>
    </row>
    <row r="74" spans="3:40" x14ac:dyDescent="0.35">
      <c r="C74" s="6"/>
      <c r="D74" s="6"/>
      <c r="E74" s="6"/>
      <c r="F74" s="10"/>
      <c r="G74" s="10"/>
      <c r="H74" s="10"/>
      <c r="I74" s="11"/>
      <c r="J74" s="11"/>
      <c r="K74" s="11"/>
      <c r="L74" s="6"/>
      <c r="M74" s="6"/>
      <c r="N74" s="6"/>
      <c r="O74" s="6"/>
      <c r="P74" s="10"/>
      <c r="S74" s="11"/>
      <c r="T74" s="18"/>
      <c r="V74" s="13"/>
      <c r="W74"/>
      <c r="X74" s="11"/>
      <c r="Y74" s="11"/>
      <c r="Z74" s="6"/>
      <c r="AA74" s="11"/>
      <c r="AB74" s="11"/>
      <c r="AC74" s="11"/>
      <c r="AD74" s="13"/>
      <c r="AE74"/>
      <c r="AF74"/>
      <c r="AG74"/>
      <c r="AI74"/>
      <c r="AJ74"/>
      <c r="AK74"/>
      <c r="AL74"/>
      <c r="AM74"/>
      <c r="AN74"/>
    </row>
    <row r="75" spans="3:40" x14ac:dyDescent="0.35">
      <c r="C75" s="6"/>
      <c r="D75" s="6"/>
      <c r="E75" s="6"/>
      <c r="F75" s="10"/>
      <c r="G75" s="10"/>
      <c r="H75" s="10"/>
      <c r="I75" s="11"/>
      <c r="J75" s="11"/>
      <c r="K75" s="11"/>
      <c r="L75" s="6"/>
      <c r="M75" s="6"/>
      <c r="N75" s="6"/>
      <c r="O75" s="6"/>
      <c r="P75" s="10"/>
      <c r="S75" s="11"/>
      <c r="T75" s="18"/>
      <c r="V75" s="13"/>
      <c r="W75"/>
      <c r="X75" s="11"/>
      <c r="Y75" s="11"/>
      <c r="Z75" s="6"/>
      <c r="AA75" s="11"/>
      <c r="AB75" s="11"/>
      <c r="AC75" s="11"/>
      <c r="AD75" s="13"/>
      <c r="AE75"/>
      <c r="AF75"/>
      <c r="AG75"/>
      <c r="AI75"/>
      <c r="AJ75"/>
      <c r="AK75"/>
      <c r="AL75"/>
      <c r="AM75"/>
      <c r="AN75"/>
    </row>
    <row r="76" spans="3:40" x14ac:dyDescent="0.35">
      <c r="C76" s="6"/>
      <c r="D76" s="6"/>
      <c r="E76" s="6"/>
      <c r="F76" s="10"/>
      <c r="G76" s="10"/>
      <c r="H76" s="10"/>
      <c r="I76" s="11"/>
      <c r="J76" s="11"/>
      <c r="K76" s="11"/>
      <c r="L76" s="6"/>
      <c r="M76" s="6"/>
      <c r="N76" s="6"/>
      <c r="O76" s="6"/>
      <c r="P76" s="10"/>
      <c r="S76" s="11"/>
      <c r="T76" s="18"/>
      <c r="V76" s="13"/>
      <c r="W76"/>
      <c r="X76" s="11"/>
      <c r="Y76" s="11"/>
      <c r="Z76" s="6"/>
      <c r="AA76" s="11"/>
      <c r="AB76" s="11"/>
      <c r="AC76" s="11"/>
      <c r="AD76" s="13"/>
      <c r="AE76"/>
      <c r="AF76"/>
      <c r="AG76"/>
      <c r="AI76"/>
      <c r="AJ76"/>
      <c r="AK76"/>
      <c r="AL76"/>
      <c r="AM76"/>
      <c r="AN76"/>
    </row>
    <row r="77" spans="3:40" x14ac:dyDescent="0.35">
      <c r="C77" s="6"/>
      <c r="D77" s="6"/>
      <c r="E77" s="6"/>
      <c r="F77" s="10"/>
      <c r="G77" s="10"/>
      <c r="H77" s="10"/>
      <c r="I77" s="11"/>
      <c r="J77" s="11"/>
      <c r="K77" s="11"/>
      <c r="L77" s="6"/>
      <c r="M77" s="6"/>
      <c r="N77" s="6"/>
      <c r="O77" s="6"/>
      <c r="P77" s="10"/>
      <c r="S77" s="11"/>
      <c r="T77" s="18"/>
      <c r="V77" s="13"/>
      <c r="W77"/>
      <c r="X77" s="11"/>
      <c r="Y77" s="11"/>
      <c r="Z77" s="6"/>
      <c r="AA77" s="11"/>
      <c r="AB77" s="11"/>
      <c r="AC77" s="11"/>
      <c r="AD77" s="13"/>
      <c r="AE77"/>
      <c r="AF77"/>
      <c r="AG77"/>
      <c r="AI77"/>
      <c r="AJ77"/>
      <c r="AK77"/>
      <c r="AL77"/>
      <c r="AM77"/>
      <c r="AN77"/>
    </row>
    <row r="78" spans="3:40" x14ac:dyDescent="0.35">
      <c r="C78" s="6"/>
      <c r="D78" s="6"/>
      <c r="E78" s="6"/>
      <c r="F78" s="10"/>
      <c r="G78" s="10"/>
      <c r="H78" s="10"/>
      <c r="I78" s="11"/>
      <c r="J78" s="11"/>
      <c r="K78" s="11"/>
      <c r="L78" s="6"/>
      <c r="M78" s="6"/>
      <c r="N78" s="6"/>
      <c r="O78" s="6"/>
      <c r="P78" s="10"/>
      <c r="S78" s="11"/>
      <c r="T78" s="18"/>
      <c r="V78" s="13"/>
      <c r="W78"/>
      <c r="X78" s="11"/>
      <c r="Y78" s="11"/>
      <c r="Z78" s="6"/>
      <c r="AA78" s="11"/>
      <c r="AB78" s="11"/>
      <c r="AC78" s="11"/>
      <c r="AD78" s="13"/>
      <c r="AE78"/>
      <c r="AF78"/>
      <c r="AG78"/>
      <c r="AI78"/>
      <c r="AJ78"/>
      <c r="AK78"/>
      <c r="AL78"/>
      <c r="AM78"/>
      <c r="AN78"/>
    </row>
    <row r="79" spans="3:40" x14ac:dyDescent="0.35">
      <c r="C79" s="6"/>
      <c r="D79" s="6"/>
      <c r="E79" s="6"/>
      <c r="F79" s="10"/>
      <c r="G79" s="10"/>
      <c r="H79" s="10"/>
      <c r="I79" s="11"/>
      <c r="J79" s="11"/>
      <c r="K79" s="11"/>
      <c r="L79" s="6"/>
      <c r="M79" s="6"/>
      <c r="N79" s="6"/>
      <c r="O79" s="6"/>
      <c r="P79" s="10"/>
      <c r="S79" s="11"/>
      <c r="T79" s="18"/>
      <c r="V79" s="13"/>
      <c r="W79"/>
      <c r="X79" s="11"/>
      <c r="Y79" s="11"/>
      <c r="Z79" s="6"/>
      <c r="AA79" s="11"/>
      <c r="AB79" s="11"/>
      <c r="AC79" s="11"/>
      <c r="AD79" s="13"/>
      <c r="AE79"/>
      <c r="AF79"/>
      <c r="AG79"/>
      <c r="AI79"/>
      <c r="AJ79"/>
      <c r="AK79"/>
      <c r="AL79"/>
      <c r="AM79"/>
      <c r="AN79"/>
    </row>
    <row r="80" spans="3:40" x14ac:dyDescent="0.35">
      <c r="C80" s="6"/>
      <c r="D80" s="6"/>
      <c r="E80" s="6"/>
      <c r="F80" s="10"/>
      <c r="G80" s="10"/>
      <c r="H80" s="10"/>
      <c r="I80" s="11"/>
      <c r="J80" s="11"/>
      <c r="K80" s="11"/>
      <c r="L80" s="6"/>
      <c r="M80" s="6"/>
      <c r="N80" s="6"/>
      <c r="O80" s="6"/>
      <c r="P80" s="10"/>
      <c r="S80" s="11"/>
      <c r="T80" s="18"/>
      <c r="V80" s="13"/>
      <c r="W80"/>
      <c r="X80" s="11"/>
      <c r="Y80" s="11"/>
      <c r="Z80" s="6"/>
      <c r="AA80" s="11"/>
      <c r="AB80" s="11"/>
      <c r="AC80" s="11"/>
      <c r="AD80" s="13"/>
      <c r="AE80"/>
      <c r="AF80"/>
      <c r="AG80"/>
      <c r="AI80"/>
      <c r="AJ80"/>
      <c r="AK80"/>
      <c r="AL80"/>
      <c r="AM80"/>
      <c r="AN80"/>
    </row>
    <row r="81" spans="3:40" x14ac:dyDescent="0.35">
      <c r="C81" s="6"/>
      <c r="D81" s="6"/>
      <c r="E81" s="6"/>
      <c r="F81" s="10"/>
      <c r="G81" s="10"/>
      <c r="H81" s="10"/>
      <c r="I81" s="11"/>
      <c r="J81" s="11"/>
      <c r="K81" s="11"/>
      <c r="L81" s="6"/>
      <c r="M81" s="6"/>
      <c r="N81" s="6"/>
      <c r="O81" s="6"/>
      <c r="P81" s="10"/>
      <c r="S81" s="11"/>
      <c r="T81" s="18"/>
      <c r="V81" s="13"/>
      <c r="W81"/>
      <c r="X81" s="11"/>
      <c r="Y81" s="11"/>
      <c r="Z81" s="6"/>
      <c r="AA81" s="11"/>
      <c r="AB81" s="11"/>
      <c r="AC81" s="11"/>
      <c r="AD81" s="13"/>
      <c r="AE81"/>
      <c r="AF81"/>
      <c r="AG81"/>
      <c r="AI81"/>
      <c r="AJ81"/>
      <c r="AK81"/>
      <c r="AL81"/>
      <c r="AM81"/>
      <c r="AN81"/>
    </row>
    <row r="82" spans="3:40" x14ac:dyDescent="0.35">
      <c r="C82" s="6"/>
      <c r="D82" s="6"/>
      <c r="E82" s="6"/>
      <c r="F82" s="10"/>
      <c r="G82" s="10"/>
      <c r="H82" s="10"/>
      <c r="I82" s="11"/>
      <c r="J82" s="11"/>
      <c r="K82" s="11"/>
      <c r="L82" s="6"/>
      <c r="M82" s="6"/>
      <c r="N82" s="6"/>
      <c r="O82" s="6"/>
      <c r="P82" s="10"/>
      <c r="S82" s="11"/>
      <c r="T82" s="18"/>
      <c r="V82" s="13"/>
      <c r="W82"/>
      <c r="X82" s="11"/>
      <c r="Y82" s="11"/>
      <c r="Z82" s="6"/>
      <c r="AA82" s="11"/>
      <c r="AB82" s="11"/>
      <c r="AC82" s="11"/>
      <c r="AD82" s="13"/>
      <c r="AE82"/>
      <c r="AF82"/>
      <c r="AG82"/>
      <c r="AI82"/>
      <c r="AJ82"/>
      <c r="AK82"/>
      <c r="AL82"/>
      <c r="AM82"/>
      <c r="AN82"/>
    </row>
    <row r="83" spans="3:40" x14ac:dyDescent="0.35">
      <c r="C83" s="6"/>
      <c r="D83" s="6"/>
      <c r="E83" s="6"/>
      <c r="F83" s="10"/>
      <c r="G83" s="10"/>
      <c r="H83" s="10"/>
      <c r="I83" s="11"/>
      <c r="J83" s="11"/>
      <c r="K83" s="11"/>
      <c r="L83" s="6"/>
      <c r="M83" s="6"/>
      <c r="N83" s="6"/>
      <c r="O83" s="6"/>
      <c r="P83" s="10"/>
      <c r="S83" s="11"/>
      <c r="T83" s="18"/>
      <c r="V83" s="13"/>
      <c r="W83"/>
      <c r="X83" s="11"/>
      <c r="Y83" s="11"/>
      <c r="Z83" s="6"/>
      <c r="AA83" s="11"/>
      <c r="AB83" s="11"/>
      <c r="AC83" s="11"/>
      <c r="AD83" s="13"/>
      <c r="AE83"/>
      <c r="AF83"/>
      <c r="AG83"/>
      <c r="AI83"/>
      <c r="AJ83"/>
      <c r="AK83"/>
      <c r="AL83"/>
      <c r="AM83"/>
      <c r="AN83"/>
    </row>
  </sheetData>
  <phoneticPr fontId="5" type="noConversion"/>
  <conditionalFormatting sqref="I20:J20 I36:J83 I21:I35">
    <cfRule type="duplicateValues" dxfId="7" priority="4"/>
  </conditionalFormatting>
  <conditionalFormatting sqref="P38">
    <cfRule type="duplicateValues" dxfId="6" priority="1"/>
  </conditionalFormatting>
  <conditionalFormatting sqref="Q31:Q45">
    <cfRule type="duplicateValues" dxfId="5" priority="2"/>
  </conditionalFormatting>
  <conditionalFormatting sqref="S20:S83">
    <cfRule type="duplicateValues" dxfId="4" priority="3"/>
  </conditionalFormatting>
  <hyperlinks>
    <hyperlink ref="D10" r:id="rId1" display="R@" xr:uid="{C709D461-1486-4508-BFE4-109EF5054AF7}"/>
    <hyperlink ref="E10" r:id="rId2" display="R@" xr:uid="{331B8113-DC38-47CC-9590-191CE52CB8BB}"/>
    <hyperlink ref="D2" r:id="rId3" display="R@" xr:uid="{CF99AB50-1450-49DD-87A1-BF4AF41BD638}"/>
    <hyperlink ref="E2" r:id="rId4" display="R@" xr:uid="{832A1FFD-38F8-4013-A1CC-25BDC79760A8}"/>
    <hyperlink ref="H2" r:id="rId5" display="R@" xr:uid="{99E6C6EB-75DA-46C2-B81D-15CDF1D96E93}"/>
    <hyperlink ref="I2" r:id="rId6" display="R@" xr:uid="{1774C045-A23D-44EE-804F-A0A0FA9C2E71}"/>
    <hyperlink ref="H10" r:id="rId7" display="R@" xr:uid="{7C4919B3-978D-4C2E-BBC9-99154FBEB63C}"/>
    <hyperlink ref="I10" r:id="rId8" display="R@" xr:uid="{8ED23DF1-8143-44B3-8E4A-A7865D09A8CA}"/>
  </hyperlinks>
  <pageMargins left="0.7" right="0.7" top="0.75" bottom="0.75" header="0.3" footer="0.3"/>
  <drawing r:id="rId9"/>
  <tableParts count="2">
    <tablePart r:id="rId10"/>
    <tablePart r:id="rId1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9DAEE-F35B-4F2B-BE58-7F1614BCBE47}">
  <dimension ref="B2:DO83"/>
  <sheetViews>
    <sheetView workbookViewId="0">
      <selection activeCell="J9" sqref="J9"/>
    </sheetView>
  </sheetViews>
  <sheetFormatPr defaultRowHeight="14.5" x14ac:dyDescent="0.35"/>
  <cols>
    <col min="2" max="2" width="6.7265625" style="6" bestFit="1" customWidth="1"/>
    <col min="3" max="3" width="12.1796875" customWidth="1"/>
    <col min="4" max="5" width="10.54296875" bestFit="1" customWidth="1"/>
    <col min="6" max="6" width="9.26953125" bestFit="1" customWidth="1"/>
    <col min="7" max="9" width="10.54296875" bestFit="1" customWidth="1"/>
    <col min="10" max="10" width="13.1796875" style="10" customWidth="1"/>
    <col min="11" max="11" width="10.54296875" style="10" bestFit="1" customWidth="1"/>
    <col min="12" max="12" width="6.7265625" style="10" bestFit="1" customWidth="1"/>
    <col min="13" max="13" width="9.453125" style="10" bestFit="1" customWidth="1"/>
    <col min="14" max="14" width="12" style="10" bestFit="1" customWidth="1"/>
    <col min="15" max="15" width="9.54296875" style="10" bestFit="1" customWidth="1"/>
    <col min="16" max="16" width="11.81640625" style="6" bestFit="1" customWidth="1"/>
    <col min="17" max="17" width="9.54296875" style="10" bestFit="1" customWidth="1"/>
    <col min="18" max="18" width="19.1796875" style="10" bestFit="1" customWidth="1"/>
    <col min="19" max="19" width="12.26953125" style="10" bestFit="1" customWidth="1"/>
    <col min="20" max="20" width="19.1796875" style="10" bestFit="1" customWidth="1"/>
    <col min="21" max="21" width="13.54296875" style="10" bestFit="1" customWidth="1"/>
    <col min="22" max="22" width="10.1796875" style="10" bestFit="1" customWidth="1"/>
    <col min="23" max="25" width="10.54296875" style="10" customWidth="1"/>
    <col min="26" max="27" width="10.54296875" style="10" bestFit="1" customWidth="1"/>
    <col min="28" max="28" width="19.26953125" style="10" customWidth="1"/>
    <col min="29" max="29" width="10.54296875" style="10" customWidth="1"/>
    <col min="30" max="30" width="10" style="11" bestFit="1" customWidth="1"/>
    <col min="31" max="31" width="19.1796875" style="11" bestFit="1" customWidth="1"/>
    <col min="32" max="32" width="14.7265625" style="11" bestFit="1" customWidth="1"/>
    <col min="33" max="33" width="9.54296875" style="13" bestFit="1" customWidth="1"/>
    <col min="35" max="35" width="7.81640625" style="11" bestFit="1" customWidth="1"/>
    <col min="36" max="37" width="7.81640625" style="11" customWidth="1"/>
    <col min="38" max="39" width="10.81640625" style="11" customWidth="1"/>
    <col min="40" max="40" width="9.1796875" style="11"/>
  </cols>
  <sheetData>
    <row r="2" spans="3:119" x14ac:dyDescent="0.35">
      <c r="C2" s="15" t="s">
        <v>10</v>
      </c>
      <c r="D2" s="5" t="s">
        <v>11</v>
      </c>
      <c r="E2" s="5" t="s">
        <v>13</v>
      </c>
      <c r="F2" s="7"/>
      <c r="G2" s="15" t="s">
        <v>10</v>
      </c>
      <c r="H2" s="5" t="s">
        <v>11</v>
      </c>
      <c r="I2" s="5" t="s">
        <v>13</v>
      </c>
    </row>
    <row r="3" spans="3:119" x14ac:dyDescent="0.35">
      <c r="C3">
        <v>7</v>
      </c>
      <c r="D3">
        <v>7</v>
      </c>
      <c r="E3">
        <v>7</v>
      </c>
      <c r="G3">
        <v>7</v>
      </c>
      <c r="H3">
        <v>7</v>
      </c>
      <c r="I3">
        <v>100</v>
      </c>
      <c r="J3"/>
      <c r="K3"/>
      <c r="L3"/>
      <c r="M3"/>
      <c r="N3"/>
      <c r="O3"/>
      <c r="Q3"/>
      <c r="S3"/>
      <c r="T3"/>
      <c r="U3" s="6"/>
      <c r="V3"/>
      <c r="W3"/>
      <c r="X3"/>
      <c r="Y3"/>
    </row>
    <row r="4" spans="3:119" x14ac:dyDescent="0.35">
      <c r="C4">
        <v>7</v>
      </c>
      <c r="D4">
        <v>30</v>
      </c>
      <c r="E4">
        <v>100</v>
      </c>
      <c r="G4">
        <v>7</v>
      </c>
      <c r="H4">
        <v>50</v>
      </c>
      <c r="I4">
        <v>100</v>
      </c>
      <c r="J4"/>
      <c r="K4"/>
      <c r="L4"/>
      <c r="M4"/>
      <c r="N4"/>
      <c r="O4"/>
      <c r="Q4"/>
      <c r="R4"/>
      <c r="S4"/>
      <c r="T4"/>
      <c r="U4" s="6"/>
      <c r="V4"/>
      <c r="W4"/>
      <c r="X4"/>
      <c r="Y4"/>
    </row>
    <row r="5" spans="3:119" x14ac:dyDescent="0.35">
      <c r="C5">
        <v>30</v>
      </c>
      <c r="D5">
        <v>100</v>
      </c>
      <c r="E5">
        <v>100</v>
      </c>
      <c r="G5">
        <v>100</v>
      </c>
      <c r="H5">
        <v>100</v>
      </c>
      <c r="I5">
        <v>100</v>
      </c>
      <c r="J5"/>
      <c r="K5"/>
      <c r="L5"/>
      <c r="M5"/>
      <c r="N5"/>
      <c r="O5"/>
      <c r="Q5"/>
      <c r="R5"/>
      <c r="S5"/>
      <c r="T5"/>
      <c r="U5" s="6"/>
      <c r="V5"/>
      <c r="W5"/>
      <c r="X5"/>
      <c r="Y5"/>
    </row>
    <row r="6" spans="3:119" x14ac:dyDescent="0.35">
      <c r="J6"/>
      <c r="K6"/>
      <c r="L6"/>
      <c r="Q6"/>
      <c r="R6"/>
      <c r="S6"/>
      <c r="T6"/>
      <c r="U6" s="6"/>
      <c r="V6"/>
      <c r="W6"/>
      <c r="X6"/>
      <c r="Y6"/>
    </row>
    <row r="7" spans="3:119" x14ac:dyDescent="0.35">
      <c r="J7"/>
      <c r="K7"/>
      <c r="L7"/>
      <c r="Q7"/>
      <c r="R7"/>
      <c r="S7"/>
      <c r="T7"/>
      <c r="U7" s="6"/>
      <c r="V7"/>
      <c r="W7"/>
      <c r="X7"/>
      <c r="Y7"/>
      <c r="AT7" s="27"/>
      <c r="AU7" s="7"/>
      <c r="AV7" s="7"/>
      <c r="AW7" s="7"/>
      <c r="AX7" s="7"/>
      <c r="AY7" s="7"/>
      <c r="BB7" s="27"/>
      <c r="BC7" s="7"/>
      <c r="BD7" s="7"/>
      <c r="BE7" s="7"/>
      <c r="BF7" s="7"/>
      <c r="BG7" s="7"/>
      <c r="BI7" s="27"/>
      <c r="BJ7" s="7"/>
      <c r="BK7" s="7"/>
      <c r="BL7" s="7"/>
      <c r="BM7" s="7"/>
      <c r="BN7" s="7"/>
      <c r="BP7" s="27"/>
      <c r="BQ7" s="7"/>
      <c r="BR7" s="7"/>
      <c r="BS7" s="7"/>
      <c r="BT7" s="7"/>
      <c r="BU7" s="7"/>
      <c r="BW7" s="27"/>
      <c r="BX7" s="7"/>
      <c r="BY7" s="7"/>
      <c r="BZ7" s="7"/>
      <c r="CA7" s="7"/>
      <c r="CB7" s="7"/>
      <c r="CD7" s="27"/>
      <c r="CE7" s="7"/>
      <c r="CF7" s="7"/>
      <c r="CG7" s="7"/>
      <c r="CH7" s="7"/>
      <c r="CI7" s="7"/>
      <c r="CK7" s="27"/>
      <c r="CL7" s="7"/>
      <c r="CM7" s="7"/>
      <c r="CN7" s="7"/>
      <c r="CO7" s="7"/>
      <c r="CP7" s="7"/>
      <c r="CQ7" s="7"/>
      <c r="CS7" s="27"/>
      <c r="CT7" s="7"/>
      <c r="CU7" s="7"/>
      <c r="CV7" s="7"/>
      <c r="CW7" s="7"/>
      <c r="CX7" s="7"/>
      <c r="CY7" s="7"/>
      <c r="DA7" s="27"/>
      <c r="DB7" s="7"/>
      <c r="DC7" s="7"/>
      <c r="DD7" s="7"/>
      <c r="DE7" s="7"/>
      <c r="DF7" s="7"/>
      <c r="DG7" s="7"/>
      <c r="DI7" s="27"/>
      <c r="DJ7" s="7"/>
      <c r="DK7" s="7"/>
      <c r="DL7" s="7"/>
      <c r="DM7" s="7"/>
      <c r="DN7" s="7"/>
      <c r="DO7" s="7"/>
    </row>
    <row r="8" spans="3:119" x14ac:dyDescent="0.35">
      <c r="J8"/>
      <c r="K8"/>
      <c r="L8"/>
      <c r="Q8"/>
      <c r="R8"/>
      <c r="S8"/>
      <c r="T8"/>
      <c r="U8" s="6"/>
      <c r="V8"/>
      <c r="W8"/>
      <c r="X8"/>
      <c r="Y8"/>
    </row>
    <row r="9" spans="3:119" x14ac:dyDescent="0.35">
      <c r="K9"/>
      <c r="L9"/>
      <c r="Q9"/>
      <c r="R9"/>
      <c r="S9"/>
      <c r="T9"/>
      <c r="U9" s="6"/>
      <c r="V9"/>
      <c r="W9"/>
      <c r="X9"/>
      <c r="Y9"/>
    </row>
    <row r="10" spans="3:119" x14ac:dyDescent="0.35">
      <c r="C10" s="16" t="s">
        <v>7</v>
      </c>
      <c r="D10" s="9" t="s">
        <v>8</v>
      </c>
      <c r="E10" s="9" t="s">
        <v>12</v>
      </c>
      <c r="F10" s="28"/>
      <c r="G10" s="16" t="s">
        <v>7</v>
      </c>
      <c r="H10" s="9" t="s">
        <v>8</v>
      </c>
      <c r="I10" s="9" t="s">
        <v>12</v>
      </c>
      <c r="K10"/>
      <c r="L10"/>
      <c r="O10"/>
      <c r="Q10"/>
      <c r="R10"/>
      <c r="S10"/>
      <c r="T10"/>
      <c r="U10" s="6"/>
      <c r="V10"/>
      <c r="W10"/>
      <c r="X10"/>
      <c r="Y10"/>
    </row>
    <row r="11" spans="3:119" x14ac:dyDescent="0.35">
      <c r="C11" s="10">
        <f>0.2/(C3*1000)</f>
        <v>2.8571428571428574E-5</v>
      </c>
      <c r="D11" s="10">
        <f t="shared" ref="D11:E11" si="0">0.2/(D3*1000)</f>
        <v>2.8571428571428574E-5</v>
      </c>
      <c r="E11" s="10">
        <f t="shared" si="0"/>
        <v>2.8571428571428574E-5</v>
      </c>
      <c r="F11" s="10"/>
      <c r="G11" s="10">
        <f t="shared" ref="G11:I13" si="1">0.2/(G3*1000)</f>
        <v>2.8571428571428574E-5</v>
      </c>
      <c r="H11" s="10">
        <f t="shared" si="1"/>
        <v>2.8571428571428574E-5</v>
      </c>
      <c r="I11" s="10">
        <f t="shared" si="1"/>
        <v>1.9999999999999999E-6</v>
      </c>
      <c r="K11"/>
      <c r="L11"/>
      <c r="M11"/>
      <c r="O11"/>
      <c r="Q11"/>
      <c r="R11"/>
      <c r="S11"/>
      <c r="T11"/>
      <c r="U11"/>
      <c r="V11"/>
      <c r="W11"/>
      <c r="X11"/>
      <c r="Y11"/>
    </row>
    <row r="12" spans="3:119" x14ac:dyDescent="0.35">
      <c r="C12" s="10">
        <f t="shared" ref="C12:E13" si="2">0.2/(C4*1000)</f>
        <v>2.8571428571428574E-5</v>
      </c>
      <c r="D12" s="10">
        <f t="shared" si="2"/>
        <v>6.6666666666666666E-6</v>
      </c>
      <c r="E12" s="10">
        <f t="shared" si="2"/>
        <v>1.9999999999999999E-6</v>
      </c>
      <c r="F12" s="10"/>
      <c r="G12" s="10">
        <f t="shared" si="1"/>
        <v>2.8571428571428574E-5</v>
      </c>
      <c r="H12" s="10">
        <f t="shared" si="1"/>
        <v>3.9999999999999998E-6</v>
      </c>
      <c r="I12" s="10">
        <f t="shared" si="1"/>
        <v>1.9999999999999999E-6</v>
      </c>
      <c r="K12"/>
      <c r="L12"/>
      <c r="M12"/>
      <c r="O12"/>
      <c r="Q12"/>
      <c r="R12"/>
      <c r="S12"/>
      <c r="T12"/>
      <c r="U12"/>
      <c r="V12"/>
      <c r="W12"/>
      <c r="X12"/>
      <c r="Y12"/>
    </row>
    <row r="13" spans="3:119" x14ac:dyDescent="0.35">
      <c r="C13" s="10">
        <f t="shared" si="2"/>
        <v>6.6666666666666666E-6</v>
      </c>
      <c r="D13" s="10">
        <f t="shared" si="2"/>
        <v>1.9999999999999999E-6</v>
      </c>
      <c r="E13" s="10">
        <f t="shared" si="2"/>
        <v>1.9999999999999999E-6</v>
      </c>
      <c r="F13" s="10"/>
      <c r="G13" s="10">
        <f t="shared" si="1"/>
        <v>1.9999999999999999E-6</v>
      </c>
      <c r="H13" s="10">
        <f t="shared" si="1"/>
        <v>1.9999999999999999E-6</v>
      </c>
      <c r="I13" s="10">
        <f t="shared" si="1"/>
        <v>1.9999999999999999E-6</v>
      </c>
    </row>
    <row r="14" spans="3:119" x14ac:dyDescent="0.35">
      <c r="F14" s="10"/>
      <c r="G14" s="10"/>
      <c r="H14" s="10"/>
      <c r="I14" s="10"/>
    </row>
    <row r="15" spans="3:119" x14ac:dyDescent="0.35">
      <c r="F15" s="10"/>
      <c r="G15" s="10"/>
      <c r="H15" s="10"/>
      <c r="I15" s="10"/>
    </row>
    <row r="16" spans="3:119" x14ac:dyDescent="0.35">
      <c r="F16" s="10"/>
      <c r="G16" s="10"/>
      <c r="H16" s="10"/>
      <c r="I16" s="10"/>
    </row>
    <row r="17" spans="2:48" x14ac:dyDescent="0.35">
      <c r="I17" s="10"/>
    </row>
    <row r="19" spans="2:48" s="2" customFormat="1" x14ac:dyDescent="0.35">
      <c r="B19" s="3" t="s">
        <v>6</v>
      </c>
      <c r="C19" s="3" t="s">
        <v>5</v>
      </c>
      <c r="D19" s="3" t="s">
        <v>0</v>
      </c>
      <c r="E19" s="3" t="s">
        <v>1</v>
      </c>
      <c r="F19" s="8" t="s">
        <v>7</v>
      </c>
      <c r="G19" s="8" t="s">
        <v>8</v>
      </c>
      <c r="H19" s="8" t="s">
        <v>12</v>
      </c>
      <c r="I19" s="12" t="s">
        <v>37</v>
      </c>
      <c r="J19" s="12" t="s">
        <v>54</v>
      </c>
      <c r="L19" s="3" t="s">
        <v>6</v>
      </c>
      <c r="M19" s="3" t="s">
        <v>51</v>
      </c>
      <c r="N19" s="3" t="s">
        <v>3</v>
      </c>
      <c r="O19" s="3" t="s">
        <v>4</v>
      </c>
      <c r="P19" s="8" t="s">
        <v>43</v>
      </c>
      <c r="Q19" s="8" t="s">
        <v>44</v>
      </c>
      <c r="R19" s="8" t="s">
        <v>45</v>
      </c>
      <c r="S19" s="12" t="s">
        <v>50</v>
      </c>
      <c r="T19" s="8" t="s">
        <v>36</v>
      </c>
      <c r="U19" s="8" t="s">
        <v>57</v>
      </c>
    </row>
    <row r="20" spans="2:48" x14ac:dyDescent="0.35">
      <c r="B20" s="6">
        <v>0</v>
      </c>
      <c r="C20" s="6" t="str">
        <f t="shared" ref="C20:C27" si="3">LEFT(RIGHT(DEC2BIN($B20,3),3),1)</f>
        <v>0</v>
      </c>
      <c r="D20" s="6" t="str">
        <f t="shared" ref="D20:D27" si="4">LEFT(RIGHT(DEC2BIN($B20,3),2),1)</f>
        <v>0</v>
      </c>
      <c r="E20" s="6" t="str">
        <f t="shared" ref="E20:E27" si="5">LEFT(RIGHT(DEC2BIN($B20,3),1),1)</f>
        <v>0</v>
      </c>
      <c r="F20" s="10">
        <f t="shared" ref="F20:F27" si="6">(($C20*$C$11)+($D20*$C$12)+($E20*$C$13))</f>
        <v>0</v>
      </c>
      <c r="G20" s="10">
        <f t="shared" ref="G20:G27" si="7">(($C20*$D$11)+($D20*$D$12)+($E20*$D$13))</f>
        <v>0</v>
      </c>
      <c r="H20" s="10">
        <f t="shared" ref="H20:H27" si="8">(($C20*$E$11)+($D20*$E$12)+($E20*$E$13))</f>
        <v>0</v>
      </c>
      <c r="I20" s="11">
        <f>ROUND(( SUM(Table32315891012[[#This Row],[I1]:[I2]]))*1000000, 0)</f>
        <v>0</v>
      </c>
      <c r="J20" s="26" t="s">
        <v>55</v>
      </c>
      <c r="K20" s="11"/>
      <c r="L20" s="6">
        <v>0</v>
      </c>
      <c r="M20" s="6" t="str">
        <f t="shared" ref="M20:M27" si="9">LEFT(RIGHT(DEC2BIN($L20,3),3),1)</f>
        <v>0</v>
      </c>
      <c r="N20" s="6" t="str">
        <f t="shared" ref="N20:N27" si="10">LEFT(RIGHT(DEC2BIN($L20,3),2),1)</f>
        <v>0</v>
      </c>
      <c r="O20" s="6" t="str">
        <f t="shared" ref="O20:O27" si="11">LEFT(RIGHT(DEC2BIN($L20,3),1),1)</f>
        <v>0</v>
      </c>
      <c r="P20" s="10">
        <f t="shared" ref="P20:P27" si="12">(($M20*$G$11)+($N20*$G$12)+($O20*$G$13))</f>
        <v>0</v>
      </c>
      <c r="Q20" s="10">
        <f t="shared" ref="Q20:Q27" si="13">(($M20*$H$11)+($N20*$H$12)+($O20*$H$13))</f>
        <v>0</v>
      </c>
      <c r="R20" s="10">
        <f>(($M20*$I$11)+($N20*$I$12)+($O20*$I$13))</f>
        <v>0</v>
      </c>
      <c r="S20" s="11">
        <f>ROUND((SUM(Table121114[[#This Row],[II1]:[II2]]))*1000000, 0)</f>
        <v>0</v>
      </c>
      <c r="T20" s="18" t="s">
        <v>55</v>
      </c>
      <c r="U20" s="10" t="s">
        <v>56</v>
      </c>
      <c r="V20" s="11"/>
      <c r="W20" s="11"/>
      <c r="X20" s="6"/>
      <c r="Y20" s="11"/>
      <c r="Z20" s="11"/>
      <c r="AA20" s="11"/>
      <c r="AB20" s="13"/>
      <c r="AC20"/>
      <c r="AD20"/>
      <c r="AE20"/>
      <c r="AF20"/>
      <c r="AG20"/>
      <c r="AI20"/>
      <c r="AJ20"/>
      <c r="AK20"/>
      <c r="AL20"/>
      <c r="AM20"/>
      <c r="AN20"/>
      <c r="AQ20" s="27"/>
      <c r="AR20" s="7"/>
      <c r="AS20" s="7"/>
      <c r="AT20" s="7"/>
      <c r="AU20" s="7"/>
      <c r="AV20" s="7"/>
    </row>
    <row r="21" spans="2:48" x14ac:dyDescent="0.35">
      <c r="B21" s="6">
        <v>1</v>
      </c>
      <c r="C21" s="6" t="str">
        <f t="shared" si="3"/>
        <v>0</v>
      </c>
      <c r="D21" s="6" t="str">
        <f t="shared" si="4"/>
        <v>0</v>
      </c>
      <c r="E21" s="6" t="str">
        <f t="shared" si="5"/>
        <v>1</v>
      </c>
      <c r="F21" s="10">
        <f t="shared" si="6"/>
        <v>6.6666666666666666E-6</v>
      </c>
      <c r="G21" s="10">
        <f t="shared" si="7"/>
        <v>1.9999999999999999E-6</v>
      </c>
      <c r="H21" s="10">
        <f t="shared" si="8"/>
        <v>1.9999999999999999E-6</v>
      </c>
      <c r="I21" s="11">
        <f>ROUND(( SUM(Table32315891012[[#This Row],[I1]:[I2]]))*1000000, 0)</f>
        <v>9</v>
      </c>
      <c r="J21" s="2" t="s">
        <v>19</v>
      </c>
      <c r="K21" s="11"/>
      <c r="L21" s="6">
        <v>4</v>
      </c>
      <c r="M21" s="6" t="str">
        <f t="shared" si="9"/>
        <v>1</v>
      </c>
      <c r="N21" s="6" t="str">
        <f t="shared" si="10"/>
        <v>0</v>
      </c>
      <c r="O21" s="6" t="str">
        <f t="shared" si="11"/>
        <v>0</v>
      </c>
      <c r="P21" s="10">
        <f t="shared" si="12"/>
        <v>2.8571428571428574E-5</v>
      </c>
      <c r="Q21" s="10">
        <f>(($M21*$H$11)+($N21*$H$12)+($O21*$H$13))</f>
        <v>2.8571428571428574E-5</v>
      </c>
      <c r="R21" s="10">
        <f>(($M21*$I$11)+($N21*$I$12)+($O21*$I$13))</f>
        <v>1.9999999999999999E-6</v>
      </c>
      <c r="S21" s="11">
        <f>ROUND((SUM(Table121114[[#This Row],[II1]:[II2]]))*1000000, 0)</f>
        <v>57</v>
      </c>
      <c r="T21" s="18" t="s">
        <v>18</v>
      </c>
      <c r="V21" s="11"/>
      <c r="W21" s="11"/>
      <c r="X21" s="6"/>
      <c r="Y21" s="11"/>
      <c r="Z21" s="11"/>
      <c r="AA21" s="11"/>
      <c r="AB21" s="13"/>
      <c r="AC21"/>
      <c r="AD21"/>
      <c r="AE21"/>
      <c r="AF21"/>
      <c r="AG21"/>
      <c r="AI21"/>
      <c r="AJ21"/>
      <c r="AK21"/>
      <c r="AL21"/>
      <c r="AM21"/>
      <c r="AN21"/>
    </row>
    <row r="22" spans="2:48" x14ac:dyDescent="0.35">
      <c r="B22" s="6">
        <v>2</v>
      </c>
      <c r="C22" s="6" t="str">
        <f t="shared" si="3"/>
        <v>0</v>
      </c>
      <c r="D22" s="6" t="str">
        <f t="shared" si="4"/>
        <v>1</v>
      </c>
      <c r="E22" s="6" t="str">
        <f t="shared" si="5"/>
        <v>0</v>
      </c>
      <c r="F22" s="10">
        <f t="shared" si="6"/>
        <v>2.8571428571428574E-5</v>
      </c>
      <c r="G22" s="10">
        <f t="shared" si="7"/>
        <v>6.6666666666666666E-6</v>
      </c>
      <c r="H22" s="10">
        <f t="shared" si="8"/>
        <v>1.9999999999999999E-6</v>
      </c>
      <c r="I22" s="11">
        <f>ROUND(( SUM(Table32315891012[[#This Row],[I1]:[I2]]))*1000000, 0)</f>
        <v>35</v>
      </c>
      <c r="J22" s="26" t="s">
        <v>21</v>
      </c>
      <c r="K22" s="11"/>
      <c r="L22" s="6">
        <v>2</v>
      </c>
      <c r="M22" s="6" t="str">
        <f t="shared" si="9"/>
        <v>0</v>
      </c>
      <c r="N22" s="6" t="str">
        <f t="shared" si="10"/>
        <v>1</v>
      </c>
      <c r="O22" s="6" t="str">
        <f t="shared" si="11"/>
        <v>0</v>
      </c>
      <c r="P22" s="10">
        <f t="shared" si="12"/>
        <v>2.8571428571428574E-5</v>
      </c>
      <c r="Q22" s="10">
        <f t="shared" si="13"/>
        <v>3.9999999999999998E-6</v>
      </c>
      <c r="R22" s="10">
        <f t="shared" ref="R22:R27" si="14">(($M22*$I$11)+($N22*$I$12)+($O22*$I$13))</f>
        <v>1.9999999999999999E-6</v>
      </c>
      <c r="S22" s="11">
        <f>ROUND((SUM(Table121114[[#This Row],[II1]:[II2]]))*1000000, 0)</f>
        <v>33</v>
      </c>
      <c r="T22" s="18" t="s">
        <v>17</v>
      </c>
      <c r="V22" s="11"/>
      <c r="W22" s="11"/>
      <c r="X22" s="6"/>
      <c r="Y22" s="11"/>
      <c r="Z22" s="11"/>
      <c r="AA22" s="11"/>
      <c r="AB22" s="13"/>
      <c r="AC22"/>
      <c r="AD22"/>
      <c r="AE22"/>
      <c r="AF22"/>
      <c r="AG22"/>
      <c r="AI22"/>
      <c r="AJ22"/>
      <c r="AK22"/>
      <c r="AL22"/>
      <c r="AM22"/>
      <c r="AN22"/>
    </row>
    <row r="23" spans="2:48" x14ac:dyDescent="0.35">
      <c r="B23" s="6">
        <v>3</v>
      </c>
      <c r="C23" s="6" t="str">
        <f t="shared" si="3"/>
        <v>0</v>
      </c>
      <c r="D23" s="6" t="str">
        <f t="shared" si="4"/>
        <v>1</v>
      </c>
      <c r="E23" s="6" t="str">
        <f t="shared" si="5"/>
        <v>1</v>
      </c>
      <c r="F23" s="10">
        <f t="shared" si="6"/>
        <v>3.5238095238095239E-5</v>
      </c>
      <c r="G23" s="10">
        <f t="shared" si="7"/>
        <v>8.6666666666666661E-6</v>
      </c>
      <c r="H23" s="10">
        <f t="shared" si="8"/>
        <v>3.9999999999999998E-6</v>
      </c>
      <c r="I23" s="11">
        <f>ROUND(( SUM(Table32315891012[[#This Row],[I1]:[I2]]))*1000000, 0)</f>
        <v>44</v>
      </c>
      <c r="J23" s="26" t="s">
        <v>21</v>
      </c>
      <c r="K23" s="11"/>
      <c r="L23" s="6">
        <v>6</v>
      </c>
      <c r="M23" s="6" t="str">
        <f t="shared" si="9"/>
        <v>1</v>
      </c>
      <c r="N23" s="6" t="str">
        <f t="shared" si="10"/>
        <v>1</v>
      </c>
      <c r="O23" s="6" t="str">
        <f t="shared" si="11"/>
        <v>0</v>
      </c>
      <c r="P23" s="10">
        <f t="shared" si="12"/>
        <v>5.7142857142857148E-5</v>
      </c>
      <c r="Q23" s="10">
        <f t="shared" si="13"/>
        <v>3.2571428571428573E-5</v>
      </c>
      <c r="R23" s="10">
        <f t="shared" si="14"/>
        <v>3.9999999999999998E-6</v>
      </c>
      <c r="S23" s="11">
        <f>ROUND((SUM(Table121114[[#This Row],[II1]:[II2]]))*1000000, 0)</f>
        <v>90</v>
      </c>
      <c r="T23" s="18" t="s">
        <v>17</v>
      </c>
      <c r="V23" s="11"/>
      <c r="W23" s="11"/>
      <c r="X23" s="6"/>
      <c r="Y23" s="11"/>
      <c r="Z23" s="11"/>
      <c r="AA23" s="11"/>
      <c r="AB23" s="13"/>
      <c r="AC23"/>
      <c r="AD23"/>
      <c r="AE23"/>
      <c r="AF23"/>
      <c r="AG23"/>
      <c r="AI23"/>
      <c r="AJ23"/>
      <c r="AK23"/>
      <c r="AL23"/>
      <c r="AM23"/>
      <c r="AN23"/>
    </row>
    <row r="24" spans="2:48" x14ac:dyDescent="0.35">
      <c r="B24" s="6">
        <v>4</v>
      </c>
      <c r="C24" s="6" t="str">
        <f t="shared" si="3"/>
        <v>1</v>
      </c>
      <c r="D24" s="6" t="str">
        <f t="shared" si="4"/>
        <v>0</v>
      </c>
      <c r="E24" s="6" t="str">
        <f t="shared" si="5"/>
        <v>0</v>
      </c>
      <c r="F24" s="10">
        <f t="shared" si="6"/>
        <v>2.8571428571428574E-5</v>
      </c>
      <c r="G24" s="10">
        <f t="shared" si="7"/>
        <v>2.8571428571428574E-5</v>
      </c>
      <c r="H24" s="10">
        <f t="shared" si="8"/>
        <v>2.8571428571428574E-5</v>
      </c>
      <c r="I24" s="11">
        <f>ROUND(( SUM(Table32315891012[[#This Row],[I1]:[I2]]))*1000000, 0)</f>
        <v>57</v>
      </c>
      <c r="J24" s="2" t="s">
        <v>22</v>
      </c>
      <c r="K24" s="11"/>
      <c r="L24" s="6">
        <v>1</v>
      </c>
      <c r="M24" s="6" t="str">
        <f t="shared" si="9"/>
        <v>0</v>
      </c>
      <c r="N24" s="6" t="str">
        <f t="shared" si="10"/>
        <v>0</v>
      </c>
      <c r="O24" s="6" t="str">
        <f t="shared" si="11"/>
        <v>1</v>
      </c>
      <c r="P24" s="10">
        <f t="shared" si="12"/>
        <v>1.9999999999999999E-6</v>
      </c>
      <c r="Q24" s="10">
        <f t="shared" si="13"/>
        <v>1.9999999999999999E-6</v>
      </c>
      <c r="R24" s="10">
        <f t="shared" si="14"/>
        <v>1.9999999999999999E-6</v>
      </c>
      <c r="S24" s="11">
        <f>ROUND((SUM(Table121114[[#This Row],[II1]:[II2]]))*1000000, 0)</f>
        <v>4</v>
      </c>
      <c r="T24" s="18" t="s">
        <v>16</v>
      </c>
      <c r="V24" s="11"/>
      <c r="W24" s="11"/>
      <c r="X24" s="6"/>
      <c r="Y24" s="11"/>
      <c r="Z24" s="11"/>
      <c r="AA24" s="11"/>
      <c r="AB24" s="13"/>
      <c r="AC24"/>
      <c r="AD24"/>
      <c r="AE24"/>
      <c r="AF24"/>
      <c r="AG24"/>
      <c r="AI24"/>
      <c r="AJ24"/>
      <c r="AK24"/>
      <c r="AL24"/>
      <c r="AM24"/>
      <c r="AN24"/>
    </row>
    <row r="25" spans="2:48" x14ac:dyDescent="0.35">
      <c r="B25" s="6">
        <v>5</v>
      </c>
      <c r="C25" s="6" t="str">
        <f t="shared" si="3"/>
        <v>1</v>
      </c>
      <c r="D25" s="6" t="str">
        <f t="shared" si="4"/>
        <v>0</v>
      </c>
      <c r="E25" s="6" t="str">
        <f t="shared" si="5"/>
        <v>1</v>
      </c>
      <c r="F25" s="10">
        <f t="shared" si="6"/>
        <v>3.5238095238095239E-5</v>
      </c>
      <c r="G25" s="10">
        <f t="shared" si="7"/>
        <v>3.0571428571428572E-5</v>
      </c>
      <c r="H25" s="10">
        <f t="shared" si="8"/>
        <v>3.0571428571428572E-5</v>
      </c>
      <c r="I25" s="11">
        <f>ROUND(( SUM(Table32315891012[[#This Row],[I1]:[I2]]))*1000000, 0)</f>
        <v>66</v>
      </c>
      <c r="J25" s="2" t="s">
        <v>22</v>
      </c>
      <c r="K25" s="11"/>
      <c r="L25" s="6">
        <v>5</v>
      </c>
      <c r="M25" s="6" t="str">
        <f t="shared" si="9"/>
        <v>1</v>
      </c>
      <c r="N25" s="6" t="str">
        <f t="shared" si="10"/>
        <v>0</v>
      </c>
      <c r="O25" s="6" t="str">
        <f t="shared" si="11"/>
        <v>1</v>
      </c>
      <c r="P25" s="10">
        <f t="shared" si="12"/>
        <v>3.0571428571428572E-5</v>
      </c>
      <c r="Q25" s="10">
        <f t="shared" si="13"/>
        <v>3.0571428571428572E-5</v>
      </c>
      <c r="R25" s="10">
        <f t="shared" si="14"/>
        <v>3.9999999999999998E-6</v>
      </c>
      <c r="S25" s="11">
        <f>ROUND((SUM(Table121114[[#This Row],[II1]:[II2]]))*1000000, 0)</f>
        <v>61</v>
      </c>
      <c r="T25" s="18" t="s">
        <v>20</v>
      </c>
      <c r="V25" s="11"/>
      <c r="W25" s="11"/>
      <c r="X25" s="6"/>
      <c r="Y25" s="11"/>
      <c r="Z25" s="11"/>
      <c r="AA25" s="11"/>
      <c r="AB25" s="13"/>
      <c r="AC25"/>
      <c r="AD25"/>
      <c r="AE25"/>
      <c r="AF25"/>
      <c r="AG25"/>
      <c r="AI25"/>
      <c r="AJ25"/>
      <c r="AK25"/>
      <c r="AL25"/>
      <c r="AM25"/>
      <c r="AN25"/>
    </row>
    <row r="26" spans="2:48" x14ac:dyDescent="0.35">
      <c r="B26" s="6">
        <v>6</v>
      </c>
      <c r="C26" s="6" t="str">
        <f t="shared" si="3"/>
        <v>1</v>
      </c>
      <c r="D26" s="6" t="str">
        <f t="shared" si="4"/>
        <v>1</v>
      </c>
      <c r="E26" s="6" t="str">
        <f t="shared" si="5"/>
        <v>0</v>
      </c>
      <c r="F26" s="10">
        <f t="shared" si="6"/>
        <v>5.7142857142857148E-5</v>
      </c>
      <c r="G26" s="10">
        <f t="shared" si="7"/>
        <v>3.5238095238095239E-5</v>
      </c>
      <c r="H26" s="10">
        <f t="shared" si="8"/>
        <v>3.0571428571428572E-5</v>
      </c>
      <c r="I26" s="11">
        <f>ROUND(( SUM(Table32315891012[[#This Row],[I1]:[I2]]))*1000000, 0)</f>
        <v>92</v>
      </c>
      <c r="J26" s="2" t="s">
        <v>22</v>
      </c>
      <c r="K26" s="11"/>
      <c r="L26" s="6">
        <v>3</v>
      </c>
      <c r="M26" s="6" t="str">
        <f t="shared" si="9"/>
        <v>0</v>
      </c>
      <c r="N26" s="6" t="str">
        <f t="shared" si="10"/>
        <v>1</v>
      </c>
      <c r="O26" s="6" t="str">
        <f t="shared" si="11"/>
        <v>1</v>
      </c>
      <c r="P26" s="10">
        <f t="shared" si="12"/>
        <v>3.0571428571428572E-5</v>
      </c>
      <c r="Q26" s="10">
        <f t="shared" si="13"/>
        <v>6.0000000000000002E-6</v>
      </c>
      <c r="R26" s="10">
        <f t="shared" si="14"/>
        <v>3.9999999999999998E-6</v>
      </c>
      <c r="S26" s="11">
        <f>ROUND((SUM(Table121114[[#This Row],[II1]:[II2]]))*1000000, 0)</f>
        <v>37</v>
      </c>
      <c r="T26" s="18" t="s">
        <v>16</v>
      </c>
      <c r="V26" s="11"/>
      <c r="W26" s="11"/>
      <c r="X26" s="6"/>
      <c r="Y26" s="11"/>
      <c r="Z26" s="11"/>
      <c r="AA26" s="11"/>
      <c r="AB26" s="13"/>
      <c r="AC26"/>
      <c r="AD26"/>
      <c r="AE26"/>
      <c r="AF26"/>
      <c r="AG26"/>
      <c r="AI26"/>
      <c r="AJ26"/>
      <c r="AK26"/>
      <c r="AL26"/>
      <c r="AM26"/>
      <c r="AN26"/>
    </row>
    <row r="27" spans="2:48" x14ac:dyDescent="0.35">
      <c r="B27" s="6">
        <v>7</v>
      </c>
      <c r="C27" s="6" t="str">
        <f t="shared" si="3"/>
        <v>1</v>
      </c>
      <c r="D27" s="6" t="str">
        <f t="shared" si="4"/>
        <v>1</v>
      </c>
      <c r="E27" s="6" t="str">
        <f t="shared" si="5"/>
        <v>1</v>
      </c>
      <c r="F27" s="10">
        <f t="shared" si="6"/>
        <v>6.3809523809523817E-5</v>
      </c>
      <c r="G27" s="10">
        <f t="shared" si="7"/>
        <v>3.723809523809524E-5</v>
      </c>
      <c r="H27" s="10">
        <f t="shared" si="8"/>
        <v>3.2571428571428573E-5</v>
      </c>
      <c r="I27" s="11">
        <f>ROUND(( SUM(Table32315891012[[#This Row],[I1]:[I2]]))*1000000, 0)</f>
        <v>101</v>
      </c>
      <c r="J27" s="2" t="s">
        <v>22</v>
      </c>
      <c r="K27" s="11"/>
      <c r="L27" s="6">
        <v>7</v>
      </c>
      <c r="M27" s="6" t="str">
        <f t="shared" si="9"/>
        <v>1</v>
      </c>
      <c r="N27" s="6" t="str">
        <f t="shared" si="10"/>
        <v>1</v>
      </c>
      <c r="O27" s="6" t="str">
        <f t="shared" si="11"/>
        <v>1</v>
      </c>
      <c r="P27" s="10">
        <f t="shared" si="12"/>
        <v>5.914285714285715E-5</v>
      </c>
      <c r="Q27" s="10">
        <f t="shared" si="13"/>
        <v>3.4571428571428574E-5</v>
      </c>
      <c r="R27" s="10">
        <f t="shared" si="14"/>
        <v>6.0000000000000002E-6</v>
      </c>
      <c r="S27" s="11">
        <f>ROUND((SUM(Table121114[[#This Row],[II1]:[II2]]))*1000000, 0)</f>
        <v>94</v>
      </c>
      <c r="T27" s="18" t="s">
        <v>16</v>
      </c>
      <c r="V27" s="11"/>
      <c r="W27" s="11"/>
      <c r="X27" s="6"/>
      <c r="Y27" s="11"/>
      <c r="Z27" s="11"/>
      <c r="AA27" s="11"/>
      <c r="AB27" s="13"/>
      <c r="AC27"/>
      <c r="AD27"/>
      <c r="AE27"/>
      <c r="AF27"/>
      <c r="AG27"/>
      <c r="AI27"/>
      <c r="AJ27"/>
      <c r="AK27"/>
      <c r="AL27"/>
      <c r="AM27"/>
      <c r="AN27"/>
    </row>
    <row r="28" spans="2:48" x14ac:dyDescent="0.35">
      <c r="C28" s="6"/>
      <c r="D28" s="6"/>
      <c r="E28" s="6"/>
      <c r="F28" s="10"/>
      <c r="G28" s="10"/>
      <c r="H28" s="10"/>
      <c r="I28" s="11"/>
      <c r="J28" s="2"/>
      <c r="K28" s="11"/>
      <c r="L28" s="6"/>
      <c r="M28" s="6"/>
      <c r="N28" s="6"/>
      <c r="O28" s="6"/>
      <c r="P28" s="10"/>
      <c r="S28" s="11"/>
      <c r="T28" s="18"/>
      <c r="V28" s="11"/>
      <c r="W28" s="11"/>
      <c r="X28" s="6"/>
      <c r="Y28" s="11"/>
      <c r="Z28" s="11"/>
      <c r="AA28" s="11"/>
      <c r="AB28" s="13"/>
      <c r="AC28"/>
      <c r="AD28"/>
      <c r="AE28"/>
      <c r="AF28"/>
      <c r="AG28"/>
      <c r="AI28"/>
      <c r="AJ28"/>
      <c r="AK28"/>
      <c r="AL28"/>
      <c r="AM28"/>
      <c r="AN28"/>
    </row>
    <row r="29" spans="2:48" ht="15" customHeight="1" x14ac:dyDescent="0.35">
      <c r="C29" s="6"/>
      <c r="D29" s="6"/>
      <c r="E29" s="6"/>
      <c r="F29" s="10"/>
      <c r="G29" s="10"/>
      <c r="H29" s="10"/>
      <c r="I29" s="11"/>
      <c r="J29" s="2"/>
      <c r="K29" s="11"/>
      <c r="L29" s="6"/>
      <c r="M29" s="6"/>
      <c r="N29" s="6"/>
      <c r="O29" s="6"/>
      <c r="P29" s="10"/>
      <c r="S29" s="11"/>
      <c r="T29" s="18"/>
      <c r="V29" s="13"/>
      <c r="W29"/>
      <c r="X29" s="11"/>
      <c r="Y29" s="11"/>
      <c r="Z29" s="6"/>
      <c r="AA29" s="11"/>
      <c r="AB29" s="11"/>
      <c r="AC29" s="11"/>
      <c r="AD29" s="13"/>
      <c r="AE29"/>
      <c r="AF29"/>
      <c r="AG29"/>
      <c r="AI29"/>
      <c r="AJ29"/>
      <c r="AK29"/>
      <c r="AL29"/>
      <c r="AM29"/>
      <c r="AN29"/>
    </row>
    <row r="30" spans="2:48" ht="15" customHeight="1" x14ac:dyDescent="0.35">
      <c r="C30" s="6"/>
      <c r="D30" s="6"/>
      <c r="E30" s="6"/>
      <c r="F30" s="10"/>
      <c r="G30" s="10"/>
      <c r="H30" s="10"/>
      <c r="I30" s="11"/>
      <c r="J30" s="2"/>
      <c r="K30" s="11"/>
      <c r="L30" s="6"/>
      <c r="M30" s="6"/>
      <c r="N30" s="6"/>
      <c r="O30" s="6"/>
      <c r="P30" s="10"/>
      <c r="S30" s="11"/>
      <c r="T30" s="18"/>
      <c r="V30" s="13"/>
      <c r="W30"/>
      <c r="X30" s="11"/>
      <c r="Y30" s="11"/>
      <c r="Z30" s="6"/>
      <c r="AA30" s="11"/>
      <c r="AB30" s="11"/>
      <c r="AC30" s="11"/>
      <c r="AD30" s="13"/>
      <c r="AE30"/>
      <c r="AF30"/>
      <c r="AG30"/>
      <c r="AI30"/>
      <c r="AJ30"/>
      <c r="AK30"/>
      <c r="AL30"/>
      <c r="AM30"/>
      <c r="AN30"/>
    </row>
    <row r="31" spans="2:48" ht="15" customHeight="1" x14ac:dyDescent="0.35">
      <c r="C31" s="6"/>
      <c r="D31" s="6"/>
      <c r="E31" s="6"/>
      <c r="F31" s="10"/>
      <c r="G31" s="10"/>
      <c r="H31" s="10"/>
      <c r="I31" s="11"/>
      <c r="J31" s="2"/>
      <c r="K31" s="11"/>
      <c r="L31" s="6"/>
      <c r="M31" s="6"/>
      <c r="N31" s="6"/>
      <c r="O31" s="6"/>
      <c r="P31" s="10"/>
      <c r="Q31" s="11">
        <f ca="1">ROUND((SUM(Table121114[[#This Row],[II1]:[II3]]))*1000000, 0) -98</f>
        <v>-98</v>
      </c>
      <c r="R31" s="18" t="s">
        <v>55</v>
      </c>
      <c r="S31" s="11"/>
      <c r="T31" s="18"/>
      <c r="V31" s="13"/>
      <c r="W31"/>
      <c r="X31" s="11"/>
      <c r="Y31" s="11"/>
      <c r="Z31" s="6"/>
      <c r="AA31" s="11"/>
      <c r="AB31" s="11"/>
      <c r="AC31" s="11"/>
      <c r="AD31" s="13"/>
      <c r="AE31"/>
      <c r="AF31"/>
      <c r="AG31"/>
      <c r="AI31"/>
      <c r="AJ31"/>
      <c r="AK31"/>
      <c r="AL31"/>
      <c r="AM31"/>
      <c r="AN31"/>
    </row>
    <row r="32" spans="2:48" x14ac:dyDescent="0.35">
      <c r="C32" s="6"/>
      <c r="D32" s="6"/>
      <c r="E32" s="6"/>
      <c r="F32" s="10"/>
      <c r="G32" s="10"/>
      <c r="H32" s="10"/>
      <c r="I32" s="11"/>
      <c r="J32" s="2"/>
      <c r="K32" s="11"/>
      <c r="L32" s="6"/>
      <c r="M32" s="6"/>
      <c r="N32" s="6"/>
      <c r="O32" s="6"/>
      <c r="P32" s="10"/>
      <c r="Q32" s="11">
        <f ca="1">ROUND((SUM(Table121114[[#This Row],[II1]:[II3]]))*1000000, 0) -98</f>
        <v>-92</v>
      </c>
      <c r="R32" s="18" t="s">
        <v>18</v>
      </c>
      <c r="S32" s="11"/>
      <c r="T32" s="18"/>
      <c r="V32" s="13"/>
      <c r="W32"/>
      <c r="X32" s="11"/>
      <c r="Y32" s="11"/>
      <c r="Z32" s="6"/>
      <c r="AA32" s="11"/>
      <c r="AB32" s="11"/>
      <c r="AC32" s="11"/>
      <c r="AD32" s="13"/>
      <c r="AE32"/>
      <c r="AF32"/>
      <c r="AG32"/>
      <c r="AI32"/>
      <c r="AJ32"/>
      <c r="AK32"/>
      <c r="AL32"/>
      <c r="AM32"/>
      <c r="AN32"/>
    </row>
    <row r="33" spans="2:30" customFormat="1" ht="15" customHeight="1" x14ac:dyDescent="0.35">
      <c r="B33" s="6"/>
      <c r="C33" s="6"/>
      <c r="D33" s="6"/>
      <c r="E33" s="6"/>
      <c r="F33" s="10"/>
      <c r="G33" s="10"/>
      <c r="H33" s="10"/>
      <c r="I33" s="11"/>
      <c r="J33" s="2"/>
      <c r="L33" s="6"/>
      <c r="M33" s="6"/>
      <c r="N33" s="6"/>
      <c r="O33" s="6"/>
      <c r="P33" s="10"/>
      <c r="Q33" s="11">
        <f ca="1">ROUND((SUM(Table121114[[#This Row],[II1]:[II3]]))*1000000, 0) -98</f>
        <v>-65</v>
      </c>
      <c r="R33" s="18" t="s">
        <v>17</v>
      </c>
      <c r="S33" s="11"/>
      <c r="T33" s="18"/>
      <c r="U33" s="10"/>
      <c r="V33" s="13"/>
      <c r="X33" s="11"/>
      <c r="Y33" s="11"/>
      <c r="Z33" s="6"/>
      <c r="AA33" s="11"/>
      <c r="AB33" s="11"/>
      <c r="AC33" s="11"/>
      <c r="AD33" s="13"/>
    </row>
    <row r="34" spans="2:30" customFormat="1" x14ac:dyDescent="0.35">
      <c r="B34" s="6"/>
      <c r="C34" s="6"/>
      <c r="D34" s="6"/>
      <c r="E34" s="6"/>
      <c r="F34" s="10"/>
      <c r="G34" s="10"/>
      <c r="H34" s="10"/>
      <c r="I34" s="11"/>
      <c r="J34" s="2"/>
      <c r="K34" s="11"/>
      <c r="L34" s="6"/>
      <c r="M34" s="6"/>
      <c r="N34" s="6"/>
      <c r="O34" s="6"/>
      <c r="P34" s="10"/>
      <c r="Q34" s="11">
        <f ca="1">ROUND((SUM(Table121114[[#This Row],[II1]:[II3]]))*1000000, 0) -98</f>
        <v>-59</v>
      </c>
      <c r="R34" s="18" t="s">
        <v>17</v>
      </c>
      <c r="S34" s="11"/>
      <c r="T34" s="18"/>
      <c r="U34" s="10"/>
      <c r="V34" s="13"/>
      <c r="X34" s="11"/>
      <c r="Y34" s="11"/>
      <c r="Z34" s="6"/>
      <c r="AA34" s="11"/>
      <c r="AB34" s="11"/>
      <c r="AC34" s="11"/>
      <c r="AD34" s="13"/>
    </row>
    <row r="35" spans="2:30" customFormat="1" x14ac:dyDescent="0.35">
      <c r="B35" s="6"/>
      <c r="C35" s="6"/>
      <c r="D35" s="6"/>
      <c r="E35" s="6"/>
      <c r="F35" s="10"/>
      <c r="G35" s="10"/>
      <c r="H35" s="10"/>
      <c r="I35" s="11"/>
      <c r="J35" s="2"/>
      <c r="L35" s="6"/>
      <c r="M35" s="6"/>
      <c r="N35" s="6"/>
      <c r="O35" s="6"/>
      <c r="P35" s="10"/>
      <c r="Q35" s="11">
        <f ca="1">ROUND((SUM(Table121114[[#This Row],[II1]:[II3]]))*1000000, 0) -98</f>
        <v>-39</v>
      </c>
      <c r="R35" s="18" t="s">
        <v>16</v>
      </c>
      <c r="S35" s="11"/>
      <c r="T35" s="18"/>
      <c r="U35" s="10"/>
      <c r="V35" s="13"/>
      <c r="X35" s="11"/>
      <c r="Y35" s="11"/>
      <c r="Z35" s="6"/>
      <c r="AA35" s="11"/>
      <c r="AB35" s="11"/>
      <c r="AC35" s="11"/>
      <c r="AD35" s="13"/>
    </row>
    <row r="36" spans="2:30" customFormat="1" x14ac:dyDescent="0.35">
      <c r="B36" s="6"/>
      <c r="C36" s="6"/>
      <c r="D36" s="6"/>
      <c r="E36" s="6"/>
      <c r="F36" s="10"/>
      <c r="G36" s="10"/>
      <c r="H36" s="10"/>
      <c r="I36" s="11"/>
      <c r="J36" s="11"/>
      <c r="K36" s="11"/>
      <c r="L36" s="6"/>
      <c r="M36" s="6"/>
      <c r="N36" s="6"/>
      <c r="O36" s="6"/>
      <c r="P36" s="10"/>
      <c r="Q36" s="11">
        <f ca="1">ROUND((SUM(Table121114[[#This Row],[II1]:[II3]]))*1000000, 0) -98</f>
        <v>-33</v>
      </c>
      <c r="R36" s="18" t="s">
        <v>20</v>
      </c>
      <c r="S36" s="11"/>
      <c r="T36" s="18"/>
      <c r="U36" s="10"/>
      <c r="V36" s="13"/>
      <c r="X36" s="11"/>
      <c r="Y36" s="11"/>
      <c r="Z36" s="6"/>
      <c r="AA36" s="11"/>
      <c r="AB36" s="11"/>
      <c r="AC36" s="11"/>
      <c r="AD36" s="13"/>
    </row>
    <row r="37" spans="2:30" customFormat="1" ht="15" customHeight="1" x14ac:dyDescent="0.35">
      <c r="B37" s="6"/>
      <c r="C37" s="6"/>
      <c r="D37" s="6"/>
      <c r="E37" s="6"/>
      <c r="F37" s="10"/>
      <c r="G37" s="10"/>
      <c r="H37" s="10"/>
      <c r="I37" s="11"/>
      <c r="J37" s="11"/>
      <c r="K37" s="11"/>
      <c r="L37" s="6"/>
      <c r="M37" s="6"/>
      <c r="N37" s="6"/>
      <c r="O37" s="6"/>
      <c r="P37" s="10"/>
      <c r="Q37" s="11">
        <f ca="1">ROUND((SUM(Table121114[[#This Row],[II1]:[II3]]))*1000000, 0) -98</f>
        <v>-6</v>
      </c>
      <c r="R37" s="18" t="s">
        <v>16</v>
      </c>
      <c r="S37" s="11"/>
      <c r="T37" s="18"/>
      <c r="U37" s="10"/>
      <c r="V37" s="13"/>
      <c r="X37" s="11"/>
      <c r="Y37" s="11"/>
      <c r="Z37" s="6"/>
      <c r="AA37" s="11"/>
      <c r="AB37" s="11"/>
      <c r="AC37" s="11"/>
      <c r="AD37" s="13"/>
    </row>
    <row r="38" spans="2:30" customFormat="1" ht="15" customHeight="1" x14ac:dyDescent="0.35">
      <c r="B38" s="6"/>
      <c r="C38" s="6"/>
      <c r="D38" s="6"/>
      <c r="E38" s="6"/>
      <c r="F38" s="10"/>
      <c r="G38" s="10"/>
      <c r="H38" s="10"/>
      <c r="I38" s="11"/>
      <c r="J38" s="11"/>
      <c r="K38" s="11"/>
      <c r="L38" s="6"/>
      <c r="M38" s="6"/>
      <c r="N38" s="6"/>
      <c r="O38" s="6"/>
      <c r="P38" s="26" t="s">
        <v>55</v>
      </c>
      <c r="Q38" s="11">
        <v>0</v>
      </c>
      <c r="R38" s="18" t="s">
        <v>16</v>
      </c>
      <c r="S38" s="11"/>
      <c r="T38" s="18"/>
      <c r="U38" s="10"/>
      <c r="V38" s="13"/>
      <c r="X38" s="11"/>
      <c r="Y38" s="11"/>
      <c r="Z38" s="6"/>
      <c r="AA38" s="11"/>
      <c r="AB38" s="11"/>
      <c r="AC38" s="11"/>
      <c r="AD38" s="13"/>
    </row>
    <row r="39" spans="2:30" customFormat="1" ht="15" customHeight="1" x14ac:dyDescent="0.35">
      <c r="B39" s="6"/>
      <c r="C39" s="6"/>
      <c r="D39" s="6"/>
      <c r="E39" s="6"/>
      <c r="F39" s="10"/>
      <c r="G39" s="10"/>
      <c r="H39" s="10"/>
      <c r="I39" s="11"/>
      <c r="J39" s="11"/>
      <c r="K39" s="11"/>
      <c r="L39" s="6"/>
      <c r="M39" s="6"/>
      <c r="N39" s="6"/>
      <c r="O39" s="6"/>
      <c r="P39" s="2" t="s">
        <v>19</v>
      </c>
      <c r="Q39" s="11">
        <v>11</v>
      </c>
      <c r="R39" s="10"/>
      <c r="S39" s="11"/>
      <c r="T39" s="18"/>
      <c r="U39" s="10"/>
      <c r="V39" s="13"/>
      <c r="X39" s="11"/>
      <c r="Y39" s="11"/>
      <c r="Z39" s="6"/>
      <c r="AA39" s="11"/>
      <c r="AB39" s="11"/>
      <c r="AC39" s="11"/>
      <c r="AD39" s="13"/>
    </row>
    <row r="40" spans="2:30" customFormat="1" ht="15" customHeight="1" x14ac:dyDescent="0.35">
      <c r="B40" s="6"/>
      <c r="C40" s="6"/>
      <c r="D40" s="6"/>
      <c r="E40" s="6"/>
      <c r="F40" s="10"/>
      <c r="G40" s="10"/>
      <c r="H40" s="10"/>
      <c r="I40" s="11"/>
      <c r="J40" s="11"/>
      <c r="K40" s="11"/>
      <c r="L40" s="6"/>
      <c r="M40" s="6"/>
      <c r="N40" s="6"/>
      <c r="O40" s="6"/>
      <c r="P40" s="26" t="s">
        <v>21</v>
      </c>
      <c r="Q40" s="11">
        <v>37</v>
      </c>
      <c r="R40" s="10"/>
      <c r="S40" s="11"/>
      <c r="T40" s="18"/>
      <c r="U40" s="10"/>
      <c r="V40" s="13"/>
      <c r="X40" s="11"/>
      <c r="Y40" s="11"/>
      <c r="Z40" s="6"/>
      <c r="AA40" s="11"/>
      <c r="AB40" s="11"/>
      <c r="AC40" s="11"/>
      <c r="AD40" s="13"/>
    </row>
    <row r="41" spans="2:30" customFormat="1" ht="15" customHeight="1" x14ac:dyDescent="0.35">
      <c r="B41" s="6"/>
      <c r="C41" s="6"/>
      <c r="D41" s="6"/>
      <c r="E41" s="6"/>
      <c r="F41" s="10"/>
      <c r="G41" s="10"/>
      <c r="H41" s="10"/>
      <c r="I41" s="11"/>
      <c r="J41" s="11"/>
      <c r="K41" s="11"/>
      <c r="L41" s="6"/>
      <c r="M41" s="6"/>
      <c r="N41" s="6"/>
      <c r="O41" s="6"/>
      <c r="P41" s="26" t="s">
        <v>21</v>
      </c>
      <c r="Q41" s="11">
        <v>48</v>
      </c>
      <c r="R41" s="10"/>
      <c r="S41" s="11"/>
      <c r="T41" s="18"/>
      <c r="U41" s="10"/>
      <c r="V41" s="13"/>
      <c r="X41" s="11"/>
      <c r="Y41" s="11"/>
      <c r="Z41" s="6"/>
      <c r="AA41" s="11"/>
      <c r="AB41" s="11"/>
      <c r="AC41" s="11"/>
      <c r="AD41" s="13"/>
    </row>
    <row r="42" spans="2:30" customFormat="1" ht="15" customHeight="1" x14ac:dyDescent="0.35">
      <c r="B42" s="6"/>
      <c r="C42" s="6"/>
      <c r="D42" s="6"/>
      <c r="E42" s="6"/>
      <c r="F42" s="10"/>
      <c r="G42" s="10"/>
      <c r="H42" s="10"/>
      <c r="I42" s="11"/>
      <c r="J42" s="11"/>
      <c r="K42" s="11"/>
      <c r="L42" s="6"/>
      <c r="M42" s="6"/>
      <c r="N42" s="6"/>
      <c r="O42" s="6"/>
      <c r="P42" s="2" t="s">
        <v>22</v>
      </c>
      <c r="Q42" s="11">
        <v>86</v>
      </c>
      <c r="R42" s="10"/>
      <c r="S42" s="11"/>
      <c r="T42" s="18"/>
      <c r="U42" s="10"/>
      <c r="V42" s="13"/>
      <c r="X42" s="11"/>
      <c r="Y42" s="11"/>
      <c r="Z42" s="6"/>
      <c r="AA42" s="11"/>
      <c r="AB42" s="11"/>
      <c r="AC42" s="11"/>
      <c r="AD42" s="13"/>
    </row>
    <row r="43" spans="2:30" customFormat="1" ht="15" customHeight="1" x14ac:dyDescent="0.35">
      <c r="B43" s="6"/>
      <c r="C43" s="6"/>
      <c r="D43" s="6"/>
      <c r="E43" s="6"/>
      <c r="F43" s="10"/>
      <c r="G43" s="10"/>
      <c r="H43" s="10"/>
      <c r="I43" s="11"/>
      <c r="J43" s="11"/>
      <c r="K43" s="11"/>
      <c r="L43" s="6"/>
      <c r="M43" s="6"/>
      <c r="N43" s="6"/>
      <c r="O43" s="6"/>
      <c r="P43" s="2" t="s">
        <v>22</v>
      </c>
      <c r="Q43" s="11">
        <v>96</v>
      </c>
      <c r="R43" s="10"/>
      <c r="S43" s="11"/>
      <c r="T43" s="18"/>
      <c r="U43" s="10"/>
      <c r="V43" s="13"/>
      <c r="X43" s="11"/>
      <c r="Y43" s="11"/>
      <c r="Z43" s="6"/>
      <c r="AA43" s="11"/>
      <c r="AB43" s="11"/>
      <c r="AC43" s="11"/>
      <c r="AD43" s="13"/>
    </row>
    <row r="44" spans="2:30" customFormat="1" x14ac:dyDescent="0.35">
      <c r="B44" s="6"/>
      <c r="C44" s="6"/>
      <c r="D44" s="6"/>
      <c r="E44" s="6"/>
      <c r="F44" s="10"/>
      <c r="G44" s="10"/>
      <c r="H44" s="10"/>
      <c r="I44" s="11"/>
      <c r="J44" s="11"/>
      <c r="K44" s="11"/>
      <c r="L44" s="6"/>
      <c r="M44" s="6"/>
      <c r="N44" s="6"/>
      <c r="O44" s="6"/>
      <c r="P44" s="2" t="s">
        <v>22</v>
      </c>
      <c r="Q44" s="11">
        <v>123</v>
      </c>
      <c r="R44" s="10"/>
      <c r="S44" s="11"/>
      <c r="T44" s="18"/>
      <c r="U44" s="10"/>
      <c r="V44" s="13"/>
      <c r="X44" s="11"/>
      <c r="Y44" s="11"/>
      <c r="Z44" s="6"/>
      <c r="AA44" s="11"/>
      <c r="AB44" s="11"/>
      <c r="AC44" s="11"/>
      <c r="AD44" s="13"/>
    </row>
    <row r="45" spans="2:30" customFormat="1" ht="15" customHeight="1" x14ac:dyDescent="0.35">
      <c r="B45" s="6"/>
      <c r="C45" s="6"/>
      <c r="D45" s="6"/>
      <c r="E45" s="6"/>
      <c r="F45" s="10"/>
      <c r="G45" s="10"/>
      <c r="H45" s="10"/>
      <c r="I45" s="11"/>
      <c r="J45" s="11"/>
      <c r="K45" s="11"/>
      <c r="L45" s="6"/>
      <c r="M45" s="6"/>
      <c r="N45" s="6"/>
      <c r="O45" s="6"/>
      <c r="P45" s="2" t="s">
        <v>22</v>
      </c>
      <c r="Q45" s="11">
        <v>134</v>
      </c>
      <c r="R45" s="10"/>
      <c r="S45" s="11"/>
      <c r="T45" s="18"/>
      <c r="U45" s="10"/>
      <c r="V45" s="13"/>
      <c r="X45" s="11"/>
      <c r="Y45" s="11"/>
      <c r="Z45" s="6"/>
      <c r="AA45" s="11"/>
      <c r="AB45" s="11"/>
      <c r="AC45" s="11"/>
      <c r="AD45" s="13"/>
    </row>
    <row r="46" spans="2:30" customFormat="1" ht="15" customHeight="1" x14ac:dyDescent="0.35">
      <c r="B46" s="6"/>
      <c r="C46" s="6"/>
      <c r="D46" s="6"/>
      <c r="E46" s="6"/>
      <c r="F46" s="10"/>
      <c r="G46" s="10"/>
      <c r="H46" s="10"/>
      <c r="I46" s="11"/>
      <c r="J46" s="11"/>
      <c r="K46" s="11"/>
      <c r="L46" s="6"/>
      <c r="M46" s="6"/>
      <c r="N46" s="6"/>
      <c r="O46" s="6"/>
      <c r="P46" s="10"/>
      <c r="Q46" s="10"/>
      <c r="R46" s="10"/>
      <c r="S46" s="11"/>
      <c r="T46" s="18"/>
      <c r="U46" s="10"/>
      <c r="V46" s="13"/>
      <c r="X46" s="11"/>
      <c r="Y46" s="11"/>
      <c r="Z46" s="6"/>
      <c r="AA46" s="11"/>
      <c r="AB46" s="11"/>
      <c r="AC46" s="11"/>
      <c r="AD46" s="13"/>
    </row>
    <row r="47" spans="2:30" customFormat="1" ht="15" customHeight="1" x14ac:dyDescent="0.35">
      <c r="B47" s="6"/>
      <c r="C47" s="6"/>
      <c r="D47" s="6"/>
      <c r="E47" s="6"/>
      <c r="F47" s="10"/>
      <c r="G47" s="10"/>
      <c r="H47" s="10"/>
      <c r="I47" s="11"/>
      <c r="J47" s="11"/>
      <c r="K47" s="11"/>
      <c r="L47" s="6"/>
      <c r="M47" s="6"/>
      <c r="N47" s="6"/>
      <c r="O47" s="6"/>
      <c r="P47" s="10"/>
      <c r="Q47" s="10"/>
      <c r="R47" s="10"/>
      <c r="S47" s="11"/>
      <c r="T47" s="18"/>
      <c r="U47" s="10"/>
      <c r="V47" s="13"/>
      <c r="X47" s="11"/>
      <c r="Y47" s="11"/>
      <c r="Z47" s="6"/>
      <c r="AA47" s="11"/>
      <c r="AB47" s="11"/>
      <c r="AC47" s="11"/>
      <c r="AD47" s="13"/>
    </row>
    <row r="48" spans="2:30" customFormat="1" x14ac:dyDescent="0.35">
      <c r="B48" s="6"/>
      <c r="C48" s="6"/>
      <c r="D48" s="6"/>
      <c r="E48" s="6"/>
      <c r="F48" s="10"/>
      <c r="G48" s="10"/>
      <c r="H48" s="10"/>
      <c r="I48" s="11"/>
      <c r="J48" s="11"/>
      <c r="K48" s="11"/>
      <c r="L48" s="6"/>
      <c r="M48" s="6"/>
      <c r="N48" s="6"/>
      <c r="O48" s="6"/>
      <c r="P48" s="10"/>
      <c r="Q48" s="10"/>
      <c r="R48" s="10"/>
      <c r="S48" s="11"/>
      <c r="T48" s="18"/>
      <c r="U48" s="10"/>
      <c r="V48" s="13"/>
      <c r="X48" s="11"/>
      <c r="Y48" s="11"/>
      <c r="Z48" s="6"/>
      <c r="AA48" s="11"/>
      <c r="AB48" s="11"/>
      <c r="AC48" s="11"/>
      <c r="AD48" s="13"/>
    </row>
    <row r="49" spans="2:30" customFormat="1" ht="15" customHeight="1" x14ac:dyDescent="0.35">
      <c r="B49" s="6"/>
      <c r="C49" s="6"/>
      <c r="D49" s="6"/>
      <c r="E49" s="6"/>
      <c r="F49" s="10"/>
      <c r="G49" s="10"/>
      <c r="H49" s="10"/>
      <c r="I49" s="11"/>
      <c r="J49" s="11"/>
      <c r="K49" s="11"/>
      <c r="L49" s="6"/>
      <c r="M49" s="6"/>
      <c r="N49" s="6"/>
      <c r="O49" s="6"/>
      <c r="P49" s="10"/>
      <c r="Q49" s="10"/>
      <c r="R49" s="10"/>
      <c r="S49" s="11"/>
      <c r="T49" s="18"/>
      <c r="U49" s="10"/>
      <c r="V49" s="13"/>
      <c r="X49" s="11"/>
      <c r="Y49" s="11"/>
      <c r="Z49" s="6"/>
      <c r="AA49" s="11"/>
      <c r="AB49" s="11"/>
      <c r="AC49" s="11"/>
      <c r="AD49" s="13"/>
    </row>
    <row r="50" spans="2:30" customFormat="1" ht="15" customHeight="1" x14ac:dyDescent="0.35">
      <c r="B50" s="6"/>
      <c r="C50" s="6"/>
      <c r="D50" s="6"/>
      <c r="E50" s="6"/>
      <c r="F50" s="10"/>
      <c r="G50" s="10"/>
      <c r="H50" s="10"/>
      <c r="I50" s="11"/>
      <c r="J50" s="11"/>
      <c r="K50" s="11"/>
      <c r="L50" s="6"/>
      <c r="M50" s="6"/>
      <c r="N50" s="6"/>
      <c r="O50" s="6"/>
      <c r="P50" s="10"/>
      <c r="Q50" s="10"/>
      <c r="R50" s="10"/>
      <c r="S50" s="11"/>
      <c r="T50" s="18"/>
      <c r="U50" s="10"/>
      <c r="V50" s="13"/>
      <c r="X50" s="11"/>
      <c r="Y50" s="11"/>
      <c r="Z50" s="6"/>
      <c r="AA50" s="11"/>
      <c r="AB50" s="11"/>
      <c r="AC50" s="11"/>
      <c r="AD50" s="13"/>
    </row>
    <row r="51" spans="2:30" customFormat="1" x14ac:dyDescent="0.35">
      <c r="B51" s="6"/>
      <c r="C51" s="6"/>
      <c r="D51" s="6"/>
      <c r="E51" s="6"/>
      <c r="F51" s="10"/>
      <c r="G51" s="10"/>
      <c r="H51" s="10"/>
      <c r="I51" s="11"/>
      <c r="J51" s="11"/>
      <c r="K51" s="11"/>
      <c r="L51" s="6"/>
      <c r="M51" s="6"/>
      <c r="N51" s="6"/>
      <c r="O51" s="6"/>
      <c r="P51" s="10"/>
      <c r="Q51" s="10"/>
      <c r="R51" s="10"/>
      <c r="S51" s="11"/>
      <c r="T51" s="18"/>
      <c r="U51" s="10"/>
      <c r="V51" s="13"/>
      <c r="X51" s="11"/>
      <c r="Y51" s="11"/>
      <c r="Z51" s="6"/>
      <c r="AA51" s="11"/>
      <c r="AB51" s="11"/>
      <c r="AC51" s="11"/>
      <c r="AD51" s="13"/>
    </row>
    <row r="52" spans="2:30" customFormat="1" x14ac:dyDescent="0.35">
      <c r="B52" s="6"/>
      <c r="C52" s="6"/>
      <c r="D52" s="6"/>
      <c r="E52" s="6"/>
      <c r="F52" s="10"/>
      <c r="G52" s="10"/>
      <c r="H52" s="10"/>
      <c r="I52" s="11"/>
      <c r="J52" s="11"/>
      <c r="K52" s="11"/>
      <c r="L52" s="6"/>
      <c r="M52" s="6"/>
      <c r="N52" s="6"/>
      <c r="O52" s="6"/>
      <c r="P52" s="10"/>
      <c r="Q52" s="10"/>
      <c r="R52" s="10"/>
      <c r="S52" s="11"/>
      <c r="T52" s="18"/>
      <c r="U52" s="10"/>
      <c r="V52" s="13"/>
      <c r="X52" s="11"/>
      <c r="Y52" s="11"/>
      <c r="Z52" s="6"/>
      <c r="AA52" s="11"/>
      <c r="AB52" s="11"/>
      <c r="AC52" s="11"/>
      <c r="AD52" s="13"/>
    </row>
    <row r="53" spans="2:30" customFormat="1" x14ac:dyDescent="0.35">
      <c r="B53" s="6"/>
      <c r="C53" s="6"/>
      <c r="D53" s="6"/>
      <c r="E53" s="6"/>
      <c r="F53" s="10"/>
      <c r="G53" s="10"/>
      <c r="H53" s="10"/>
      <c r="I53" s="11"/>
      <c r="J53" s="11"/>
      <c r="K53" s="11"/>
      <c r="L53" s="6"/>
      <c r="M53" s="6"/>
      <c r="N53" s="6"/>
      <c r="O53" s="6"/>
      <c r="P53" s="10"/>
      <c r="Q53" s="10"/>
      <c r="R53" s="10"/>
      <c r="S53" s="11"/>
      <c r="T53" s="18"/>
      <c r="U53" s="10"/>
      <c r="V53" s="13"/>
      <c r="X53" s="11"/>
      <c r="Y53" s="11"/>
      <c r="Z53" s="6"/>
      <c r="AA53" s="11"/>
      <c r="AB53" s="11"/>
      <c r="AC53" s="11"/>
      <c r="AD53" s="13"/>
    </row>
    <row r="54" spans="2:30" customFormat="1" x14ac:dyDescent="0.35">
      <c r="B54" s="6"/>
      <c r="C54" s="6"/>
      <c r="D54" s="6"/>
      <c r="E54" s="6"/>
      <c r="F54" s="10"/>
      <c r="G54" s="10"/>
      <c r="H54" s="10"/>
      <c r="I54" s="11"/>
      <c r="J54" s="11"/>
      <c r="K54" s="11"/>
      <c r="L54" s="6"/>
      <c r="M54" s="6"/>
      <c r="N54" s="6"/>
      <c r="O54" s="6"/>
      <c r="P54" s="10"/>
      <c r="Q54" s="10"/>
      <c r="R54" s="10"/>
      <c r="S54" s="11"/>
      <c r="T54" s="18"/>
      <c r="U54" s="10"/>
      <c r="V54" s="13"/>
      <c r="X54" s="11"/>
      <c r="Y54" s="11"/>
      <c r="Z54" s="6"/>
      <c r="AA54" s="11"/>
      <c r="AB54" s="11"/>
      <c r="AC54" s="11"/>
      <c r="AD54" s="13"/>
    </row>
    <row r="55" spans="2:30" customFormat="1" x14ac:dyDescent="0.35">
      <c r="B55" s="6"/>
      <c r="C55" s="6"/>
      <c r="D55" s="6"/>
      <c r="E55" s="6"/>
      <c r="F55" s="10"/>
      <c r="G55" s="10"/>
      <c r="H55" s="10"/>
      <c r="I55" s="11"/>
      <c r="J55" s="11"/>
      <c r="K55" s="11"/>
      <c r="L55" s="6"/>
      <c r="M55" s="6"/>
      <c r="N55" s="6"/>
      <c r="O55" s="6"/>
      <c r="P55" s="10"/>
      <c r="Q55" s="10"/>
      <c r="R55" s="10"/>
      <c r="S55" s="11"/>
      <c r="T55" s="18"/>
      <c r="U55" s="10"/>
      <c r="V55" s="13"/>
      <c r="X55" s="11"/>
      <c r="Y55" s="11"/>
      <c r="Z55" s="6"/>
      <c r="AA55" s="11"/>
      <c r="AB55" s="11"/>
      <c r="AC55" s="11"/>
      <c r="AD55" s="13"/>
    </row>
    <row r="56" spans="2:30" customFormat="1" x14ac:dyDescent="0.35">
      <c r="B56" s="6"/>
      <c r="C56" s="6"/>
      <c r="D56" s="6"/>
      <c r="E56" s="6"/>
      <c r="F56" s="10"/>
      <c r="G56" s="10"/>
      <c r="H56" s="10"/>
      <c r="I56" s="11"/>
      <c r="J56" s="11"/>
      <c r="K56" s="11"/>
      <c r="L56" s="6"/>
      <c r="M56" s="6"/>
      <c r="N56" s="6"/>
      <c r="O56" s="6"/>
      <c r="P56" s="10"/>
      <c r="Q56" s="10"/>
      <c r="R56" s="10"/>
      <c r="S56" s="11"/>
      <c r="T56" s="18"/>
      <c r="U56" s="10"/>
      <c r="V56" s="13"/>
      <c r="X56" s="11"/>
      <c r="Y56" s="11"/>
      <c r="Z56" s="6"/>
      <c r="AA56" s="11"/>
      <c r="AB56" s="11"/>
      <c r="AC56" s="11"/>
      <c r="AD56" s="13"/>
    </row>
    <row r="57" spans="2:30" customFormat="1" x14ac:dyDescent="0.35">
      <c r="B57" s="6"/>
      <c r="C57" s="6"/>
      <c r="D57" s="6"/>
      <c r="E57" s="6"/>
      <c r="F57" s="10"/>
      <c r="G57" s="10"/>
      <c r="H57" s="10"/>
      <c r="I57" s="11"/>
      <c r="J57" s="11"/>
      <c r="K57" s="11"/>
      <c r="L57" s="6"/>
      <c r="M57" s="6"/>
      <c r="N57" s="6"/>
      <c r="O57" s="6"/>
      <c r="P57" s="10"/>
      <c r="Q57" s="10"/>
      <c r="R57" s="10"/>
      <c r="S57" s="11"/>
      <c r="T57" s="18"/>
      <c r="U57" s="10"/>
      <c r="V57" s="13"/>
      <c r="X57" s="11"/>
      <c r="Y57" s="11"/>
      <c r="Z57" s="6"/>
      <c r="AA57" s="11"/>
      <c r="AB57" s="11"/>
      <c r="AC57" s="11"/>
      <c r="AD57" s="13"/>
    </row>
    <row r="58" spans="2:30" customFormat="1" x14ac:dyDescent="0.35">
      <c r="B58" s="6"/>
      <c r="C58" s="6"/>
      <c r="D58" s="6"/>
      <c r="E58" s="6"/>
      <c r="F58" s="10"/>
      <c r="G58" s="10"/>
      <c r="H58" s="10"/>
      <c r="I58" s="11"/>
      <c r="J58" s="11"/>
      <c r="K58" s="11"/>
      <c r="L58" s="6"/>
      <c r="M58" s="6"/>
      <c r="N58" s="6"/>
      <c r="O58" s="6"/>
      <c r="P58" s="10"/>
      <c r="Q58" s="10"/>
      <c r="R58" s="10"/>
      <c r="S58" s="11"/>
      <c r="T58" s="18"/>
      <c r="U58" s="10"/>
      <c r="V58" s="13"/>
      <c r="X58" s="11"/>
      <c r="Y58" s="11"/>
      <c r="Z58" s="6"/>
      <c r="AA58" s="11"/>
      <c r="AB58" s="11"/>
      <c r="AC58" s="11"/>
      <c r="AD58" s="13"/>
    </row>
    <row r="59" spans="2:30" customFormat="1" x14ac:dyDescent="0.35">
      <c r="B59" s="6"/>
      <c r="C59" s="6"/>
      <c r="D59" s="6"/>
      <c r="E59" s="6"/>
      <c r="F59" s="10"/>
      <c r="G59" s="10"/>
      <c r="H59" s="10"/>
      <c r="I59" s="11"/>
      <c r="J59" s="11"/>
      <c r="K59" s="11"/>
      <c r="L59" s="6"/>
      <c r="M59" s="6"/>
      <c r="N59" s="6"/>
      <c r="O59" s="6"/>
      <c r="P59" s="10"/>
      <c r="Q59" s="10"/>
      <c r="R59" s="10"/>
      <c r="S59" s="11"/>
      <c r="T59" s="18"/>
      <c r="U59" s="10"/>
      <c r="V59" s="13"/>
      <c r="X59" s="11"/>
      <c r="Y59" s="11"/>
      <c r="Z59" s="6"/>
      <c r="AA59" s="11"/>
      <c r="AB59" s="11"/>
      <c r="AC59" s="11"/>
      <c r="AD59" s="13"/>
    </row>
    <row r="60" spans="2:30" customFormat="1" x14ac:dyDescent="0.35">
      <c r="B60" s="6"/>
      <c r="C60" s="6"/>
      <c r="D60" s="6"/>
      <c r="E60" s="6"/>
      <c r="F60" s="10"/>
      <c r="G60" s="10"/>
      <c r="H60" s="10"/>
      <c r="I60" s="11"/>
      <c r="J60" s="11"/>
      <c r="K60" s="11"/>
      <c r="L60" s="6"/>
      <c r="M60" s="6"/>
      <c r="N60" s="6"/>
      <c r="O60" s="6"/>
      <c r="P60" s="10"/>
      <c r="Q60" s="10"/>
      <c r="R60" s="10"/>
      <c r="S60" s="11"/>
      <c r="T60" s="18"/>
      <c r="U60" s="10"/>
      <c r="V60" s="13"/>
      <c r="X60" s="11"/>
      <c r="Y60" s="11"/>
      <c r="Z60" s="6"/>
      <c r="AA60" s="11"/>
      <c r="AB60" s="11"/>
      <c r="AC60" s="11"/>
      <c r="AD60" s="13"/>
    </row>
    <row r="61" spans="2:30" customFormat="1" x14ac:dyDescent="0.35">
      <c r="B61" s="6"/>
      <c r="C61" s="6"/>
      <c r="D61" s="6"/>
      <c r="E61" s="6"/>
      <c r="F61" s="10"/>
      <c r="G61" s="10"/>
      <c r="H61" s="10"/>
      <c r="I61" s="11"/>
      <c r="J61" s="11"/>
      <c r="K61" s="11"/>
      <c r="L61" s="6"/>
      <c r="M61" s="6"/>
      <c r="N61" s="6"/>
      <c r="O61" s="6"/>
      <c r="P61" s="10"/>
      <c r="Q61" s="10"/>
      <c r="R61" s="10"/>
      <c r="S61" s="11"/>
      <c r="T61" s="18"/>
      <c r="U61" s="10"/>
      <c r="V61" s="13"/>
      <c r="X61" s="11"/>
      <c r="Y61" s="11"/>
      <c r="Z61" s="6"/>
      <c r="AA61" s="11"/>
      <c r="AB61" s="11"/>
      <c r="AC61" s="11"/>
      <c r="AD61" s="13"/>
    </row>
    <row r="62" spans="2:30" customFormat="1" x14ac:dyDescent="0.35">
      <c r="B62" s="6"/>
      <c r="C62" s="6"/>
      <c r="D62" s="6"/>
      <c r="E62" s="6"/>
      <c r="F62" s="10"/>
      <c r="G62" s="10"/>
      <c r="H62" s="10"/>
      <c r="I62" s="11"/>
      <c r="J62" s="11"/>
      <c r="K62" s="11"/>
      <c r="L62" s="6"/>
      <c r="M62" s="6"/>
      <c r="N62" s="6"/>
      <c r="O62" s="6"/>
      <c r="P62" s="10"/>
      <c r="Q62" s="10"/>
      <c r="R62" s="10"/>
      <c r="S62" s="11"/>
      <c r="T62" s="18"/>
      <c r="U62" s="10"/>
      <c r="V62" s="13"/>
      <c r="X62" s="11"/>
      <c r="Y62" s="11"/>
      <c r="Z62" s="6"/>
      <c r="AA62" s="11"/>
      <c r="AB62" s="11"/>
      <c r="AC62" s="11"/>
      <c r="AD62" s="13"/>
    </row>
    <row r="63" spans="2:30" customFormat="1" x14ac:dyDescent="0.35">
      <c r="B63" s="6"/>
      <c r="C63" s="6"/>
      <c r="D63" s="6"/>
      <c r="E63" s="6"/>
      <c r="F63" s="10"/>
      <c r="G63" s="10"/>
      <c r="H63" s="10"/>
      <c r="I63" s="11"/>
      <c r="J63" s="11"/>
      <c r="K63" s="11"/>
      <c r="L63" s="6"/>
      <c r="M63" s="6"/>
      <c r="N63" s="6"/>
      <c r="O63" s="6"/>
      <c r="P63" s="10"/>
      <c r="Q63" s="10"/>
      <c r="R63" s="10"/>
      <c r="S63" s="11"/>
      <c r="T63" s="18"/>
      <c r="U63" s="10"/>
      <c r="V63" s="13"/>
      <c r="X63" s="11"/>
      <c r="Y63" s="11"/>
      <c r="Z63" s="6"/>
      <c r="AA63" s="11"/>
      <c r="AB63" s="11"/>
      <c r="AC63" s="11"/>
      <c r="AD63" s="13"/>
    </row>
    <row r="64" spans="2:30" customFormat="1" x14ac:dyDescent="0.35">
      <c r="B64" s="6"/>
      <c r="C64" s="6"/>
      <c r="D64" s="6"/>
      <c r="E64" s="6"/>
      <c r="F64" s="10"/>
      <c r="G64" s="10"/>
      <c r="H64" s="10"/>
      <c r="I64" s="11"/>
      <c r="J64" s="11"/>
      <c r="K64" s="11"/>
      <c r="L64" s="6"/>
      <c r="M64" s="6"/>
      <c r="N64" s="6"/>
      <c r="O64" s="6"/>
      <c r="P64" s="10"/>
      <c r="Q64" s="10"/>
      <c r="R64" s="10"/>
      <c r="S64" s="11"/>
      <c r="T64" s="18"/>
      <c r="U64" s="10"/>
      <c r="V64" s="13"/>
      <c r="X64" s="11"/>
      <c r="Y64" s="11"/>
      <c r="Z64" s="6"/>
      <c r="AA64" s="11"/>
      <c r="AB64" s="11"/>
      <c r="AC64" s="11"/>
      <c r="AD64" s="13"/>
    </row>
    <row r="65" spans="3:40" x14ac:dyDescent="0.35">
      <c r="C65" s="6"/>
      <c r="D65" s="6"/>
      <c r="E65" s="6"/>
      <c r="F65" s="10"/>
      <c r="G65" s="10"/>
      <c r="H65" s="10"/>
      <c r="I65" s="11"/>
      <c r="J65" s="11"/>
      <c r="K65" s="11"/>
      <c r="L65" s="6"/>
      <c r="M65" s="6"/>
      <c r="N65" s="6"/>
      <c r="O65" s="6"/>
      <c r="P65" s="10"/>
      <c r="S65" s="11"/>
      <c r="T65" s="18"/>
      <c r="V65" s="13"/>
      <c r="W65"/>
      <c r="X65" s="11"/>
      <c r="Y65" s="11"/>
      <c r="Z65" s="6"/>
      <c r="AA65" s="11"/>
      <c r="AB65" s="11"/>
      <c r="AC65" s="11"/>
      <c r="AD65" s="13"/>
      <c r="AE65"/>
      <c r="AF65"/>
      <c r="AG65"/>
      <c r="AI65"/>
      <c r="AJ65"/>
      <c r="AK65"/>
      <c r="AL65"/>
      <c r="AM65"/>
      <c r="AN65"/>
    </row>
    <row r="66" spans="3:40" x14ac:dyDescent="0.35">
      <c r="C66" s="6"/>
      <c r="D66" s="6"/>
      <c r="E66" s="6"/>
      <c r="F66" s="10"/>
      <c r="G66" s="10"/>
      <c r="H66" s="10"/>
      <c r="I66" s="11"/>
      <c r="J66" s="11"/>
      <c r="K66" s="11"/>
      <c r="L66" s="6"/>
      <c r="M66" s="6"/>
      <c r="N66" s="6"/>
      <c r="O66" s="6"/>
      <c r="P66" s="10"/>
      <c r="S66" s="11"/>
      <c r="T66" s="18"/>
      <c r="V66" s="13"/>
      <c r="W66"/>
      <c r="X66" s="11"/>
      <c r="Y66" s="11"/>
      <c r="Z66" s="6"/>
      <c r="AA66" s="11"/>
      <c r="AB66" s="11"/>
      <c r="AC66" s="11"/>
      <c r="AD66" s="13"/>
      <c r="AE66"/>
      <c r="AF66"/>
      <c r="AG66"/>
      <c r="AI66"/>
      <c r="AJ66"/>
      <c r="AK66"/>
      <c r="AL66"/>
      <c r="AM66"/>
      <c r="AN66"/>
    </row>
    <row r="67" spans="3:40" x14ac:dyDescent="0.35">
      <c r="C67" s="6"/>
      <c r="D67" s="6"/>
      <c r="E67" s="6"/>
      <c r="F67" s="10"/>
      <c r="G67" s="10"/>
      <c r="H67" s="10"/>
      <c r="I67" s="11"/>
      <c r="J67" s="11"/>
      <c r="K67" s="11"/>
      <c r="L67" s="6"/>
      <c r="M67" s="6"/>
      <c r="N67" s="6"/>
      <c r="O67" s="6"/>
      <c r="P67" s="10"/>
      <c r="S67" s="11"/>
      <c r="T67" s="18"/>
      <c r="V67" s="13"/>
      <c r="W67"/>
      <c r="X67" s="11"/>
      <c r="Y67" s="11"/>
      <c r="Z67" s="6"/>
      <c r="AA67" s="11"/>
      <c r="AB67" s="11"/>
      <c r="AC67" s="11"/>
      <c r="AD67" s="13"/>
      <c r="AE67"/>
      <c r="AF67"/>
      <c r="AG67"/>
      <c r="AI67"/>
      <c r="AJ67"/>
      <c r="AK67"/>
      <c r="AL67"/>
      <c r="AM67"/>
      <c r="AN67"/>
    </row>
    <row r="68" spans="3:40" x14ac:dyDescent="0.35">
      <c r="C68" s="6"/>
      <c r="D68" s="6"/>
      <c r="E68" s="6"/>
      <c r="F68" s="10"/>
      <c r="G68" s="10"/>
      <c r="H68" s="10"/>
      <c r="I68" s="11"/>
      <c r="J68" s="11"/>
      <c r="K68" s="11"/>
      <c r="L68" s="6"/>
      <c r="M68" s="6"/>
      <c r="N68" s="6"/>
      <c r="O68" s="6"/>
      <c r="P68" s="10"/>
      <c r="S68" s="11"/>
      <c r="T68" s="18"/>
      <c r="V68" s="13"/>
      <c r="W68"/>
      <c r="X68" s="11"/>
      <c r="Y68" s="11"/>
      <c r="Z68" s="6"/>
      <c r="AA68" s="11"/>
      <c r="AB68" s="11"/>
      <c r="AC68" s="11"/>
      <c r="AD68" s="13"/>
      <c r="AE68"/>
      <c r="AF68"/>
      <c r="AG68"/>
      <c r="AI68"/>
      <c r="AJ68"/>
      <c r="AK68"/>
      <c r="AL68"/>
      <c r="AM68"/>
      <c r="AN68"/>
    </row>
    <row r="69" spans="3:40" x14ac:dyDescent="0.35">
      <c r="C69" s="6"/>
      <c r="D69" s="6"/>
      <c r="E69" s="6"/>
      <c r="F69" s="10"/>
      <c r="G69" s="10"/>
      <c r="H69" s="10"/>
      <c r="I69" s="11"/>
      <c r="J69" s="11"/>
      <c r="K69" s="11"/>
      <c r="L69" s="6"/>
      <c r="M69" s="6"/>
      <c r="N69" s="6"/>
      <c r="O69" s="6"/>
      <c r="P69" s="10"/>
      <c r="S69" s="11"/>
      <c r="T69" s="18"/>
      <c r="V69" s="13"/>
      <c r="W69"/>
      <c r="X69" s="11"/>
      <c r="Y69" s="11"/>
      <c r="Z69" s="6"/>
      <c r="AA69" s="11"/>
      <c r="AB69" s="11"/>
      <c r="AC69" s="11"/>
      <c r="AD69" s="13"/>
      <c r="AE69"/>
      <c r="AF69"/>
      <c r="AG69"/>
      <c r="AI69"/>
      <c r="AJ69"/>
      <c r="AK69"/>
      <c r="AL69"/>
      <c r="AM69"/>
      <c r="AN69"/>
    </row>
    <row r="70" spans="3:40" x14ac:dyDescent="0.35">
      <c r="C70" s="6"/>
      <c r="D70" s="6"/>
      <c r="E70" s="6"/>
      <c r="F70" s="10"/>
      <c r="G70" s="10"/>
      <c r="H70" s="10"/>
      <c r="I70" s="11"/>
      <c r="J70" s="11"/>
      <c r="K70" s="11"/>
      <c r="L70" s="6"/>
      <c r="M70" s="6"/>
      <c r="N70" s="6"/>
      <c r="O70" s="6"/>
      <c r="P70" s="10"/>
      <c r="S70" s="11"/>
      <c r="T70" s="18"/>
      <c r="V70" s="13"/>
      <c r="W70"/>
      <c r="X70" s="11"/>
      <c r="Y70" s="11"/>
      <c r="Z70" s="6"/>
      <c r="AA70" s="11"/>
      <c r="AB70" s="11"/>
      <c r="AC70" s="11"/>
      <c r="AD70" s="13"/>
      <c r="AE70"/>
      <c r="AF70"/>
      <c r="AG70"/>
      <c r="AI70"/>
      <c r="AJ70"/>
      <c r="AK70"/>
      <c r="AL70"/>
      <c r="AM70"/>
      <c r="AN70"/>
    </row>
    <row r="71" spans="3:40" x14ac:dyDescent="0.35">
      <c r="C71" s="6"/>
      <c r="D71" s="6"/>
      <c r="E71" s="6"/>
      <c r="F71" s="10"/>
      <c r="G71" s="10"/>
      <c r="H71" s="10"/>
      <c r="I71" s="11"/>
      <c r="J71" s="11"/>
      <c r="K71" s="11"/>
      <c r="L71" s="6"/>
      <c r="M71" s="6"/>
      <c r="N71" s="6"/>
      <c r="O71" s="6"/>
      <c r="P71" s="10"/>
      <c r="S71" s="11"/>
      <c r="T71" s="18"/>
      <c r="V71" s="13"/>
      <c r="W71"/>
      <c r="X71" s="11"/>
      <c r="Y71" s="11"/>
      <c r="Z71" s="6"/>
      <c r="AA71" s="11"/>
      <c r="AB71" s="11"/>
      <c r="AC71" s="11"/>
      <c r="AD71" s="13"/>
      <c r="AE71"/>
      <c r="AF71"/>
      <c r="AG71"/>
      <c r="AI71"/>
      <c r="AJ71"/>
      <c r="AK71"/>
      <c r="AL71"/>
      <c r="AM71"/>
      <c r="AN71"/>
    </row>
    <row r="72" spans="3:40" x14ac:dyDescent="0.35">
      <c r="C72" s="6"/>
      <c r="D72" s="6"/>
      <c r="E72" s="6"/>
      <c r="F72" s="10"/>
      <c r="G72" s="10"/>
      <c r="H72" s="10"/>
      <c r="I72" s="11"/>
      <c r="J72" s="11"/>
      <c r="K72" s="11"/>
      <c r="L72" s="6"/>
      <c r="M72" s="6"/>
      <c r="N72" s="6"/>
      <c r="O72" s="6"/>
      <c r="P72" s="10"/>
      <c r="S72" s="11"/>
      <c r="T72" s="18"/>
      <c r="V72" s="13"/>
      <c r="W72"/>
      <c r="X72" s="11"/>
      <c r="Y72" s="11"/>
      <c r="Z72" s="6"/>
      <c r="AA72" s="11"/>
      <c r="AB72" s="11"/>
      <c r="AC72" s="11"/>
      <c r="AD72" s="13"/>
      <c r="AE72"/>
      <c r="AF72"/>
      <c r="AG72"/>
      <c r="AI72"/>
      <c r="AJ72"/>
      <c r="AK72"/>
      <c r="AL72"/>
      <c r="AM72"/>
      <c r="AN72"/>
    </row>
    <row r="73" spans="3:40" x14ac:dyDescent="0.35">
      <c r="C73" s="6"/>
      <c r="D73" s="6"/>
      <c r="E73" s="6"/>
      <c r="F73" s="10"/>
      <c r="G73" s="10"/>
      <c r="H73" s="10"/>
      <c r="I73" s="11"/>
      <c r="J73" s="11"/>
      <c r="K73" s="11"/>
      <c r="L73" s="6"/>
      <c r="M73" s="6"/>
      <c r="N73" s="6"/>
      <c r="O73" s="6"/>
      <c r="P73" s="10"/>
      <c r="S73" s="11"/>
      <c r="T73" s="18"/>
      <c r="V73" s="13"/>
      <c r="W73"/>
      <c r="X73" s="11"/>
      <c r="Y73" s="11"/>
      <c r="Z73" s="6"/>
      <c r="AA73" s="11"/>
      <c r="AB73" s="11"/>
      <c r="AC73" s="11"/>
      <c r="AD73" s="13"/>
      <c r="AE73"/>
      <c r="AF73"/>
      <c r="AG73"/>
      <c r="AI73"/>
      <c r="AJ73"/>
      <c r="AK73"/>
      <c r="AL73"/>
      <c r="AM73"/>
      <c r="AN73"/>
    </row>
    <row r="74" spans="3:40" x14ac:dyDescent="0.35">
      <c r="C74" s="6"/>
      <c r="D74" s="6"/>
      <c r="E74" s="6"/>
      <c r="F74" s="10"/>
      <c r="G74" s="10"/>
      <c r="H74" s="10"/>
      <c r="I74" s="11"/>
      <c r="J74" s="11"/>
      <c r="K74" s="11"/>
      <c r="L74" s="6"/>
      <c r="M74" s="6"/>
      <c r="N74" s="6"/>
      <c r="O74" s="6"/>
      <c r="P74" s="10"/>
      <c r="S74" s="11"/>
      <c r="T74" s="18"/>
      <c r="V74" s="13"/>
      <c r="W74"/>
      <c r="X74" s="11"/>
      <c r="Y74" s="11"/>
      <c r="Z74" s="6"/>
      <c r="AA74" s="11"/>
      <c r="AB74" s="11"/>
      <c r="AC74" s="11"/>
      <c r="AD74" s="13"/>
      <c r="AE74"/>
      <c r="AF74"/>
      <c r="AG74"/>
      <c r="AI74"/>
      <c r="AJ74"/>
      <c r="AK74"/>
      <c r="AL74"/>
      <c r="AM74"/>
      <c r="AN74"/>
    </row>
    <row r="75" spans="3:40" x14ac:dyDescent="0.35">
      <c r="C75" s="6"/>
      <c r="D75" s="6"/>
      <c r="E75" s="6"/>
      <c r="F75" s="10"/>
      <c r="G75" s="10"/>
      <c r="H75" s="10"/>
      <c r="I75" s="11"/>
      <c r="J75" s="11"/>
      <c r="K75" s="11"/>
      <c r="L75" s="6"/>
      <c r="M75" s="6"/>
      <c r="N75" s="6"/>
      <c r="O75" s="6"/>
      <c r="P75" s="10"/>
      <c r="S75" s="11"/>
      <c r="T75" s="18"/>
      <c r="V75" s="13"/>
      <c r="W75"/>
      <c r="X75" s="11"/>
      <c r="Y75" s="11"/>
      <c r="Z75" s="6"/>
      <c r="AA75" s="11"/>
      <c r="AB75" s="11"/>
      <c r="AC75" s="11"/>
      <c r="AD75" s="13"/>
      <c r="AE75"/>
      <c r="AF75"/>
      <c r="AG75"/>
      <c r="AI75"/>
      <c r="AJ75"/>
      <c r="AK75"/>
      <c r="AL75"/>
      <c r="AM75"/>
      <c r="AN75"/>
    </row>
    <row r="76" spans="3:40" x14ac:dyDescent="0.35">
      <c r="C76" s="6"/>
      <c r="D76" s="6"/>
      <c r="E76" s="6"/>
      <c r="F76" s="10"/>
      <c r="G76" s="10"/>
      <c r="H76" s="10"/>
      <c r="I76" s="11"/>
      <c r="J76" s="11"/>
      <c r="K76" s="11"/>
      <c r="L76" s="6"/>
      <c r="M76" s="6"/>
      <c r="N76" s="6"/>
      <c r="O76" s="6"/>
      <c r="P76" s="10"/>
      <c r="S76" s="11"/>
      <c r="T76" s="18"/>
      <c r="V76" s="13"/>
      <c r="W76"/>
      <c r="X76" s="11"/>
      <c r="Y76" s="11"/>
      <c r="Z76" s="6"/>
      <c r="AA76" s="11"/>
      <c r="AB76" s="11"/>
      <c r="AC76" s="11"/>
      <c r="AD76" s="13"/>
      <c r="AE76"/>
      <c r="AF76"/>
      <c r="AG76"/>
      <c r="AI76"/>
      <c r="AJ76"/>
      <c r="AK76"/>
      <c r="AL76"/>
      <c r="AM76"/>
      <c r="AN76"/>
    </row>
    <row r="77" spans="3:40" x14ac:dyDescent="0.35">
      <c r="C77" s="6"/>
      <c r="D77" s="6"/>
      <c r="E77" s="6"/>
      <c r="F77" s="10"/>
      <c r="G77" s="10"/>
      <c r="H77" s="10"/>
      <c r="I77" s="11"/>
      <c r="J77" s="11"/>
      <c r="K77" s="11"/>
      <c r="L77" s="6"/>
      <c r="M77" s="6"/>
      <c r="N77" s="6"/>
      <c r="O77" s="6"/>
      <c r="P77" s="10"/>
      <c r="S77" s="11"/>
      <c r="T77" s="18"/>
      <c r="V77" s="13"/>
      <c r="W77"/>
      <c r="X77" s="11"/>
      <c r="Y77" s="11"/>
      <c r="Z77" s="6"/>
      <c r="AA77" s="11"/>
      <c r="AB77" s="11"/>
      <c r="AC77" s="11"/>
      <c r="AD77" s="13"/>
      <c r="AE77"/>
      <c r="AF77"/>
      <c r="AG77"/>
      <c r="AI77"/>
      <c r="AJ77"/>
      <c r="AK77"/>
      <c r="AL77"/>
      <c r="AM77"/>
      <c r="AN77"/>
    </row>
    <row r="78" spans="3:40" x14ac:dyDescent="0.35">
      <c r="C78" s="6"/>
      <c r="D78" s="6"/>
      <c r="E78" s="6"/>
      <c r="F78" s="10"/>
      <c r="G78" s="10"/>
      <c r="H78" s="10"/>
      <c r="I78" s="11"/>
      <c r="J78" s="11"/>
      <c r="K78" s="11"/>
      <c r="L78" s="6"/>
      <c r="M78" s="6"/>
      <c r="N78" s="6"/>
      <c r="O78" s="6"/>
      <c r="P78" s="10"/>
      <c r="S78" s="11"/>
      <c r="T78" s="18"/>
      <c r="V78" s="13"/>
      <c r="W78"/>
      <c r="X78" s="11"/>
      <c r="Y78" s="11"/>
      <c r="Z78" s="6"/>
      <c r="AA78" s="11"/>
      <c r="AB78" s="11"/>
      <c r="AC78" s="11"/>
      <c r="AD78" s="13"/>
      <c r="AE78"/>
      <c r="AF78"/>
      <c r="AG78"/>
      <c r="AI78"/>
      <c r="AJ78"/>
      <c r="AK78"/>
      <c r="AL78"/>
      <c r="AM78"/>
      <c r="AN78"/>
    </row>
    <row r="79" spans="3:40" x14ac:dyDescent="0.35">
      <c r="C79" s="6"/>
      <c r="D79" s="6"/>
      <c r="E79" s="6"/>
      <c r="F79" s="10"/>
      <c r="G79" s="10"/>
      <c r="H79" s="10"/>
      <c r="I79" s="11"/>
      <c r="J79" s="11"/>
      <c r="K79" s="11"/>
      <c r="L79" s="6"/>
      <c r="M79" s="6"/>
      <c r="N79" s="6"/>
      <c r="O79" s="6"/>
      <c r="P79" s="10"/>
      <c r="S79" s="11"/>
      <c r="T79" s="18"/>
      <c r="V79" s="13"/>
      <c r="W79"/>
      <c r="X79" s="11"/>
      <c r="Y79" s="11"/>
      <c r="Z79" s="6"/>
      <c r="AA79" s="11"/>
      <c r="AB79" s="11"/>
      <c r="AC79" s="11"/>
      <c r="AD79" s="13"/>
      <c r="AE79"/>
      <c r="AF79"/>
      <c r="AG79"/>
      <c r="AI79"/>
      <c r="AJ79"/>
      <c r="AK79"/>
      <c r="AL79"/>
      <c r="AM79"/>
      <c r="AN79"/>
    </row>
    <row r="80" spans="3:40" x14ac:dyDescent="0.35">
      <c r="C80" s="6"/>
      <c r="D80" s="6"/>
      <c r="E80" s="6"/>
      <c r="F80" s="10"/>
      <c r="G80" s="10"/>
      <c r="H80" s="10"/>
      <c r="I80" s="11"/>
      <c r="J80" s="11"/>
      <c r="K80" s="11"/>
      <c r="L80" s="6"/>
      <c r="M80" s="6"/>
      <c r="N80" s="6"/>
      <c r="O80" s="6"/>
      <c r="P80" s="10"/>
      <c r="S80" s="11"/>
      <c r="T80" s="18"/>
      <c r="V80" s="13"/>
      <c r="W80"/>
      <c r="X80" s="11"/>
      <c r="Y80" s="11"/>
      <c r="Z80" s="6"/>
      <c r="AA80" s="11"/>
      <c r="AB80" s="11"/>
      <c r="AC80" s="11"/>
      <c r="AD80" s="13"/>
      <c r="AE80"/>
      <c r="AF80"/>
      <c r="AG80"/>
      <c r="AI80"/>
      <c r="AJ80"/>
      <c r="AK80"/>
      <c r="AL80"/>
      <c r="AM80"/>
      <c r="AN80"/>
    </row>
    <row r="81" spans="3:40" x14ac:dyDescent="0.35">
      <c r="C81" s="6"/>
      <c r="D81" s="6"/>
      <c r="E81" s="6"/>
      <c r="F81" s="10"/>
      <c r="G81" s="10"/>
      <c r="H81" s="10"/>
      <c r="I81" s="11"/>
      <c r="J81" s="11"/>
      <c r="K81" s="11"/>
      <c r="L81" s="6"/>
      <c r="M81" s="6"/>
      <c r="N81" s="6"/>
      <c r="O81" s="6"/>
      <c r="P81" s="10"/>
      <c r="S81" s="11"/>
      <c r="T81" s="18"/>
      <c r="V81" s="13"/>
      <c r="W81"/>
      <c r="X81" s="11"/>
      <c r="Y81" s="11"/>
      <c r="Z81" s="6"/>
      <c r="AA81" s="11"/>
      <c r="AB81" s="11"/>
      <c r="AC81" s="11"/>
      <c r="AD81" s="13"/>
      <c r="AE81"/>
      <c r="AF81"/>
      <c r="AG81"/>
      <c r="AI81"/>
      <c r="AJ81"/>
      <c r="AK81"/>
      <c r="AL81"/>
      <c r="AM81"/>
      <c r="AN81"/>
    </row>
    <row r="82" spans="3:40" x14ac:dyDescent="0.35">
      <c r="C82" s="6"/>
      <c r="D82" s="6"/>
      <c r="E82" s="6"/>
      <c r="F82" s="10"/>
      <c r="G82" s="10"/>
      <c r="H82" s="10"/>
      <c r="I82" s="11"/>
      <c r="J82" s="11"/>
      <c r="K82" s="11"/>
      <c r="L82" s="6"/>
      <c r="M82" s="6"/>
      <c r="N82" s="6"/>
      <c r="O82" s="6"/>
      <c r="P82" s="10"/>
      <c r="S82" s="11"/>
      <c r="T82" s="18"/>
      <c r="V82" s="13"/>
      <c r="W82"/>
      <c r="X82" s="11"/>
      <c r="Y82" s="11"/>
      <c r="Z82" s="6"/>
      <c r="AA82" s="11"/>
      <c r="AB82" s="11"/>
      <c r="AC82" s="11"/>
      <c r="AD82" s="13"/>
      <c r="AE82"/>
      <c r="AF82"/>
      <c r="AG82"/>
      <c r="AI82"/>
      <c r="AJ82"/>
      <c r="AK82"/>
      <c r="AL82"/>
      <c r="AM82"/>
      <c r="AN82"/>
    </row>
    <row r="83" spans="3:40" x14ac:dyDescent="0.35">
      <c r="C83" s="6"/>
      <c r="D83" s="6"/>
      <c r="E83" s="6"/>
      <c r="F83" s="10"/>
      <c r="G83" s="10"/>
      <c r="H83" s="10"/>
      <c r="I83" s="11"/>
      <c r="J83" s="11"/>
      <c r="K83" s="11"/>
      <c r="L83" s="6"/>
      <c r="M83" s="6"/>
      <c r="N83" s="6"/>
      <c r="O83" s="6"/>
      <c r="P83" s="10"/>
      <c r="S83" s="11"/>
      <c r="T83" s="18"/>
      <c r="V83" s="13"/>
      <c r="W83"/>
      <c r="X83" s="11"/>
      <c r="Y83" s="11"/>
      <c r="Z83" s="6"/>
      <c r="AA83" s="11"/>
      <c r="AB83" s="11"/>
      <c r="AC83" s="11"/>
      <c r="AD83" s="13"/>
      <c r="AE83"/>
      <c r="AF83"/>
      <c r="AG83"/>
      <c r="AI83"/>
      <c r="AJ83"/>
      <c r="AK83"/>
      <c r="AL83"/>
      <c r="AM83"/>
      <c r="AN83"/>
    </row>
  </sheetData>
  <conditionalFormatting sqref="I20:J20 I36:J83 I21:I35">
    <cfRule type="duplicateValues" dxfId="3" priority="4"/>
  </conditionalFormatting>
  <conditionalFormatting sqref="P38">
    <cfRule type="duplicateValues" dxfId="2" priority="1"/>
  </conditionalFormatting>
  <conditionalFormatting sqref="Q31:Q45">
    <cfRule type="duplicateValues" dxfId="1" priority="2"/>
  </conditionalFormatting>
  <conditionalFormatting sqref="S20:S83">
    <cfRule type="duplicateValues" dxfId="0" priority="3"/>
  </conditionalFormatting>
  <hyperlinks>
    <hyperlink ref="D10" r:id="rId1" display="R@" xr:uid="{3609D858-5DC5-42C5-863B-71CD618DB7EC}"/>
    <hyperlink ref="E10" r:id="rId2" display="R@" xr:uid="{0A563414-04FB-4AC8-B2C1-52524970142C}"/>
    <hyperlink ref="D2" r:id="rId3" display="R@" xr:uid="{217133BD-2122-49BB-8ADA-1B99D02C18F3}"/>
    <hyperlink ref="E2" r:id="rId4" display="R@" xr:uid="{DF4F1085-3D5E-46FD-B4F0-4573D19B5996}"/>
    <hyperlink ref="H2" r:id="rId5" display="R@" xr:uid="{EBB519A4-7AC7-4DA7-83F9-7EFF52A38957}"/>
    <hyperlink ref="I2" r:id="rId6" display="R@" xr:uid="{EF0C788C-6B4D-420D-94AB-D5A893C84119}"/>
    <hyperlink ref="H10" r:id="rId7" display="R@" xr:uid="{F006BEFE-365E-44ED-BCD8-57A04FE04E3C}"/>
    <hyperlink ref="I10" r:id="rId8" display="R@" xr:uid="{67727FDC-7AB5-4DD9-A75A-74615CF8394F}"/>
  </hyperlinks>
  <pageMargins left="0.7" right="0.7" top="0.75" bottom="0.75" header="0.3" footer="0.3"/>
  <drawing r:id="rId9"/>
  <tableParts count="2">
    <tablePart r:id="rId10"/>
    <tablePart r:id="rId1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95bf97-e7a1-46b9-b318-8bf1c8a3bbe8">
      <Terms xmlns="http://schemas.microsoft.com/office/infopath/2007/PartnerControls"/>
    </lcf76f155ced4ddcb4097134ff3c332f>
    <TaxCatchAll xmlns="8e3bc68f-4c42-4c2b-93b1-641457ef218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F686D273F004BBF915871F6C3A97C" ma:contentTypeVersion="16" ma:contentTypeDescription="Create a new document." ma:contentTypeScope="" ma:versionID="7fac8186e4935281f5112d99734e52d6">
  <xsd:schema xmlns:xsd="http://www.w3.org/2001/XMLSchema" xmlns:xs="http://www.w3.org/2001/XMLSchema" xmlns:p="http://schemas.microsoft.com/office/2006/metadata/properties" xmlns:ns2="8e3bc68f-4c42-4c2b-93b1-641457ef2188" xmlns:ns3="2795bf97-e7a1-46b9-b318-8bf1c8a3bbe8" targetNamespace="http://schemas.microsoft.com/office/2006/metadata/properties" ma:root="true" ma:fieldsID="21fd5b810c0b696f4cfc81955b10e7a5" ns2:_="" ns3:_="">
    <xsd:import namespace="8e3bc68f-4c42-4c2b-93b1-641457ef2188"/>
    <xsd:import namespace="2795bf97-e7a1-46b9-b318-8bf1c8a3bbe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3bc68f-4c42-4c2b-93b1-641457ef218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b795266-5cc4-4225-8667-54e694c18571}" ma:internalName="TaxCatchAll" ma:showField="CatchAllData" ma:web="8e3bc68f-4c42-4c2b-93b1-641457ef21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95bf97-e7a1-46b9-b318-8bf1c8a3bb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a2171c7-2f68-48d5-939d-db62c42d5d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01A4D2-3B88-48DD-9A9D-F4888400C045}">
  <ds:schemaRefs>
    <ds:schemaRef ds:uri="http://schemas.microsoft.com/office/2006/metadata/properties"/>
    <ds:schemaRef ds:uri="http://schemas.microsoft.com/office/infopath/2007/PartnerControls"/>
    <ds:schemaRef ds:uri="2795bf97-e7a1-46b9-b318-8bf1c8a3bbe8"/>
    <ds:schemaRef ds:uri="8e3bc68f-4c42-4c2b-93b1-641457ef2188"/>
  </ds:schemaRefs>
</ds:datastoreItem>
</file>

<file path=customXml/itemProps2.xml><?xml version="1.0" encoding="utf-8"?>
<ds:datastoreItem xmlns:ds="http://schemas.openxmlformats.org/officeDocument/2006/customXml" ds:itemID="{62EA94DF-3221-4644-ACFA-4FF213D0A2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E2FB59-9344-4FF7-8481-7C321E7B31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3bc68f-4c42-4c2b-93b1-641457ef2188"/>
    <ds:schemaRef ds:uri="2795bf97-e7a1-46b9-b318-8bf1c8a3bb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2026 surp final</vt:lpstr>
      <vt:lpstr>6X2</vt:lpstr>
      <vt:lpstr>Sheet5</vt:lpstr>
      <vt:lpstr>6X3</vt:lpstr>
      <vt:lpstr>6X4</vt:lpstr>
      <vt:lpstr>6x5</vt:lpstr>
      <vt:lpstr>6x6</vt:lpstr>
      <vt:lpstr>6x7</vt:lpstr>
      <vt:lpstr>2x6x1</vt:lpstr>
      <vt:lpstr>Sheet2</vt:lpstr>
      <vt:lpstr>Final</vt:lpstr>
      <vt:lpstr>Final2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quota</dc:creator>
  <cp:lastModifiedBy>Oktyabrsky, Stacia</cp:lastModifiedBy>
  <dcterms:created xsi:type="dcterms:W3CDTF">2015-06-05T18:17:20Z</dcterms:created>
  <dcterms:modified xsi:type="dcterms:W3CDTF">2026-08-04T16:50:15Z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0x0101003BBF686D273F004BBF915871F6C3A97C</vt:lpwstr>
  </property>
</Properties>
</file>